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Tableau de bord" sheetId="1" state="visible" r:id="rId3"/>
    <sheet name="Paramètres" sheetId="2" state="visible" r:id="rId4"/>
    <sheet name="Comparatif tailles" sheetId="3" state="visible" r:id="rId5"/>
    <sheet name="ALP" sheetId="4" state="visible" r:id="rId6"/>
    <sheet name="LLP" sheetId="5" state="visible" r:id="rId7"/>
    <sheet name="LST Moteur" sheetId="6" state="visible" r:id="rId8"/>
    <sheet name="LST Reverse" sheetId="7" state="visible" r:id="rId9"/>
    <sheet name="Concentration" sheetId="8" state="visible" r:id="rId10"/>
    <sheet name="MST Données" sheetId="9" state="visible" r:id="rId11"/>
    <sheet name="MST Scénarios" sheetId="10" state="visible" r:id="rId12"/>
    <sheet name="Intégré" sheetId="11" state="visible" r:id="rId13"/>
    <sheet name="Sources" sheetId="12" state="visible" r:id="rId14"/>
  </sheets>
  <definedNames>
    <definedName function="false" hidden="false" name="Annees_lancement" vbProcedure="false">Paramètres!$C$15</definedName>
    <definedName function="false" hidden="false" name="AN_depart" vbProcedure="false">Paramètres!$C$13</definedName>
    <definedName function="false" hidden="false" name="Appels_base" vbProcedure="false">Paramètres!$C$90</definedName>
    <definedName function="false" hidden="false" name="Blocage_mois" vbProcedure="false">Paramètres!$C$30</definedName>
    <definedName function="false" hidden="false" name="Cap_normal" vbProcedure="false">ALP!$J$13</definedName>
    <definedName function="false" hidden="false" name="Cash_cible" vbProcedure="false">Paramètres!$C$99</definedName>
    <definedName function="false" hidden="false" name="Cash_min" vbProcedure="false">Paramètres!$C$98</definedName>
    <definedName function="false" hidden="false" name="Cession_autorisee" vbProcedure="false">Paramètres!$C$111</definedName>
    <definedName function="false" hidden="false" name="Cession_gate_10" vbProcedure="false">'LST Reverse'!$C$185</definedName>
    <definedName function="false" hidden="false" name="Cession_nogate_10" vbProcedure="false">'LST Reverse'!$D$185</definedName>
    <definedName function="false" hidden="false" name="Collecte_norm" vbProcedure="false">Paramètres!$C$89</definedName>
    <definedName function="false" hidden="false" name="Couv_LTTL_S3" vbProcedure="false">LLP!$C$20</definedName>
    <definedName function="false" hidden="false" name="DateArrete" vbProcedure="false">Paramètres!$C$10</definedName>
    <definedName function="false" hidden="false" name="Date_depart" vbProcedure="false">Paramètres!$C$12</definedName>
    <definedName function="false" hidden="false" name="Date_lancement" vbProcedure="false">Paramètres!$C$11</definedName>
    <definedName function="false" hidden="false" name="Deduction_sortie" vbProcedure="false">Paramètres!$C$31</definedName>
    <definedName function="false" hidden="false" name="Ecart_TTL_N" vbProcedure="false">LLP!$C$18</definedName>
    <definedName function="false" hidden="false" name="Ecart_TTL_S2" vbProcedure="false">LLP!$D$18</definedName>
    <definedName function="false" hidden="false" name="Ecart_TTL_S3" vbProcedure="false">LLP!$E$18</definedName>
    <definedName function="false" hidden="false" name="Ecart_TTL_S4" vbProcedure="false">LLP!$F$18</definedName>
    <definedName function="false" hidden="false" name="Emprunt" vbProcedure="false">Paramètres!$C$37</definedName>
    <definedName function="false" hidden="false" name="Entreprises_max" vbProcedure="false">Paramètres!$C$38</definedName>
    <definedName function="false" hidden="false" name="Fee_SGP" vbProcedure="false">Paramètres!$C$92</definedName>
    <definedName function="false" hidden="false" name="Frais_an" vbProcedure="false">Paramètres!$C$95</definedName>
    <definedName function="false" hidden="false" name="Frais_fixes" vbProcedure="false">Paramètres!$C$94</definedName>
    <definedName function="false" hidden="false" name="Frais_var" vbProcedure="false">Paramètres!$C$91</definedName>
    <definedName function="false" hidden="false" name="Gate" vbProcedure="false">Paramètres!$C$27</definedName>
    <definedName function="false" hidden="false" name="Gate_actif" vbProcedure="false">Paramètres!$C$108</definedName>
    <definedName function="false" hidden="false" name="Gate_base" vbProcedure="false">Paramètres!$C$28</definedName>
    <definedName function="false" hidden="false" name="G_ar1" vbProcedure="false">'MST Données'!$J$29</definedName>
    <definedName function="false" hidden="false" name="G_ar1_m" vbProcedure="false">'MST Données'!$J$32</definedName>
    <definedName function="false" hidden="false" name="G_vol_brute" vbProcedure="false">'MST Données'!$J$30</definedName>
    <definedName function="false" hidden="false" name="G_vol_desm" vbProcedure="false">'MST Données'!$J$31</definedName>
    <definedName function="false" hidden="false" name="HQLA_N" vbProcedure="false">ALP!$C$22</definedName>
    <definedName function="false" hidden="false" name="HQLA_S2" vbProcedure="false">ALP!$D$22</definedName>
    <definedName function="false" hidden="false" name="HQLA_S3" vbProcedure="false">ALP!$E$22</definedName>
    <definedName function="false" hidden="false" name="HQLA_S4" vbProcedure="false">ALP!$F$22</definedName>
    <definedName function="false" hidden="false" name="Joint_S1" vbProcedure="false">Intégré!$C$22</definedName>
    <definedName function="false" hidden="false" name="Joint_S2" vbProcedure="false">Intégré!$D$22</definedName>
    <definedName function="false" hidden="false" name="Joint_S3" vbProcedure="false">Intégré!$E$22</definedName>
    <definedName function="false" hidden="false" name="Joint_S4" vbProcedure="false">Intégré!$F$22</definedName>
    <definedName function="false" hidden="false" name="Liq_cible" vbProcedure="false">Paramètres!$C$100</definedName>
    <definedName function="false" hidden="false" name="Liq_min" vbProcedure="false">Paramètres!$C$35</definedName>
    <definedName function="false" hidden="false" name="LST_S1_an8" vbProcedure="false">'LST Moteur'!$C$80</definedName>
    <definedName function="false" hidden="false" name="LST_S1_cession" vbProcedure="false">'LST Moteur'!$C$77</definedName>
    <definedName function="false" hidden="false" name="LST_S1_couv" vbProcedure="false">'LST Moteur'!$C$75</definedName>
    <definedName function="false" hidden="false" name="LST_S1_defaut" vbProcedure="false">'LST Moteur'!$C$79</definedName>
    <definedName function="false" hidden="false" name="LST_S1_evg" vbProcedure="false">'LST Moteur'!$C$76</definedName>
    <definedName function="false" hidden="false" name="LST_S1_file" vbProcedure="false">'LST Moteur'!$C$71</definedName>
    <definedName function="false" hidden="false" name="LST_S1_file8" vbProcedure="false">'LST Moteur'!$C$72</definedName>
    <definedName function="false" hidden="false" name="LST_S1_gated" vbProcedure="false">'LST Moteur'!$C$70</definedName>
    <definedName function="false" hidden="false" name="LST_S1_gel" vbProcedure="false">'LST Moteur'!$C$81</definedName>
    <definedName function="false" hidden="false" name="LST_S1_pertes" vbProcedure="false">'LST Moteur'!$C$78</definedName>
    <definedName function="false" hidden="false" name="LST_S1_poche" vbProcedure="false">'LST Moteur'!$C$74</definedName>
    <definedName function="false" hidden="false" name="LST_S1_sureng" vbProcedure="false">'LST Moteur'!$C$82</definedName>
    <definedName function="false" hidden="false" name="LST_S1_susp" vbProcedure="false">'LST Moteur'!$C$73</definedName>
    <definedName function="false" hidden="false" name="LST_S1_verdict" vbProcedure="false">'LST Moteur'!$C$83</definedName>
    <definedName function="false" hidden="false" name="LST_S2_an8" vbProcedure="false">'LST Moteur'!$C$161</definedName>
    <definedName function="false" hidden="false" name="LST_S2_cession" vbProcedure="false">'LST Moteur'!$C$158</definedName>
    <definedName function="false" hidden="false" name="LST_S2_couv" vbProcedure="false">'LST Moteur'!$C$156</definedName>
    <definedName function="false" hidden="false" name="LST_S2_defaut" vbProcedure="false">'LST Moteur'!$C$160</definedName>
    <definedName function="false" hidden="false" name="LST_S2_evg" vbProcedure="false">'LST Moteur'!$C$157</definedName>
    <definedName function="false" hidden="false" name="LST_S2_file" vbProcedure="false">'LST Moteur'!$C$152</definedName>
    <definedName function="false" hidden="false" name="LST_S2_file8" vbProcedure="false">'LST Moteur'!$C$153</definedName>
    <definedName function="false" hidden="false" name="LST_S2_gated" vbProcedure="false">'LST Moteur'!$C$151</definedName>
    <definedName function="false" hidden="false" name="LST_S2_gel" vbProcedure="false">'LST Moteur'!$C$162</definedName>
    <definedName function="false" hidden="false" name="LST_S2_pertes" vbProcedure="false">'LST Moteur'!$C$159</definedName>
    <definedName function="false" hidden="false" name="LST_S2_poche" vbProcedure="false">'LST Moteur'!$C$155</definedName>
    <definedName function="false" hidden="false" name="LST_S2_sureng" vbProcedure="false">'LST Moteur'!$C$163</definedName>
    <definedName function="false" hidden="false" name="LST_S2_susp" vbProcedure="false">'LST Moteur'!$C$154</definedName>
    <definedName function="false" hidden="false" name="LST_S2_verdict" vbProcedure="false">'LST Moteur'!$C$164</definedName>
    <definedName function="false" hidden="false" name="LST_S3_an8" vbProcedure="false">'LST Moteur'!$C$242</definedName>
    <definedName function="false" hidden="false" name="LST_S3_cession" vbProcedure="false">'LST Moteur'!$C$239</definedName>
    <definedName function="false" hidden="false" name="LST_S3_couv" vbProcedure="false">'LST Moteur'!$C$237</definedName>
    <definedName function="false" hidden="false" name="LST_S3_defaut" vbProcedure="false">'LST Moteur'!$C$241</definedName>
    <definedName function="false" hidden="false" name="LST_S3_evg" vbProcedure="false">'LST Moteur'!$C$238</definedName>
    <definedName function="false" hidden="false" name="LST_S3_file" vbProcedure="false">'LST Moteur'!$C$233</definedName>
    <definedName function="false" hidden="false" name="LST_S3_file8" vbProcedure="false">'LST Moteur'!$C$234</definedName>
    <definedName function="false" hidden="false" name="LST_S3_gated" vbProcedure="false">'LST Moteur'!$C$232</definedName>
    <definedName function="false" hidden="false" name="LST_S3_gel" vbProcedure="false">'LST Moteur'!$C$243</definedName>
    <definedName function="false" hidden="false" name="LST_S3_pertes" vbProcedure="false">'LST Moteur'!$C$240</definedName>
    <definedName function="false" hidden="false" name="LST_S3_poche" vbProcedure="false">'LST Moteur'!$C$236</definedName>
    <definedName function="false" hidden="false" name="LST_S3_sureng" vbProcedure="false">'LST Moteur'!$C$244</definedName>
    <definedName function="false" hidden="false" name="LST_S3_susp" vbProcedure="false">'LST Moteur'!$C$235</definedName>
    <definedName function="false" hidden="false" name="LST_S3_verdict" vbProcedure="false">'LST Moteur'!$C$245</definedName>
    <definedName function="false" hidden="false" name="LST_S4_an8" vbProcedure="false">'LST Moteur'!$C$323</definedName>
    <definedName function="false" hidden="false" name="LST_S4_cession" vbProcedure="false">'LST Moteur'!$C$320</definedName>
    <definedName function="false" hidden="false" name="LST_S4_couv" vbProcedure="false">'LST Moteur'!$C$318</definedName>
    <definedName function="false" hidden="false" name="LST_S4_defaut" vbProcedure="false">'LST Moteur'!$C$322</definedName>
    <definedName function="false" hidden="false" name="LST_S4_evg" vbProcedure="false">'LST Moteur'!$C$319</definedName>
    <definedName function="false" hidden="false" name="LST_S4_file" vbProcedure="false">'LST Moteur'!$C$314</definedName>
    <definedName function="false" hidden="false" name="LST_S4_file8" vbProcedure="false">'LST Moteur'!$C$315</definedName>
    <definedName function="false" hidden="false" name="LST_S4_gated" vbProcedure="false">'LST Moteur'!$C$313</definedName>
    <definedName function="false" hidden="false" name="LST_S4_gel" vbProcedure="false">'LST Moteur'!$C$324</definedName>
    <definedName function="false" hidden="false" name="LST_S4_pertes" vbProcedure="false">'LST Moteur'!$C$321</definedName>
    <definedName function="false" hidden="false" name="LST_S4_poche" vbProcedure="false">'LST Moteur'!$C$317</definedName>
    <definedName function="false" hidden="false" name="LST_S4_sureng" vbProcedure="false">'LST Moteur'!$C$325</definedName>
    <definedName function="false" hidden="false" name="LST_S4_susp" vbProcedure="false">'LST Moteur'!$C$316</definedName>
    <definedName function="false" hidden="false" name="LST_S4_verdict" vbProcedure="false">'LST Moteur'!$C$326</definedName>
    <definedName function="false" hidden="false" name="LTTL_max" vbProcedure="false">LLP!$E$10</definedName>
    <definedName function="false" hidden="false" name="LTTL_min" vbProcedure="false">LLP!$C$10</definedName>
    <definedName function="false" hidden="false" name="LTTL_moy" vbProcedure="false">LLP!$D$10</definedName>
    <definedName function="false" hidden="false" name="LTTL_pond" vbProcedure="false">LLP!$C$12</definedName>
    <definedName function="false" hidden="false" name="LTTL_prol" vbProcedure="false">LLP!$F$10</definedName>
    <definedName function="false" hidden="false" name="MST_S1_creux" vbProcedure="false">'MST Scénarios'!$C$26</definedName>
    <definedName function="false" hidden="false" name="MST_S1_reprise" vbProcedure="false">'MST Scénarios'!$C$27</definedName>
    <definedName function="false" hidden="false" name="MST_S1_verdict" vbProcedure="false">'MST Scénarios'!$C$28</definedName>
    <definedName function="false" hidden="false" name="MST_S2_creux" vbProcedure="false">'MST Scénarios'!$C$51</definedName>
    <definedName function="false" hidden="false" name="MST_S2_reprise" vbProcedure="false">'MST Scénarios'!$C$52</definedName>
    <definedName function="false" hidden="false" name="MST_S2_verdict" vbProcedure="false">'MST Scénarios'!$C$53</definedName>
    <definedName function="false" hidden="false" name="MST_S3_creux" vbProcedure="false">'MST Scénarios'!$C$76</definedName>
    <definedName function="false" hidden="false" name="MST_S3_reprise" vbProcedure="false">'MST Scénarios'!$C$77</definedName>
    <definedName function="false" hidden="false" name="MST_S3_verdict" vbProcedure="false">'MST Scénarios'!$C$78</definedName>
    <definedName function="false" hidden="false" name="MST_S4_creux" vbProcedure="false">'MST Scénarios'!$C$101</definedName>
    <definedName function="false" hidden="false" name="MST_S4_reprise" vbProcedure="false">'MST Scénarios'!$C$102</definedName>
    <definedName function="false" hidden="false" name="MST_S4_verdict" vbProcedure="false">'MST Scénarios'!$C$103</definedName>
    <definedName function="false" hidden="false" name="NAV_Frequence" vbProcedure="false">Paramètres!$C$19</definedName>
    <definedName function="false" hidden="false" name="NA_total" vbProcedure="false">ALP!$I$13</definedName>
    <definedName function="false" hidden="false" name="Part_appelee" vbProcedure="false">Paramètres!$C$47</definedName>
    <definedName function="false" hidden="false" name="Part_bloquee" vbProcedure="false">Paramètres!$C$104</definedName>
    <definedName function="false" hidden="false" name="Phase" vbProcedure="false">Paramètres!$C$14</definedName>
    <definedName function="false" hidden="false" name="Poche_min_exec" vbProcedure="false">Paramètres!$C$101</definedName>
    <definedName function="false" hidden="false" name="Preavis_j" vbProcedure="false">Paramètres!$C$23</definedName>
    <definedName function="false" hidden="false" name="Preavis_max_j" vbProcedure="false">Paramètres!$C$32</definedName>
    <definedName function="false" hidden="false" name="Prolong_actif" vbProcedure="false">Paramètres!$C$110</definedName>
    <definedName function="false" hidden="false" name="Prolong_max_mois" vbProcedure="false">Paramètres!$C$33</definedName>
    <definedName function="false" hidden="false" name="Publication_JO" vbProcedure="false">Paramètres!$C$24</definedName>
    <definedName function="false" hidden="false" name="Rachats_norm" vbProcedure="false">Paramètres!$C$88</definedName>
    <definedName function="false" hidden="false" name="Rachats_par_an" vbProcedure="false">Paramètres!$C$22</definedName>
    <definedName function="false" hidden="false" name="Rachat_Frequence" vbProcedure="false">Paramètres!$C$21</definedName>
    <definedName function="false" hidden="false" name="Reglement_cal" vbProcedure="false">Paramètres!$C$26</definedName>
    <definedName function="false" hidden="false" name="Reglement_JO" vbProcedure="false">Paramètres!$C$25</definedName>
    <definedName function="false" hidden="false" name="Reinvest_actif" vbProcedure="false">Paramètres!$C$113</definedName>
    <definedName function="false" hidden="false" name="Reports_max" vbProcedure="false">Paramètres!$C$29</definedName>
    <definedName function="false" hidden="false" name="Reverse_flux" vbProcedure="false">Paramètres!$C$112</definedName>
    <definedName function="false" hidden="false" name="Rupture_appels" vbProcedure="false">'LST Reverse'!$C$197</definedName>
    <definedName function="false" hidden="false" name="Rupture_gated" vbProcedure="false">'LST Reverse'!$C$96</definedName>
    <definedName function="false" hidden="false" name="Rupture_impossible" vbProcedure="false">'LST Reverse'!$C$183</definedName>
    <definedName function="false" hidden="false" name="Rupture_suspension" vbProcedure="false">'LST Reverse'!$C$97</definedName>
    <definedName function="false" hidden="false" name="Rupture_ungated" vbProcedure="false">'LST Reverse'!$C$182</definedName>
    <definedName function="false" hidden="false" name="SGP_min" vbProcedure="false">Paramètres!$C$93</definedName>
    <definedName function="false" hidden="false" name="Sous_Frequence" vbProcedure="false">Paramètres!$C$20</definedName>
    <definedName function="false" hidden="false" name="Surengagement_max" vbProcedure="false">Paramètres!$C$36</definedName>
    <definedName function="false" hidden="false" name="Suspension_auto" vbProcedure="false">Paramètres!$C$109</definedName>
    <definedName function="false" hidden="false" name="Suspension_pouvoir" vbProcedure="false">Paramètres!$C$34</definedName>
    <definedName function="false" hidden="false" name="S_couv_orange" vbProcedure="false">Paramètres!$C$121</definedName>
    <definedName function="false" hidden="false" name="S_couv_rouge" vbProcedure="false">Paramètres!$C$120</definedName>
    <definedName function="false" hidden="false" name="S_file_rouge" vbProcedure="false">Paramètres!$C$117</definedName>
    <definedName function="false" hidden="false" name="S_mst_orange" vbProcedure="false">Paramètres!$C$122</definedName>
    <definedName function="false" hidden="false" name="S_mst_rouge" vbProcedure="false">Paramètres!$C$123</definedName>
    <definedName function="false" hidden="false" name="S_poche_orange" vbProcedure="false">Paramètres!$C$119</definedName>
    <definedName function="false" hidden="false" name="S_poche_rouge" vbProcedure="false">Paramètres!$C$118</definedName>
    <definedName function="false" hidden="false" name="T90_N" vbProcedure="false">ALP!$C$20</definedName>
    <definedName function="false" hidden="false" name="T90_S2" vbProcedure="false">ALP!$D$20</definedName>
    <definedName function="false" hidden="false" name="T90_S3" vbProcedure="false">ALP!$E$20</definedName>
    <definedName function="false" hidden="false" name="T90_S4" vbProcedure="false">ALP!$F$20</definedName>
    <definedName function="false" hidden="false" name="Tailles_AN" vbProcedure="false">Paramètres!$C$44:$G$44</definedName>
    <definedName function="false" hidden="false" name="Taille_min" vbProcedure="false">Paramètres!$C$96</definedName>
    <definedName function="false" hidden="false" name="Taille_sel" vbProcedure="false">Paramètres!$C$43</definedName>
    <definedName function="false" hidden="false" name="Ticket_Macquarie" vbProcedure="false">Paramètres!$C$97</definedName>
    <definedName function="false" hidden="false" name="Top1" vbProcedure="false">Paramètres!$C$102</definedName>
    <definedName function="false" hidden="false" name="Top1_dates" vbProcedure="false">Concentration!$D$25</definedName>
    <definedName function="false" hidden="false" name="Top1_verdict" vbProcedure="false">Concentration!$D$26</definedName>
    <definedName function="false" hidden="false" name="Top5" vbProcedure="false">Paramètres!$C$103</definedName>
    <definedName function="false" hidden="false" name="Transmission_impl" vbProcedure="false">'MST Données'!$J$36</definedName>
    <definedName function="false" hidden="false" name="Valeur_gate" vbProcedure="false">'LST Reverse'!$C$184</definedName>
    <definedName function="false" hidden="false" name="VEV_cote" vbProcedure="false">'MST Données'!$J$34</definedName>
    <definedName function="false" hidden="false" name="VEV_priv" vbProcedure="false">'MST Données'!$J$33</definedName>
    <definedName function="false" hidden="false" name="WATTL_N" vbProcedure="false">ALP!$C$19</definedName>
    <definedName function="false" hidden="false" name="WATTL_S2" vbProcedure="false">ALP!$D$19</definedName>
    <definedName function="false" hidden="false" name="WATTL_S3" vbProcedure="false">ALP!$E$19</definedName>
    <definedName function="false" hidden="false" name="WATTL_S4" vbProcedure="false">ALP!$F$19</definedName>
    <definedName function="false" hidden="false" name="W_cash" vbProcedure="false">Paramètres!$D$73</definedName>
    <definedName function="false" hidden="false" name="W_HY" vbProcedure="false">Paramètres!$D$72</definedName>
    <definedName function="false" hidden="false" name="W_total" vbProcedure="false">Paramètres!$D$74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<sst xmlns="http://schemas.openxmlformats.org/spreadsheetml/2006/main" count="1939" uniqueCount="760">
  <si>
    <t xml:space="preserve">TABLEAU DE BORD LST ET MST - OPENSTONE INFRAWORLD, COMPARTIMENT I</t>
  </si>
  <si>
    <t xml:space="preserve">A. INDICATEURS DE TÊTE</t>
  </si>
  <si>
    <t xml:space="preserve">Indicateur</t>
  </si>
  <si>
    <t xml:space="preserve">Valeur</t>
  </si>
  <si>
    <t xml:space="preserve">Lecture</t>
  </si>
  <si>
    <t xml:space="preserve">Taille de lancement retenue (sélecteur de l'onglet Paramètres)</t>
  </si>
  <si>
    <t xml:space="preserve">Comparatif des cinq tailles dans l'onglet dédié</t>
  </si>
  <si>
    <t xml:space="preserve">Écart actif - passif en régime normal (jours)</t>
  </si>
  <si>
    <t xml:space="preserve">WATTL actif moins LTTL moyen ; porté par la poche liquide et le plafonnement</t>
  </si>
  <si>
    <t xml:space="preserve">Écart actif - passif en S3 (jours)</t>
  </si>
  <si>
    <t xml:space="preserve">Justification structurelle du gate de 5 %</t>
  </si>
  <si>
    <t xml:space="preserve">Actifs liquides à 30 jours, normal / S3</t>
  </si>
  <si>
    <t xml:space="preserve">Trésorerie et fonds HY après haircut</t>
  </si>
  <si>
    <t xml:space="preserve">Capacité maximale de sortie sur douze mois (2 × gate)</t>
  </si>
  <si>
    <t xml:space="preserve">Prospectus art. 7.2.6</t>
  </si>
  <si>
    <t xml:space="preserve">Part du premier porteur et dates de gate consommées</t>
  </si>
  <si>
    <t xml:space="preserve">Choc porteur 1</t>
  </si>
  <si>
    <t xml:space="preserve">Point de rupture avec plafonnement (taux par date)</t>
  </si>
  <si>
    <t xml:space="preserve">Premier taux imposant des cessions décotées malgré le gate ; suspension dès le premier taux supérieur au gate</t>
  </si>
  <si>
    <t xml:space="preserve">Point de rupture sans plafonnement (taux par date)</t>
  </si>
  <si>
    <t xml:space="preserve">Premier taux imposant des cessions décotées ; cession impossible au-delà de la valeur en colonne D</t>
  </si>
  <si>
    <t xml:space="preserve">Point de rupture des appels de fonds (non-appelé, % AN)</t>
  </si>
  <si>
    <t xml:space="preserve">Non-appelé au-delà duquel une cession s'impose en douze mois</t>
  </si>
  <si>
    <t xml:space="preserve">Cessions à la date 8 pour 10 % de rachats par date : avec puis sans plafonnement</t>
  </si>
  <si>
    <t xml:space="preserve">Valeur du plafonnement : la file remplace la vente forcée</t>
  </si>
  <si>
    <t xml:space="preserve">Première date de triple gel en S3</t>
  </si>
  <si>
    <t xml:space="preserve">Collecte, distributions et capacité evergreen gelées ensemble</t>
  </si>
  <si>
    <t xml:space="preserve">B. VERDICTS PAR SCÉNARIO</t>
  </si>
  <si>
    <t xml:space="preserve">Scénario</t>
  </si>
  <si>
    <t xml:space="preserve">MST (creux de VL)</t>
  </si>
  <si>
    <t xml:space="preserve">LST (file à la date 8)</t>
  </si>
  <si>
    <t xml:space="preserve">Suspension</t>
  </si>
  <si>
    <t xml:space="preserve">Verdict conjoint</t>
  </si>
  <si>
    <t xml:space="preserve">S1 Base</t>
  </si>
  <si>
    <t xml:space="preserve">Rachats courants, collecte normale, marchés stables</t>
  </si>
  <si>
    <t xml:space="preserve">S2 Plausible</t>
  </si>
  <si>
    <t xml:space="preserve">Correction de marché à 1,5 écart-type, rachats de 7,5 % sur deux dates, collecte divisée par deux</t>
  </si>
  <si>
    <t xml:space="preserve">S3 Sévère</t>
  </si>
  <si>
    <t xml:space="preserve">Réplique 2008 : pire semestre historique des proxies, rachats de 15 % sur deux dates, collecte nulle, sortie du premier porteur</t>
  </si>
  <si>
    <t xml:space="preserve">S4 Extrême</t>
  </si>
  <si>
    <t xml:space="preserve">Queue de distribution à 3,5 écarts-types, rachats de 25 % puis 20 %, gel des distributions, pairs saturant les fonds evergreen</t>
  </si>
  <si>
    <t xml:space="preserve">C. ACTIONS RECOMMANDÉES   déduites des seuils de l'onglet Intégré</t>
  </si>
  <si>
    <t xml:space="preserve">D. HYPOTHÈSES CLÉS À VALIDER EN COMITÉ</t>
  </si>
  <si>
    <t xml:space="preserve">Taux de rachat par scénario et collecte (Paramètres G) : aucun historique, hypothèses de la Fonction Risques.</t>
  </si>
  <si>
    <t xml:space="preserve">Transmission des chocs cotés aux VL privées : 0,5 par défaut, cohérente avec le rapport VEV privée / VEV cotée du DIC (MST Données).</t>
  </si>
  <si>
    <t xml:space="preserve">Pression des pairs sur les gates de PG NGI et d'Ares AGI : 1 en S3 et S4 aux deux premières dates (aucun rachat récupérable).</t>
  </si>
  <si>
    <t xml:space="preserve">Décotes de cession secondaire : 15 % (S2), 25 % (S3), 35 % (S4) sur les fonds fermés ; 1 à 5 % sur le fonds HY.</t>
  </si>
  <si>
    <t xml:space="preserve">Registre des porteurs hypothétique : à remplacer avant la première VL.</t>
  </si>
  <si>
    <t xml:space="preserve">PARAMÈTRES - ANCRES DU PROSPECTUS, ALLOCATION, HYPOTHÈSES ET CALIBRATION</t>
  </si>
  <si>
    <t xml:space="preserve">Source unique de tous les calculs. Cellules cyan : saisies modifiables. Les autres onglets ne contiennent que des formules. Les ancres citent l'article du prospectus du 30/09/2026 (colonne Source).</t>
  </si>
  <si>
    <t xml:space="preserve">A. IDENTIFICATION ET DATES</t>
  </si>
  <si>
    <t xml:space="preserve">Paramètre</t>
  </si>
  <si>
    <t xml:space="preserve">Unité</t>
  </si>
  <si>
    <t xml:space="preserve">Source</t>
  </si>
  <si>
    <t xml:space="preserve">Commentaire</t>
  </si>
  <si>
    <t xml:space="preserve">Fonds</t>
  </si>
  <si>
    <t xml:space="preserve">Openstone Infraworld, Compartiment I</t>
  </si>
  <si>
    <t xml:space="preserve">-</t>
  </si>
  <si>
    <t xml:space="preserve">Prospectus, p. 1</t>
  </si>
  <si>
    <t xml:space="preserve">Société de Gestion</t>
  </si>
  <si>
    <t xml:space="preserve">Fundcraft France SAS, GP-20260008</t>
  </si>
  <si>
    <t xml:space="preserve">Structure</t>
  </si>
  <si>
    <t xml:space="preserve">Fonds de fonds evergreen investissant en direct dans deux fonds fermés, deux fonds evergreen, un fonds obligataire HY quotidien et de la trésorerie</t>
  </si>
  <si>
    <t xml:space="preserve">Prospectus art. 3</t>
  </si>
  <si>
    <t xml:space="preserve">Date d'arrêté</t>
  </si>
  <si>
    <t xml:space="preserve">date</t>
  </si>
  <si>
    <t xml:space="preserve">Date de première VL (lancement)</t>
  </si>
  <si>
    <t xml:space="preserve">Hypothèse : constitution au T4 2026</t>
  </si>
  <si>
    <t xml:space="preserve">Pilote la fin du blocage et la phase du Fonds.</t>
  </si>
  <si>
    <t xml:space="preserve">Fin de la Période de Blocage = première date de rachat</t>
  </si>
  <si>
    <t xml:space="preserve">Prospectus art. 7.2.2 : deux ans à compter de la souscription</t>
  </si>
  <si>
    <t xml:space="preserve">Actif net au départ de la projection</t>
  </si>
  <si>
    <t xml:space="preserve">EUR</t>
  </si>
  <si>
    <t xml:space="preserve">Taille retenue dans le bloc C</t>
  </si>
  <si>
    <t xml:space="preserve">Phase du Fonds</t>
  </si>
  <si>
    <t xml:space="preserve">Dérivé</t>
  </si>
  <si>
    <t xml:space="preserve">En montée en charge, la concentration des porteurs domine le risque de plafonnement.</t>
  </si>
  <si>
    <t xml:space="preserve">Années depuis le lancement à la date de départ</t>
  </si>
  <si>
    <t xml:space="preserve">ans</t>
  </si>
  <si>
    <t xml:space="preserve">B. ANCRES DU PROSPECTUS   (aucune valeur de passif codée ailleurs)</t>
  </si>
  <si>
    <t xml:space="preserve">Ancre</t>
  </si>
  <si>
    <t xml:space="preserve">Fréquence de la VL</t>
  </si>
  <si>
    <t xml:space="preserve">Mensuelle</t>
  </si>
  <si>
    <t xml:space="preserve">Prospectus art. 6 : dernier jour calendaire de chaque mois</t>
  </si>
  <si>
    <t xml:space="preserve">Fréquence des souscriptions</t>
  </si>
  <si>
    <t xml:space="preserve">Mensuelle, centralisation 25 JO avant la VL</t>
  </si>
  <si>
    <t xml:space="preserve">Prospectus art. 7.1.2</t>
  </si>
  <si>
    <t xml:space="preserve">Fréquence des rachats</t>
  </si>
  <si>
    <t xml:space="preserve">Semestrielle : VL du 30/06 et du 31/12</t>
  </si>
  <si>
    <t xml:space="preserve">Prospectus art. 7.2.1</t>
  </si>
  <si>
    <t xml:space="preserve">Dates de rachat par an</t>
  </si>
  <si>
    <t xml:space="preserve">dates</t>
  </si>
  <si>
    <t xml:space="preserve">Préavis : centralisation le 31/03 ou le 30/09</t>
  </si>
  <si>
    <t xml:space="preserve">jours cal.</t>
  </si>
  <si>
    <t xml:space="preserve">Prospectus art. 7.2.3</t>
  </si>
  <si>
    <t xml:space="preserve">Jours entre la Date de Centralisation et la VL de rachat.</t>
  </si>
  <si>
    <t xml:space="preserve">Publication de la VL après la date de VL</t>
  </si>
  <si>
    <t xml:space="preserve">JO</t>
  </si>
  <si>
    <t xml:space="preserve">Prospectus art. 6 et 7.1.5</t>
  </si>
  <si>
    <t xml:space="preserve">Règlement après publication de la VL</t>
  </si>
  <si>
    <t xml:space="preserve">Prospectus art. 7.2.4 : cinq Jours Ouvrés au plus</t>
  </si>
  <si>
    <t xml:space="preserve">Délai VL à cash (publication + règlement)</t>
  </si>
  <si>
    <t xml:space="preserve">Plafond de Rachats (gate) par date</t>
  </si>
  <si>
    <t xml:space="preserve">% AN</t>
  </si>
  <si>
    <t xml:space="preserve">Prospectus art. 7.2.6 : 5 % de l'Actif Net à la VL de rachat</t>
  </si>
  <si>
    <t xml:space="preserve">Assiette : demandes centralisées nettes des souscriptions versées.</t>
  </si>
  <si>
    <t xml:space="preserve">Base du plafond</t>
  </si>
  <si>
    <t xml:space="preserve">AN à la VL du 30/06 ou du 31/12, demandes nettes des souscriptions</t>
  </si>
  <si>
    <t xml:space="preserve">Reports successifs avant examen d'une suspension</t>
  </si>
  <si>
    <t xml:space="preserve">Prospectus art. 7.2.6 ; note de liquidité § 5</t>
  </si>
  <si>
    <t xml:space="preserve">Les demandes reportées perdent la priorité ; Demandes Prioritaires après deux reports.</t>
  </si>
  <si>
    <t xml:space="preserve">Période de Blocage</t>
  </si>
  <si>
    <t xml:space="preserve">mois</t>
  </si>
  <si>
    <t xml:space="preserve">Prospectus art. 7.2.2</t>
  </si>
  <si>
    <t xml:space="preserve">Déduction de sortie anticipée</t>
  </si>
  <si>
    <t xml:space="preserve">%</t>
  </si>
  <si>
    <t xml:space="preserve">DIC du 29/09/2026 : aucune commission de rachat</t>
  </si>
  <si>
    <t xml:space="preserve">Prolongation du Délai de Préavis : préavis maximal</t>
  </si>
  <si>
    <t xml:space="preserve">Prospectus art. 7.2.7</t>
  </si>
  <si>
    <t xml:space="preserve">Prolongation du Délai de Préavis : durée maximale</t>
  </si>
  <si>
    <t xml:space="preserve">Suspension des Rachats</t>
  </si>
  <si>
    <t xml:space="preserve">Oui, circonstances exceptionnelles, sans plafonnement préalable</t>
  </si>
  <si>
    <t xml:space="preserve">Prospectus art. 7.2.8</t>
  </si>
  <si>
    <t xml:space="preserve">Actifs liquides minimum</t>
  </si>
  <si>
    <t xml:space="preserve">Prospectus art. 3 et DIC : 15 % au moins en actifs liquides</t>
  </si>
  <si>
    <t xml:space="preserve">Sur-engagement maximal</t>
  </si>
  <si>
    <t xml:space="preserve">Prospectus art. 23</t>
  </si>
  <si>
    <t xml:space="preserve">Emprunts et instruments dérivés</t>
  </si>
  <si>
    <t xml:space="preserve">Interdits</t>
  </si>
  <si>
    <t xml:space="preserve">Prospectus art. 22 ; aucune couverture de change possible</t>
  </si>
  <si>
    <t xml:space="preserve">Entreprises Cibles (co-investissements) au plus</t>
  </si>
  <si>
    <t xml:space="preserve">C. TAILLE DU FONDS AU LANCEMENT ET ALLOCATION EN EUROS</t>
  </si>
  <si>
    <t xml:space="preserve">Le Fonds n'est pas lancé sous 8 M€. Les fonds Macquarie exigent 10 M$ d'engagement, dérogation écrite possible à 4 M. Règle d'allocation : trésorerie 5 %, fonds HY 10 %, fonds fermés selon les engagements négociés, solde réparti à parts égales entre PG NGI et Ares AGI. Les engagements fermés sont appelés progressivement : la part appelée à la fin du blocage est un paramètre.</t>
  </si>
  <si>
    <t xml:space="preserve">Taille de lancement (M€)</t>
  </si>
  <si>
    <t xml:space="preserve">8 M€</t>
  </si>
  <si>
    <t xml:space="preserve">15 M€</t>
  </si>
  <si>
    <t xml:space="preserve">20 M€</t>
  </si>
  <si>
    <t xml:space="preserve">25 M€</t>
  </si>
  <si>
    <t xml:space="preserve">50 M€</t>
  </si>
  <si>
    <t xml:space="preserve">Taille retenue pour les onglets de calcul (1 = 8 M€ … 5 = 50 M€)</t>
  </si>
  <si>
    <t xml:space="preserve">1-5</t>
  </si>
  <si>
    <t xml:space="preserve">Sélecteur : toute la projection se recalcule</t>
  </si>
  <si>
    <t xml:space="preserve">Actif net au lancement</t>
  </si>
  <si>
    <t xml:space="preserve">Hypothèse de collecte</t>
  </si>
  <si>
    <t xml:space="preserve">Engagement MAPIF II</t>
  </si>
  <si>
    <t xml:space="preserve">Minimum 10 M$, dérogation à 4 M à obtenir par écrit ; 50 M€ : poids cible de la synthèse (34 %)</t>
  </si>
  <si>
    <t xml:space="preserve">Engagement MSIG 3</t>
  </si>
  <si>
    <t xml:space="preserve">Aucune ligne sous 20 M€</t>
  </si>
  <si>
    <t xml:space="preserve">Part des engagements fermés appelée à la fin du blocage</t>
  </si>
  <si>
    <t xml:space="preserve">Tirage sur trois ans : deux tiers environ après deux ans</t>
  </si>
  <si>
    <t xml:space="preserve">MAPIF II - valeur appelée</t>
  </si>
  <si>
    <t xml:space="preserve">MSIG 3 - valeur appelée</t>
  </si>
  <si>
    <t xml:space="preserve">Non-appelé des fonds fermés</t>
  </si>
  <si>
    <t xml:space="preserve">Sortie future, financée par la poche et les distributions</t>
  </si>
  <si>
    <t xml:space="preserve">Trésorerie (5 %)</t>
  </si>
  <si>
    <t xml:space="preserve">Fonds HY UCITS (10 %)</t>
  </si>
  <si>
    <t xml:space="preserve">Solde pour les fonds evergreen</t>
  </si>
  <si>
    <t xml:space="preserve">Doit rester positif</t>
  </si>
  <si>
    <t xml:space="preserve">PG NGI (moitié du solde)</t>
  </si>
  <si>
    <t xml:space="preserve">Minimum 1 M USD (classe I)</t>
  </si>
  <si>
    <t xml:space="preserve">Ares AGI (moitié du solde)</t>
  </si>
  <si>
    <t xml:space="preserve">Minimum 1 M€ (classe C)</t>
  </si>
  <si>
    <t xml:space="preserve">Contrôles par taille</t>
  </si>
  <si>
    <t xml:space="preserve">Poids MAPIF II appelé (% AN)</t>
  </si>
  <si>
    <t xml:space="preserve">Engagement MAPIF II (% AN)</t>
  </si>
  <si>
    <t xml:space="preserve">Concentration sur une ligne : limite interne proposée 35 % (KRI-09)</t>
  </si>
  <si>
    <t xml:space="preserve">Sur-engagement (AN + non-appelé) / AN</t>
  </si>
  <si>
    <t xml:space="preserve">Plafond 130 % (art. 23)</t>
  </si>
  <si>
    <t xml:space="preserve">Dollar non couvert (% AN)</t>
  </si>
  <si>
    <t xml:space="preserve">Frais totaux du Fonds (% AN, part A1)</t>
  </si>
  <si>
    <t xml:space="preserve">% / an</t>
  </si>
  <si>
    <t xml:space="preserve">Frais variables plus prestataires et minimum de la Société de Gestion rapportés à l'encours</t>
  </si>
  <si>
    <t xml:space="preserve">Lancement possible (≥ 8 M€) et solde evergreen positif</t>
  </si>
  <si>
    <t xml:space="preserve">Minimum de lancement et tickets minimaux</t>
  </si>
  <si>
    <t xml:space="preserve">Dérogation Macquarie nécessaire (engagement &lt; 10 M)</t>
  </si>
  <si>
    <t xml:space="preserve">C bis. ALLOCATION À LA FIN DU BLOCAGE ET TERMES DE LIQUIDITÉ DES LIGNES   (taille retenue)</t>
  </si>
  <si>
    <t xml:space="preserve">Poids en % de l'actif net au départ. Non-appelé : part de la ligne encore à appeler (fonds fermés). Gate par trimestre et pression des pairs : fonds evergreen. TTL : délai de conversion en cash en jours, par scénario. Décote : haircut de cession sur le marché secondaire.</t>
  </si>
  <si>
    <t xml:space="preserve">Ligne</t>
  </si>
  <si>
    <t xml:space="preserve">Type</t>
  </si>
  <si>
    <t xml:space="preserve">Poids</t>
  </si>
  <si>
    <t xml:space="preserve">Non-appelé (% ligne)</t>
  </si>
  <si>
    <t xml:space="preserve">Gate trim. (fonds)</t>
  </si>
  <si>
    <t xml:space="preserve">Préavis fonds (jours)</t>
  </si>
  <si>
    <t xml:space="preserve">TTL normal</t>
  </si>
  <si>
    <t xml:space="preserve">TTL S2</t>
  </si>
  <si>
    <t xml:space="preserve">TTL S3</t>
  </si>
  <si>
    <t xml:space="preserve">TTL S4</t>
  </si>
  <si>
    <t xml:space="preserve">MAPIF II</t>
  </si>
  <si>
    <t xml:space="preserve">Fermé</t>
  </si>
  <si>
    <t xml:space="preserve">PPM avril 2026 : aucun rachat, cession agréée par le GP ; appels à 10 JO</t>
  </si>
  <si>
    <t xml:space="preserve">MSIG 3</t>
  </si>
  <si>
    <t xml:space="preserve">PPM février 2026 : retrait annuel après lock-up 3 ans payé au run-off ; traité comme fermé sur l'horizon</t>
  </si>
  <si>
    <t xml:space="preserve">PG NGI</t>
  </si>
  <si>
    <t xml:space="preserve">Ouvert</t>
  </si>
  <si>
    <t xml:space="preserve">Supplément 2 : rachats mensuels, préavis 45 JO, gate 5 % de la VL par trimestre, Special Dealing 180 j</t>
  </si>
  <si>
    <t xml:space="preserve">Ares AGI</t>
  </si>
  <si>
    <t xml:space="preserve">Annexe 7 : rachats trimestriels, gate 5 % net par trimestre, limite ELTIF 27,3 %, déduction 5 % avant 24 mois</t>
  </si>
  <si>
    <t xml:space="preserve">Fonds HY UCITS</t>
  </si>
  <si>
    <t xml:space="preserve">Liquide</t>
  </si>
  <si>
    <t xml:space="preserve">OPCVM obligataire à VL quotidienne (prospectus art. 3)</t>
  </si>
  <si>
    <t xml:space="preserve">Trésorerie</t>
  </si>
  <si>
    <t xml:space="preserve">Dépôts et monétaire ; cible 5 % fixée par la Fonction Risques</t>
  </si>
  <si>
    <t xml:space="preserve">Total</t>
  </si>
  <si>
    <t xml:space="preserve">Doit être égal à 100 %</t>
  </si>
  <si>
    <t xml:space="preserve">C ter. HYPOTHÈSES PAR LIGNE : RENDEMENT, DISTRIBUTIONS, PROXY ET TRANSMISSION DES CHOCS</t>
  </si>
  <si>
    <t xml:space="preserve">Rendement : TRI net cible du DIC. Distributions : % de la valeur par an. Proxy coté : composite du classeur des cours. Transmission : part du choc du proxy coté répercutée dans la VL de la ligne (1 pour un actif coté ; environ 0,5 pour une VL d'expertise, rapport VEV privée / VEV cotée du DIC). Retard : part du choc reportée au semestre suivant. Dollar : part de la ligne en dollars non couverts.</t>
  </si>
  <si>
    <t xml:space="preserve">Rendement net annuel</t>
  </si>
  <si>
    <t xml:space="preserve">Distributions annuelles</t>
  </si>
  <si>
    <t xml:space="preserve">Proxy coté</t>
  </si>
  <si>
    <t xml:space="preserve">Transmission</t>
  </si>
  <si>
    <t xml:space="preserve">Retard (part au semestre suivant)</t>
  </si>
  <si>
    <t xml:space="preserve">Dollar non couvert</t>
  </si>
  <si>
    <t xml:space="preserve">Courbe en J (S3, année 1-3)</t>
  </si>
  <si>
    <t xml:space="preserve">Haircut vente S2</t>
  </si>
  <si>
    <t xml:space="preserve">Haircut vente S3</t>
  </si>
  <si>
    <t xml:space="preserve">Haircut vente S4</t>
  </si>
  <si>
    <t xml:space="preserve">C1 Infrastructure cotée</t>
  </si>
  <si>
    <t xml:space="preserve">C3 Direct lending coté</t>
  </si>
  <si>
    <t xml:space="preserve">Mix 60 % C1, 20 % C3, 20 % C4</t>
  </si>
  <si>
    <t xml:space="preserve">C4 Haut rendement coté</t>
  </si>
  <si>
    <t xml:space="preserve">Taux monétaire</t>
  </si>
  <si>
    <t xml:space="preserve">D. HYPOTHÈSES DE FLUX EN RÉGIME NORMAL</t>
  </si>
  <si>
    <t xml:space="preserve">Rachats demandés par date de rachat</t>
  </si>
  <si>
    <t xml:space="preserve">Hypothèse : aucun historique</t>
  </si>
  <si>
    <t xml:space="preserve">Collecte par semestre</t>
  </si>
  <si>
    <t xml:space="preserve">Prévision du Conseiller à confirmer ; nulle dans les scénarios S3 et S4</t>
  </si>
  <si>
    <t xml:space="preserve">Appels des fonds fermés par semestre</t>
  </si>
  <si>
    <t xml:space="preserve">part du non-appelé initial</t>
  </si>
  <si>
    <t xml:space="preserve">Tirage sur trois ans</t>
  </si>
  <si>
    <t xml:space="preserve">Frais variables du Fonds hors prestataires (part A1 : gestion 0,18 %, conseil 1,07 %, distribution 0,75 %)</t>
  </si>
  <si>
    <t xml:space="preserve">% AN / an</t>
  </si>
  <si>
    <t xml:space="preserve">Prospectus art. 27 ; classeur DIC v2.3</t>
  </si>
  <si>
    <t xml:space="preserve">Commission de gestion de la Société de Gestion</t>
  </si>
  <si>
    <t xml:space="preserve">Prospectus art. 27.2.1</t>
  </si>
  <si>
    <t xml:space="preserve">Minimum annuel de la Société de Gestion</t>
  </si>
  <si>
    <t xml:space="preserve">EUR / an</t>
  </si>
  <si>
    <t xml:space="preserve">Prestataires (dépositaire, valorisateur, CAC) et frais fixes</t>
  </si>
  <si>
    <t xml:space="preserve">Offres du 25/03/2026 (classeur DIC)</t>
  </si>
  <si>
    <t xml:space="preserve">Frais totaux du Fonds à la taille retenue</t>
  </si>
  <si>
    <t xml:space="preserve">2,11 % à 50 M€ ; nettement plus à 8 M€ du fait des frais fixes.</t>
  </si>
  <si>
    <t xml:space="preserve">Taille minimale de lancement</t>
  </si>
  <si>
    <t xml:space="preserve">Décision de la Société de Gestion</t>
  </si>
  <si>
    <t xml:space="preserve">Ticket minimal des fonds Macquarie</t>
  </si>
  <si>
    <t xml:space="preserve">EUR (10 M$)</t>
  </si>
  <si>
    <t xml:space="preserve">PPM MAPIF II et MSIG 3 ; dérogation écrite possible à 4 M</t>
  </si>
  <si>
    <t xml:space="preserve">Trésorerie opérationnelle minimale</t>
  </si>
  <si>
    <t xml:space="preserve">Fonction Risques : plancher avant toute vente</t>
  </si>
  <si>
    <t xml:space="preserve">Trésorerie cible</t>
  </si>
  <si>
    <t xml:space="preserve">Fonction Risques (5 % de cash)</t>
  </si>
  <si>
    <t xml:space="preserve">Poche liquide cible (trésorerie + fonds HY)</t>
  </si>
  <si>
    <t xml:space="preserve">Fonction Risques : un point au-dessus du minimum de 15 % de l'art. 3</t>
  </si>
  <si>
    <t xml:space="preserve">Poche liquide d'exécution (trésorerie + HY) sous laquelle on désinvestit les fonds cibles</t>
  </si>
  <si>
    <t xml:space="preserve">Note de liquidité § 5</t>
  </si>
  <si>
    <t xml:space="preserve">Part du premier porteur</t>
  </si>
  <si>
    <t xml:space="preserve">Hypothèse : registre non constitué</t>
  </si>
  <si>
    <t xml:space="preserve">Part des cinq premiers porteurs</t>
  </si>
  <si>
    <t xml:space="preserve">Hypothèse</t>
  </si>
  <si>
    <t xml:space="preserve">Part de l'actif net encore sous blocage à la date de départ</t>
  </si>
  <si>
    <t xml:space="preserve">Hypothèse : souscriptions étalées sur les deux premières années</t>
  </si>
  <si>
    <t xml:space="preserve">Réduit les demandes possibles aux premières dates ; sert au profil Annex IV passif.</t>
  </si>
  <si>
    <t xml:space="preserve">E. INTERRUPTEURS DE GOUVERNANCE   1 = actif, 0 = inactif</t>
  </si>
  <si>
    <t xml:space="preserve">Interrupteur</t>
  </si>
  <si>
    <t xml:space="preserve">Plafonnement appliqué (0 = la Société de Gestion renonce au gate)</t>
  </si>
  <si>
    <t xml:space="preserve">1/0</t>
  </si>
  <si>
    <t xml:space="preserve">Prospectus art. 7.2.6 : faculté, non obligation</t>
  </si>
  <si>
    <t xml:space="preserve">Suspension automatique après le nombre maximal de reports</t>
  </si>
  <si>
    <t xml:space="preserve">Prolongation du Délai de Préavis activée</t>
  </si>
  <si>
    <t xml:space="preserve">Agit sur le profil de passif (LTTL) ; n'ajoute pas de cash.</t>
  </si>
  <si>
    <t xml:space="preserve">Cession secondaire autorisée pour honorer les rachats</t>
  </si>
  <si>
    <t xml:space="preserve">Décision de gestion</t>
  </si>
  <si>
    <t xml:space="preserve">Profil de flux des tests inversés (1 = S1 normal, 2 = S2, 3 = S3, 4 = S4)</t>
  </si>
  <si>
    <t xml:space="preserve">1-4</t>
  </si>
  <si>
    <t xml:space="preserve">Fonction Risques : par défaut, flux normaux hors collecte pour isoler l'effet des rachats</t>
  </si>
  <si>
    <t xml:space="preserve">La collecte est nulle dans tous les tests inversés (ESMA 34-39-882).</t>
  </si>
  <si>
    <t xml:space="preserve">Réinvestissement de la trésorerie excédentaire (au-dessus de la cible) dans le fonds HY puis les fonds evergreen</t>
  </si>
  <si>
    <t xml:space="preserve">Les fonds fermés ne reçoivent que leurs appels ; la trésorerie cible est conservée.</t>
  </si>
  <si>
    <t xml:space="preserve">F. SEUILS DE VERDICT   (note de liquidité § 5)</t>
  </si>
  <si>
    <t xml:space="preserve">Seuil</t>
  </si>
  <si>
    <t xml:space="preserve">File d'attente : rouge au-delà de</t>
  </si>
  <si>
    <t xml:space="preserve">Poche liquide : rouge en dessous de</t>
  </si>
  <si>
    <t xml:space="preserve">Poche liquide : orange en dessous de</t>
  </si>
  <si>
    <t xml:space="preserve">Prospectus art. 3 (15 % d'actifs liquides)</t>
  </si>
  <si>
    <t xml:space="preserve">Couverture à douze mois : rouge en dessous de</t>
  </si>
  <si>
    <t xml:space="preserve">x</t>
  </si>
  <si>
    <t xml:space="preserve">Couverture à douze mois : orange en dessous de</t>
  </si>
  <si>
    <t xml:space="preserve">Choc de VL (MST) : orange au-delà de</t>
  </si>
  <si>
    <t xml:space="preserve">Pratique de place</t>
  </si>
  <si>
    <t xml:space="preserve">Choc de VL (MST) : rouge au-delà de</t>
  </si>
  <si>
    <t xml:space="preserve">Pratique de place (Solvabilité II : 49 % pour le non coté)</t>
  </si>
  <si>
    <t xml:space="preserve">G. CALIBRATION DES SCÉNARIOS DE LIQUIDITÉ   par date de rachat (semestres 1 à 8)</t>
  </si>
  <si>
    <t xml:space="preserve">Taux de rachat en % de l'actif net de début de période. Multiplicateurs appliqués aux hypothèses de régime normal. Pression des pairs : part de la capacité de rachat des fonds evergreen consommée par les autres investisseurs (1 = plus rien n'est récupérable). Porteur 1 : 1 si le premier porteur demande la sortie intégrale à la date 1.</t>
  </si>
  <si>
    <t xml:space="preserve">Taux de rachat demandé</t>
  </si>
  <si>
    <t xml:space="preserve">Date 1</t>
  </si>
  <si>
    <t xml:space="preserve">Date 2</t>
  </si>
  <si>
    <t xml:space="preserve">Date 3</t>
  </si>
  <si>
    <t xml:space="preserve">Date 4</t>
  </si>
  <si>
    <t xml:space="preserve">Date 5</t>
  </si>
  <si>
    <t xml:space="preserve">Date 6</t>
  </si>
  <si>
    <t xml:space="preserve">Date 7</t>
  </si>
  <si>
    <t xml:space="preserve">Date 8</t>
  </si>
  <si>
    <t xml:space="preserve">S1</t>
  </si>
  <si>
    <t xml:space="preserve">S2</t>
  </si>
  <si>
    <t xml:space="preserve">S3</t>
  </si>
  <si>
    <t xml:space="preserve">S4</t>
  </si>
  <si>
    <t xml:space="preserve">Multiplicateur de collecte</t>
  </si>
  <si>
    <t xml:space="preserve">Multiplicateur des distributions</t>
  </si>
  <si>
    <t xml:space="preserve">Multiplicateur des appels de fonds</t>
  </si>
  <si>
    <t xml:space="preserve">Pression des pairs sur les gates evergreen</t>
  </si>
  <si>
    <t xml:space="preserve">0-1</t>
  </si>
  <si>
    <t xml:space="preserve">Sortie intégrale du premier porteur</t>
  </si>
  <si>
    <t xml:space="preserve">H. CALIBRATION DES CHOCS DE MARCHÉ (MST)   en écarts-types semestriels du proxy coté, par semestre</t>
  </si>
  <si>
    <t xml:space="preserve">Le même profil s'applique à chaque facteur coté (infrastructure, direct lending, crédit HY) avec son propre écart-type (onglet MST Données). Négatif = choc, positif = reprise. Le choc dollar est saisi directement en % (EUR/USD : négatif = dollar en baisse contre l'euro).</t>
  </si>
  <si>
    <t xml:space="preserve">Choc en écarts-types</t>
  </si>
  <si>
    <t xml:space="preserve">σ</t>
  </si>
  <si>
    <t xml:space="preserve">Choc dollar (EUR/USD, % du cours)</t>
  </si>
  <si>
    <t xml:space="preserve">Références de calibration : S2 ≈ percentile 7 % d'un semestre ; S3 ≈ pire semestre historique des composites (2008 non couvert par l'historique de 15 ans, d'où le recours à 2,5 σ) ; S4 ≈ queue à 3,5 σ, cohérente avec le choc Solvabilité II de 49 % appliqué à une VL transmise à moitié. Les chocs sont appliqués aux proxies cotés puis transmis aux VL privées selon la colonne Transmission de l'onglet (retard d'un semestre pour la part non transmise immédiatement).</t>
  </si>
  <si>
    <t xml:space="preserve">COMPARATIF DES TAILLES DE LANCEMENT : 8, 15, 20, 25 ET 50 M€</t>
  </si>
  <si>
    <t xml:space="preserve">Bloc A : allocation en formules (onglet Paramètres C). Bloc B : résultats du moteur pour chaque taille, obtenus par recalcul complet du classeur taille par taille (script tools/lst_mst_infraworld), valeurs figées à la date indiquée ; le sélecteur de l'onglet Paramètres permet de rejouer une taille en direct.</t>
  </si>
  <si>
    <t xml:space="preserve">A. ALLOCATION PAR TAILLE (formules)</t>
  </si>
  <si>
    <t xml:space="preserve">4 M sous dérogation jusqu'à 15 M€ ; 5 M à 20 et 25 M€</t>
  </si>
  <si>
    <t xml:space="preserve">Aucun sous 20 M€</t>
  </si>
  <si>
    <t xml:space="preserve">MAPIF II appelé à la fin du blocage</t>
  </si>
  <si>
    <t xml:space="preserve">MSIG 3 appelé à la fin du blocage</t>
  </si>
  <si>
    <t xml:space="preserve">Non-appelé</t>
  </si>
  <si>
    <t xml:space="preserve">5 % de l'actif net</t>
  </si>
  <si>
    <t xml:space="preserve">10 % de l'actif net</t>
  </si>
  <si>
    <t xml:space="preserve">Moitié du solde</t>
  </si>
  <si>
    <t xml:space="preserve">Poids en % de l'actif net</t>
  </si>
  <si>
    <t xml:space="preserve">MAPIF II (appelé)</t>
  </si>
  <si>
    <t xml:space="preserve">MSIG 3 (appelé)</t>
  </si>
  <si>
    <t xml:space="preserve">Engagement MAPIF II en % de l'actif net</t>
  </si>
  <si>
    <t xml:space="preserve">Concentration : 50 % à 8 M€</t>
  </si>
  <si>
    <t xml:space="preserve">Sur-engagement</t>
  </si>
  <si>
    <t xml:space="preserve">Plafond 130 %</t>
  </si>
  <si>
    <t xml:space="preserve">Frais totaux (part A1)</t>
  </si>
  <si>
    <t xml:space="preserve">Frais fixes rapportés à l'encours</t>
  </si>
  <si>
    <t xml:space="preserve">B. RÉSULTATS DU MOTEUR PAR TAILLE (valeurs figées)   recalcul du 06/10/2026</t>
  </si>
  <si>
    <t xml:space="preserve">Creux de VL (MST)</t>
  </si>
  <si>
    <t xml:space="preserve">Dates plafonnées ou suspendues</t>
  </si>
  <si>
    <t xml:space="preserve">File résiduelle à la date 8 (% AN)</t>
  </si>
  <si>
    <t xml:space="preserve">Première suspension</t>
  </si>
  <si>
    <t xml:space="preserve">Poche liquide minimale (% AN)</t>
  </si>
  <si>
    <t xml:space="preserve">Couverture à douze mois minimale</t>
  </si>
  <si>
    <t xml:space="preserve">Cessions secondaires cumulées (EUR)</t>
  </si>
  <si>
    <t xml:space="preserve">Décotes réalisées (EUR)</t>
  </si>
  <si>
    <t xml:space="preserve">Actif net à la date 8 / départ</t>
  </si>
  <si>
    <t xml:space="preserve">Vert</t>
  </si>
  <si>
    <t xml:space="preserve">Rouge</t>
  </si>
  <si>
    <t xml:space="preserve">Orange</t>
  </si>
  <si>
    <t xml:space="preserve">31/12/2030</t>
  </si>
  <si>
    <t xml:space="preserve">Lecture : la taille modifie peu les mécanismes de passif (gate en % de l'actif net) mais change la concentration (engagement MAPIF II jusqu'à 50 % de l'actif à 8 M€), le poids des frais fixes et l'absence de MSIG 3 sous 20 M€. Les résultats de passif par taille sont proches ; les écarts viennent du non-appelé relatif et des frais.</t>
  </si>
  <si>
    <t xml:space="preserve">ALP - PROFIL DE LIQUIDITÉ DE L'ACTIF (look-through, date de départ)</t>
  </si>
  <si>
    <t xml:space="preserve">Valeur de chaque ligne à la fin du blocage, délai de conversion en cash (TTL) par scénario et classement par tranche Annex IV. Les fonds evergreen ne sont pas liquides à 90 jours : préavis, gate trimestriel de 5 % et pression des pairs portent le délai de récupération complète au-delà de 180 jours. Le non-appelé des fonds fermés est une sortie, pas une ressource.</t>
  </si>
  <si>
    <t xml:space="preserve">A. VALEURS ET DÉLAIS DE CONVERSION</t>
  </si>
  <si>
    <t xml:space="preserve">Valeur (EUR)</t>
  </si>
  <si>
    <t xml:space="preserve">Non-appelé (EUR)</t>
  </si>
  <si>
    <t xml:space="preserve">Capacité de rachat par semestre, normal (EUR)</t>
  </si>
  <si>
    <t xml:space="preserve">Haircut S2</t>
  </si>
  <si>
    <t xml:space="preserve">Haircut S3</t>
  </si>
  <si>
    <t xml:space="preserve">Haircut S4</t>
  </si>
  <si>
    <t xml:space="preserve">Sur-engagement au départ (AN + non-appelé) / AN</t>
  </si>
  <si>
    <t xml:space="preserve">B. DÉLAI MOYEN PONDÉRÉ DE CONVERSION (WATTL) ET T90</t>
  </si>
  <si>
    <t xml:space="preserve">WATTL = Σ valeur × TTL / actif net. T90 = TTL de la ligne où le cumul des valeurs triées par TTL atteint 90 % de l'actif net.</t>
  </si>
  <si>
    <t xml:space="preserve">Mesure</t>
  </si>
  <si>
    <t xml:space="preserve">Normal</t>
  </si>
  <si>
    <t xml:space="preserve">WATTL (jours)</t>
  </si>
  <si>
    <t xml:space="preserve">T90 (jours pour liquider 90 % de l'actif)</t>
  </si>
  <si>
    <t xml:space="preserve">Actifs liquides à 30 jours (HQLA), % AN</t>
  </si>
  <si>
    <t xml:space="preserve">HQLA après haircut, % AN</t>
  </si>
  <si>
    <t xml:space="preserve">Capacité de rachat des fonds evergreen sur douze mois, % AN</t>
  </si>
  <si>
    <t xml:space="preserve">C. PROFIL ANNEX IV, CÔTÉ ACTIF   % de l'actif net liquidable par tranche (AIFMD Annex IV, section 2, question 178)</t>
  </si>
  <si>
    <t xml:space="preserve">Tranche</t>
  </si>
  <si>
    <t xml:space="preserve">Champ Annex IV</t>
  </si>
  <si>
    <t xml:space="preserve">1 jour</t>
  </si>
  <si>
    <t xml:space="preserve">1 day</t>
  </si>
  <si>
    <t xml:space="preserve">2 à 7 jours</t>
  </si>
  <si>
    <t xml:space="preserve">2-7 days</t>
  </si>
  <si>
    <t xml:space="preserve">8 à 30 jours</t>
  </si>
  <si>
    <t xml:space="preserve">8-30 days</t>
  </si>
  <si>
    <t xml:space="preserve">31 à 90 jours</t>
  </si>
  <si>
    <t xml:space="preserve">31-90 days</t>
  </si>
  <si>
    <t xml:space="preserve">91 à 180 jours</t>
  </si>
  <si>
    <t xml:space="preserve">91-180 days</t>
  </si>
  <si>
    <t xml:space="preserve">181 à 365 jours</t>
  </si>
  <si>
    <t xml:space="preserve">181-365 days</t>
  </si>
  <si>
    <t xml:space="preserve">Plus de 365 jours</t>
  </si>
  <si>
    <t xml:space="preserve">more than 365 days</t>
  </si>
  <si>
    <t xml:space="preserve">Convention TTL : trésorerie 1 jour ; OPCVM HY 7 jours (30 en S3) ; fonds evergreen 180 jours en régime normal (préavis 45 JO ou 30 jours, gate trimestriel, règlement), 365 jours et plus en S3 lorsque les pairs saturent le gate ; fonds fermés 365 jours (cession secondaire agréée) à 1 095 jours en S4 (marché secondaire fermé). Les haircuts de cession s'appliquent aux ventes forcées dans le moteur LST.</t>
  </si>
  <si>
    <t xml:space="preserve">LLP - PROFIL DE LIQUIDITÉ DU PASSIF ET ADÉQUATION ACTIF-PASSIF</t>
  </si>
  <si>
    <t xml:space="preserve">Délai de liquidité du passif (LTTL) du point de vue du porteur : préavis, attente de la prochaine date de rachat, publication et règlement. Comparaison au WATTL de l'actif par scénario. Profil Annex IV côté passif.</t>
  </si>
  <si>
    <t xml:space="preserve">A. DÉLAI DE LIQUIDITÉ DU PASSIF (LTTL), EN JOURS CALENDAIRES</t>
  </si>
  <si>
    <t xml:space="preserve">Composante</t>
  </si>
  <si>
    <t xml:space="preserve">Minimum</t>
  </si>
  <si>
    <t xml:space="preserve">Moyen</t>
  </si>
  <si>
    <t xml:space="preserve">Maximum</t>
  </si>
  <si>
    <t xml:space="preserve">Préavis prolongé</t>
  </si>
  <si>
    <t xml:space="preserve">Préavis (centralisation à VL)</t>
  </si>
  <si>
    <t xml:space="preserve">Prospectus art. 7.2.3 et 7.2.7</t>
  </si>
  <si>
    <t xml:space="preserve">Attente de la prochaine date de centralisation</t>
  </si>
  <si>
    <t xml:space="preserve">Deux dates par an : 0 à 182 jours, 91 en moyenne</t>
  </si>
  <si>
    <t xml:space="preserve">Publication de la VL et règlement</t>
  </si>
  <si>
    <t xml:space="preserve">Prospectus art. 6 et 7.2.4</t>
  </si>
  <si>
    <t xml:space="preserve">LTTL hors blocage</t>
  </si>
  <si>
    <t xml:space="preserve">Délai entre la décision de sortir et le cash</t>
  </si>
  <si>
    <t xml:space="preserve">Porteurs encore sous blocage à la date de départ</t>
  </si>
  <si>
    <t xml:space="preserve">Paramètres D : part de l'actif net souscrite depuis moins de 24 mois</t>
  </si>
  <si>
    <t xml:space="preserve">LTTL moyen pondéré du passif (blocage résiduel moyen de 12 mois pour la part bloquée)</t>
  </si>
  <si>
    <t xml:space="preserve">B. ADÉQUATION ACTIF-PASSIF   écart = WATTL actif - LTTL moyen (jours). Positif : l'actif se convertit plus lentement que le passif ne sort ; l'écart est porté par la poche liquide, les flux entrants et le plafonnement.</t>
  </si>
  <si>
    <t xml:space="preserve">WATTL actif (jours)</t>
  </si>
  <si>
    <t xml:space="preserve">Onglet ALP</t>
  </si>
  <si>
    <t xml:space="preserve">LTTL moyen du passif (jours)</t>
  </si>
  <si>
    <t xml:space="preserve">S4 : préavis prolongé à 180 jours (art. 7.2.7)</t>
  </si>
  <si>
    <t xml:space="preserve">Écart actif - passif (jours)</t>
  </si>
  <si>
    <t xml:space="preserve">Vert &lt; 100 ; Orange 100 à 250 ; Rouge &gt; 250</t>
  </si>
  <si>
    <t xml:space="preserve">Verdict</t>
  </si>
  <si>
    <t xml:space="preserve">Le plafonnement de 5 % est la réponse structurelle à cet écart</t>
  </si>
  <si>
    <t xml:space="preserve">Couverture de la sortie maximale sur douze mois (2 × gate) par l'actif convertible dans le LTTL maximal, S3</t>
  </si>
  <si>
    <t xml:space="preserve">Doit dépasser 1 : la poche liquide couvre deux dates plafonnées</t>
  </si>
  <si>
    <t xml:space="preserve">C. PROFIL ANNEX IV, CÔTÉ PASSIF   % de l'actif net rachetable par tranche (question 186), hypothèse de porteurs répartis uniformément</t>
  </si>
  <si>
    <t xml:space="preserve">S2 (gate actif)</t>
  </si>
  <si>
    <t xml:space="preserve">S3 (gate et suspension)</t>
  </si>
  <si>
    <t xml:space="preserve">91-180 days ; une date de rachat au plus dans la fenêtre</t>
  </si>
  <si>
    <t xml:space="preserve">181-365 days ; deuxième date, LTTL max 322 jours</t>
  </si>
  <si>
    <t xml:space="preserve">more than 365 days ; porteurs bloqués et demandes reportées</t>
  </si>
  <si>
    <t xml:space="preserve">Hypothèses : les porteurs hors blocage demandent au plus le plafond par date ; en S3 la première date est plafonnée puis suspendue ; en préavis prolongé la première date glisse de 89 jours. Ce profil alimente la question 186 du reporting Annex IV ; le profil d'actif (ALP) la question 178.</t>
  </si>
  <si>
    <t xml:space="preserve">LST - MOTEUR DE PROJECTION PAR SCÉNARIO : HUIT DATES DE RACHAT SEMESTRIELLES</t>
  </si>
  <si>
    <t xml:space="preserve">Pour chaque scénario : passif (demandes, report, plafond, suspension), flux des lignes (appels, distributions, chocs de marché du MST), cascade de ressources (trésorerie au-dessus du plancher, vente du fonds HY, rachats evergreen sous gate et pression des pairs, cession secondaire décotée), puis indicateurs et verdict par date. Tous les paramètres viennent de l'onglet Paramètres.</t>
  </si>
  <si>
    <t xml:space="preserve">S1 - BASE   Rachats courants, collecte normale, marchés stables</t>
  </si>
  <si>
    <t xml:space="preserve">Date de rachat</t>
  </si>
  <si>
    <t xml:space="preserve">1</t>
  </si>
  <si>
    <t xml:space="preserve">2</t>
  </si>
  <si>
    <t xml:space="preserve">3</t>
  </si>
  <si>
    <t xml:space="preserve">4</t>
  </si>
  <si>
    <t xml:space="preserve">5</t>
  </si>
  <si>
    <t xml:space="preserve">6</t>
  </si>
  <si>
    <t xml:space="preserve">7</t>
  </si>
  <si>
    <t xml:space="preserve">8</t>
  </si>
  <si>
    <t xml:space="preserve">Formule et lecture</t>
  </si>
  <si>
    <t xml:space="preserve">Date de VL de rachat</t>
  </si>
  <si>
    <t xml:space="preserve">Actif net de début de période</t>
  </si>
  <si>
    <t xml:space="preserve">t = 1 : AN de départ ; ensuite AN de fin précédent</t>
  </si>
  <si>
    <t xml:space="preserve">Souscriptions versées sur la période</t>
  </si>
  <si>
    <t xml:space="preserve">Collecte normale × multiplicateur du scénario</t>
  </si>
  <si>
    <t xml:space="preserve">Demandes de rachat nouvelles</t>
  </si>
  <si>
    <t xml:space="preserve">Taux du scénario × AN, plus sortie du premier porteur le cas échéant</t>
  </si>
  <si>
    <t xml:space="preserve">Demandes reportées des dates précédentes</t>
  </si>
  <si>
    <t xml:space="preserve">Report automatique (art. 7.2.6)</t>
  </si>
  <si>
    <t xml:space="preserve">Demandes totales à la date</t>
  </si>
  <si>
    <t xml:space="preserve">Montant exécutable (plafond net des souscriptions)</t>
  </si>
  <si>
    <t xml:space="preserve">Gate × AN + souscriptions versées ; sans limite si le gate est levé</t>
  </si>
  <si>
    <t xml:space="preserve">Suspension des rachats active (1/0)</t>
  </si>
  <si>
    <t xml:space="preserve">Déclenchée après le nombre maximal de reports consécutifs (Paramètres E)</t>
  </si>
  <si>
    <t xml:space="preserve">Rachats exécutés</t>
  </si>
  <si>
    <t xml:space="preserve">Zéro en suspension</t>
  </si>
  <si>
    <t xml:space="preserve">Demandes reportées à la date suivante</t>
  </si>
  <si>
    <t xml:space="preserve">Date plafonnée ou suspendue (1/0)</t>
  </si>
  <si>
    <t xml:space="preserve">Dates plafonnées consécutives</t>
  </si>
  <si>
    <t xml:space="preserve">File d'attente en % de l'AN de début</t>
  </si>
  <si>
    <t xml:space="preserve">MAPIF II - valeur de début</t>
  </si>
  <si>
    <t xml:space="preserve">MSIG 3 - valeur de début</t>
  </si>
  <si>
    <t xml:space="preserve">PG NGI - valeur de début</t>
  </si>
  <si>
    <t xml:space="preserve">Ares AGI - valeur de début</t>
  </si>
  <si>
    <t xml:space="preserve">Fonds HY UCITS - valeur de début</t>
  </si>
  <si>
    <t xml:space="preserve">Trésorerie de début</t>
  </si>
  <si>
    <t xml:space="preserve">Non-appelé de début (fonds fermés)</t>
  </si>
  <si>
    <t xml:space="preserve">Engagements restant à appeler</t>
  </si>
  <si>
    <t xml:space="preserve">Appels de fonds des fonds fermés</t>
  </si>
  <si>
    <t xml:space="preserve">Rythme normal × multiplicateur ; MAPIF II 60 %, MSIG 3 40 % du non-appelé</t>
  </si>
  <si>
    <t xml:space="preserve">Distributions des fonds fermés</t>
  </si>
  <si>
    <t xml:space="preserve">Valeur × taux annuel / 2 × multiplicateur</t>
  </si>
  <si>
    <t xml:space="preserve">Distributions des fonds evergreen</t>
  </si>
  <si>
    <t xml:space="preserve">Imputées sur la capacité de rachat des fonds (PG NGI)</t>
  </si>
  <si>
    <t xml:space="preserve">Frais du Fonds</t>
  </si>
  <si>
    <t xml:space="preserve">Produits de trésorerie</t>
  </si>
  <si>
    <t xml:space="preserve">Besoin de trésorerie brut</t>
  </si>
  <si>
    <t xml:space="preserve">Sorties moins entrées de la période</t>
  </si>
  <si>
    <t xml:space="preserve">Trésorerie mobilisable au-dessus du plancher</t>
  </si>
  <si>
    <t xml:space="preserve">Plancher opérationnel (Paramètres D)</t>
  </si>
  <si>
    <t xml:space="preserve">Besoin après trésorerie</t>
  </si>
  <si>
    <t xml:space="preserve">Vente du fonds HY</t>
  </si>
  <si>
    <t xml:space="preserve">Première ressource après la trésorerie</t>
  </si>
  <si>
    <t xml:space="preserve">Décote réalisée sur la vente HY</t>
  </si>
  <si>
    <t xml:space="preserve">Haircut S2 à S4 (Paramètres C bis)</t>
  </si>
  <si>
    <t xml:space="preserve">Besoin après vente HY</t>
  </si>
  <si>
    <t xml:space="preserve">Capacité de rachat des fonds evergreen (gates, pairs, distributions)</t>
  </si>
  <si>
    <t xml:space="preserve">Deux trimestres de gate à 5 %, part des pairs déduite</t>
  </si>
  <si>
    <t xml:space="preserve">Rachats evergreen demandés : besoin résiduel et reconstitution de la poche d'exécution</t>
  </si>
  <si>
    <t xml:space="preserve">La Fonction Risques demande le rachat dès que trésorerie + HY passent sous la poche d'exécution (Paramètres D)</t>
  </si>
  <si>
    <t xml:space="preserve">Rachats obtenus des fonds evergreen</t>
  </si>
  <si>
    <t xml:space="preserve">Au prorata PG NGI / Ares AGI, dans la limite de la capacité sous gate</t>
  </si>
  <si>
    <t xml:space="preserve">Besoin résiduel</t>
  </si>
  <si>
    <t xml:space="preserve">Cession secondaire des fonds fermés (valeur cédée)</t>
  </si>
  <si>
    <t xml:space="preserve">Montant à céder pour encaisser le besoin après décote</t>
  </si>
  <si>
    <t xml:space="preserve">Décote réalisée sur la cession</t>
  </si>
  <si>
    <t xml:space="preserve">Défaut de liquidité (besoin non couvert)</t>
  </si>
  <si>
    <t xml:space="preserve">Doit rester nul ; sinon la suspension s'impose</t>
  </si>
  <si>
    <t xml:space="preserve">Trésorerie avant réinvestissement</t>
  </si>
  <si>
    <t xml:space="preserve">Le défaut est réintégré pour garder un solde cohérent (rachat non payé)</t>
  </si>
  <si>
    <t xml:space="preserve">Excédent de trésorerie au-dessus de la cible</t>
  </si>
  <si>
    <t xml:space="preserve">Réinvesti si l'interrupteur est actif (Paramètres E)</t>
  </si>
  <si>
    <t xml:space="preserve">Réinvestissement dans le fonds HY (retour au poids cible)</t>
  </si>
  <si>
    <t xml:space="preserve">Réinvestissement dans les fonds evergreen (moitié PG NGI, moitié Ares AGI)</t>
  </si>
  <si>
    <t xml:space="preserve">Les fonds fermés ne reçoivent que les appels</t>
  </si>
  <si>
    <t xml:space="preserve">Trésorerie de fin</t>
  </si>
  <si>
    <t xml:space="preserve">MAPIF II - valeur de fin</t>
  </si>
  <si>
    <t xml:space="preserve">Valeur × (1 + rendement MST) + appels - distributions - cession</t>
  </si>
  <si>
    <t xml:space="preserve">MSIG 3 - valeur de fin</t>
  </si>
  <si>
    <t xml:space="preserve">PG NGI - valeur de fin</t>
  </si>
  <si>
    <t xml:space="preserve">Rendement MST, distributions, rachats obtenus au prorata, réinvestissement</t>
  </si>
  <si>
    <t xml:space="preserve">Ares AGI - valeur de fin</t>
  </si>
  <si>
    <t xml:space="preserve">Fonds HY UCITS - valeur de fin</t>
  </si>
  <si>
    <t xml:space="preserve">Non-appelé de fin</t>
  </si>
  <si>
    <t xml:space="preserve">La cession emporte sa part de non-appelé</t>
  </si>
  <si>
    <t xml:space="preserve">Actif net de fin</t>
  </si>
  <si>
    <t xml:space="preserve">Somme des lignes et de la trésorerie</t>
  </si>
  <si>
    <t xml:space="preserve">Contrôle : AN fin - (AN début + souscriptions - rachats - frais + P&amp;L lignes - décotes)</t>
  </si>
  <si>
    <t xml:space="preserve">Doit être nul</t>
  </si>
  <si>
    <t xml:space="preserve">Poche liquide de fin (trésorerie + HY), % AN</t>
  </si>
  <si>
    <t xml:space="preserve">Rouge &lt; 5 % ; Orange &lt; 15 %</t>
  </si>
  <si>
    <t xml:space="preserve">Couverture à douze mois : ressources mobilisables / deux dates au plafond</t>
  </si>
  <si>
    <t xml:space="preserve">Rouge &lt; 1,0 ; Orange &lt; 1,5</t>
  </si>
  <si>
    <t xml:space="preserve">Exposition dollar non couverte, % AN</t>
  </si>
  <si>
    <t xml:space="preserve">Triple gel (collecte, distributions et capacité evergreen simultanément réduites de moitié)</t>
  </si>
  <si>
    <t xml:space="preserve">Signature de risque evergreen (ESMA 34-39-882)</t>
  </si>
  <si>
    <t xml:space="preserve">Verdict de la date</t>
  </si>
  <si>
    <t xml:space="preserve">Seuils de l'onglet Paramètres F</t>
  </si>
  <si>
    <t xml:space="preserve">Synthèse du scénario</t>
  </si>
  <si>
    <t xml:space="preserve">File d'attente maximale, % AN</t>
  </si>
  <si>
    <t xml:space="preserve">File résiduelle à la date 8, % AN</t>
  </si>
  <si>
    <t xml:space="preserve">Indicateur unique du Conducting Officer (&lt; 5 % vert, 5 à 15 % orange, 15 à 30 % élevé, &gt; 30 % sévère)</t>
  </si>
  <si>
    <t xml:space="preserve">Première date de suspension</t>
  </si>
  <si>
    <t xml:space="preserve">Poche liquide minimale, % AN</t>
  </si>
  <si>
    <t xml:space="preserve">Rachats obtenus des fonds evergreen, cumul (EUR)</t>
  </si>
  <si>
    <t xml:space="preserve">Cessions secondaires, cumul (EUR)</t>
  </si>
  <si>
    <t xml:space="preserve">Décotes réalisées, cumul (EUR)</t>
  </si>
  <si>
    <t xml:space="preserve">Défaut de liquidité, cumul (EUR)</t>
  </si>
  <si>
    <t xml:space="preserve">Actif net à la date 8 / actif net de départ</t>
  </si>
  <si>
    <t xml:space="preserve">Première date de triple gel</t>
  </si>
  <si>
    <t xml:space="preserve">Verdict LST du scénario</t>
  </si>
  <si>
    <t xml:space="preserve">Pire verdict des huit dates</t>
  </si>
  <si>
    <t xml:space="preserve">S2 - PLAUSIBLE   Correction de marché à 1,5 écart-type, rachats de 7,5 % sur deux dates, collecte divisée par deux</t>
  </si>
  <si>
    <t xml:space="preserve">S3 - SÉVÈRE   Réplique 2008 : pire semestre historique des proxies, rachats de 15 % sur deux dates, collecte nulle, sortie du premier porteur</t>
  </si>
  <si>
    <t xml:space="preserve">S4 - EXTRÊME   Queue de distribution à 3,5 écarts-types, rachats de 25 % puis 20 %, gel des distributions, pairs saturant les fonds evergreen</t>
  </si>
  <si>
    <t xml:space="preserve">LST - TESTS INVERSÉS : TAUX DE RACHAT PERSISTANT, AVEC ET SANS PLAFONNEMENT</t>
  </si>
  <si>
    <t xml:space="preserve">Moteur compact en % de l'actif net de départ (actif net supposé constant, effet marché neutralisé) : un même taux de rachat demandé à chaque date, collecte nulle, flux de ressources du profil choisi dans l'onglet Paramètres (par défaut le régime normal, pour isoler l'effet des rachats ; 3 pour cumuler avec les flux S3). Cascade identique au moteur principal : poche liquide, rachats evergreen pour reconstituer la poche d'exécution, cession secondaire décotée au-delà. Avec plafonnement : suspension après le nombre maximal de reports. L'écart entre les deux points de rupture mesure la valeur du plafonnement.</t>
  </si>
  <si>
    <t xml:space="preserve">A. RESSOURCES PAR DATE EN % DE L'ACTIF NET (profil de flux choisi, hors rachats et hors collecte)</t>
  </si>
  <si>
    <t xml:space="preserve">Flux</t>
  </si>
  <si>
    <t xml:space="preserve">Capacité de rachat des fonds evergreen</t>
  </si>
  <si>
    <t xml:space="preserve">Gates trimestriels × 2, part des pairs déduite</t>
  </si>
  <si>
    <t xml:space="preserve">Distributions des fonds cibles</t>
  </si>
  <si>
    <t xml:space="preserve">Multiplicateur S3</t>
  </si>
  <si>
    <t xml:space="preserve">Appels des fonds fermés</t>
  </si>
  <si>
    <t xml:space="preserve">Jusqu'à épuisement du non-appelé</t>
  </si>
  <si>
    <t xml:space="preserve">Ressources nettes hors rachats</t>
  </si>
  <si>
    <t xml:space="preserve">Négatif : les appels dépassent les distributions</t>
  </si>
  <si>
    <t xml:space="preserve">B. AVEC PLAFONNEMENT   (gate 5 % par date, reports automatiques, suspension après le nombre maximal de reports)</t>
  </si>
  <si>
    <t xml:space="preserve">Taux par date et variable</t>
  </si>
  <si>
    <t xml:space="preserve">File à la date 8</t>
  </si>
  <si>
    <t xml:space="preserve">Poche min</t>
  </si>
  <si>
    <t xml:space="preserve">Cessions à la date 4</t>
  </si>
  <si>
    <t xml:space="preserve">Cessions à la date 8</t>
  </si>
  <si>
    <t xml:space="preserve">   Demande totale (nouvelle + reportée)</t>
  </si>
  <si>
    <t xml:space="preserve">   Exécuté</t>
  </si>
  <si>
    <t xml:space="preserve">   File reportée</t>
  </si>
  <si>
    <t xml:space="preserve">   Poche liquide avant appel aux fonds cibles</t>
  </si>
  <si>
    <t xml:space="preserve">   Rachats obtenus des fonds evergreen</t>
  </si>
  <si>
    <t xml:space="preserve">   Cession secondaire (valeur cédée)</t>
  </si>
  <si>
    <t xml:space="preserve">   Poche liquide de fin</t>
  </si>
  <si>
    <t xml:space="preserve">   Cessions cumulées</t>
  </si>
  <si>
    <t xml:space="preserve">Point de rupture : premier taux imposant des cessions décotées dans les quatre premières dates</t>
  </si>
  <si>
    <t xml:space="preserve">Avec le gate, la file absorbe l'excès de demande ; la cession n'intervient qu'à cause des appels et des frais</t>
  </si>
  <si>
    <t xml:space="preserve">Premier taux conduisant à la suspension</t>
  </si>
  <si>
    <t xml:space="preserve">Par construction : premier taux supérieur au plafond</t>
  </si>
  <si>
    <t xml:space="preserve">C. SANS PLAFONNEMENT   (gate levé par la Société de Gestion : toutes les demandes sont honorées)</t>
  </si>
  <si>
    <t xml:space="preserve">Sans gate, la poche et les flux S3 s'épuisent dès les premières dates</t>
  </si>
  <si>
    <t xml:space="preserve">Premier taux rendant la cession impossible à la date 8 (fonds fermés épuisés)</t>
  </si>
  <si>
    <t xml:space="preserve">Valeur du plafonnement : écart des points de rupture (points de % AN par date)</t>
  </si>
  <si>
    <t xml:space="preserve">Nul si la poche s'épuise avant que le gate ne joue : la protection du gate se lit alors sur les cessions</t>
  </si>
  <si>
    <t xml:space="preserve">Cessions cumulées à la date 8 au taux de 10 % par date : avec plafonnement, puis sans</t>
  </si>
  <si>
    <t xml:space="preserve">Le gate transforme des cessions forcées en file d'attente puis en suspension</t>
  </si>
  <si>
    <t xml:space="preserve">D. APPELS DE FONDS ACCÉLÉRÉS   non-appelé entièrement appelé sur douze mois, ressources S3, rachats au plafond</t>
  </si>
  <si>
    <t xml:space="preserve">Non-appelé de départ (% AN)</t>
  </si>
  <si>
    <t xml:space="preserve">Appels sur 12 mois (% AN)</t>
  </si>
  <si>
    <t xml:space="preserve">Ressources 12 mois hors appels (% AN)</t>
  </si>
  <si>
    <t xml:space="preserve">Rachats au plafond 12 mois (% AN)</t>
  </si>
  <si>
    <t xml:space="preserve">Cession nécessaire (% AN)</t>
  </si>
  <si>
    <t xml:space="preserve">Point de rupture : premier niveau de non-appelé imposant une cession</t>
  </si>
  <si>
    <t xml:space="preserve">Plafond de sur-engagement : 130 % (art. 23)</t>
  </si>
  <si>
    <t xml:space="preserve">CONCENTRATION DES PORTEURS ET CHOC DU PREMIER PORTEUR</t>
  </si>
  <si>
    <t xml:space="preserve">Registre non constitué : répartition hypothétique à remplacer par le registre réel (cellules cyan). Les ratios alimentent la question 118 du reporting Annex IV et le choc « porteur 1 » des scénarios S3 et S4.</t>
  </si>
  <si>
    <t xml:space="preserve">Rang</t>
  </si>
  <si>
    <t xml:space="preserve">Porteur (anonymisé)</t>
  </si>
  <si>
    <t xml:space="preserve">Part de l'AN</t>
  </si>
  <si>
    <t xml:space="preserve">Encours (EUR)</t>
  </si>
  <si>
    <t xml:space="preserve">Cumul</t>
  </si>
  <si>
    <t xml:space="preserve">Alerte</t>
  </si>
  <si>
    <t xml:space="preserve">POR-001</t>
  </si>
  <si>
    <t xml:space="preserve">Hypothèse : premier porteur = paramètre Top1</t>
  </si>
  <si>
    <t xml:space="preserve">POR-002</t>
  </si>
  <si>
    <t xml:space="preserve">POR-003</t>
  </si>
  <si>
    <t xml:space="preserve">POR-004</t>
  </si>
  <si>
    <t xml:space="preserve">POR-005</t>
  </si>
  <si>
    <t xml:space="preserve">POR-006</t>
  </si>
  <si>
    <t xml:space="preserve">POR-007</t>
  </si>
  <si>
    <t xml:space="preserve">POR-008</t>
  </si>
  <si>
    <t xml:space="preserve">POR-009</t>
  </si>
  <si>
    <t xml:space="preserve">POR-010</t>
  </si>
  <si>
    <t xml:space="preserve">Autres porteurs</t>
  </si>
  <si>
    <t xml:space="preserve">RATIOS ET CHOC</t>
  </si>
  <si>
    <t xml:space="preserve">Vert ≤ 10 % ; Orange 10 à 20 % ; Rouge &gt; 20 %</t>
  </si>
  <si>
    <t xml:space="preserve">Part des trois premiers</t>
  </si>
  <si>
    <t xml:space="preserve">Part des cinq premiers</t>
  </si>
  <si>
    <t xml:space="preserve">Alimente le scénario de concentration du rapport de risque</t>
  </si>
  <si>
    <t xml:space="preserve">Part des dix premiers</t>
  </si>
  <si>
    <t xml:space="preserve">Indice de Herfindahl (dix premiers et solde)</t>
  </si>
  <si>
    <t xml:space="preserve">&gt; 2 500 : concentré</t>
  </si>
  <si>
    <t xml:space="preserve">Dates de rachat consommées par la sortie intégrale du premier porteur</t>
  </si>
  <si>
    <t xml:space="preserve">Part / plafond par date</t>
  </si>
  <si>
    <t xml:space="preserve">Verdict du choc porteur 1</t>
  </si>
  <si>
    <t xml:space="preserve">Au-delà du nombre maximal de reports, la suspension devient probable</t>
  </si>
  <si>
    <t xml:space="preserve">MST - SÉRIES MENSUELLES DES PROXIES COTÉS ET STATISTIQUES</t>
  </si>
  <si>
    <t xml:space="preserve">Rendements mensuels simples des composites équipondérés du classeur des cours (devise locale, dividendes réinvestis ; Brookfield exclu) et variation du cours EUR/USD. Valeurs importées ; statistiques en formules. Source : Yahoo Finance, extraction du 06/10/2026.</t>
  </si>
  <si>
    <t xml:space="preserve">Mois</t>
  </si>
  <si>
    <t xml:space="preserve">C2 Dette d'infra cotée</t>
  </si>
  <si>
    <t xml:space="preserve">C4 Crédit HY coté</t>
  </si>
  <si>
    <t xml:space="preserve">EUR/USD (variation)</t>
  </si>
  <si>
    <t xml:space="preserve">Statistique</t>
  </si>
  <si>
    <t xml:space="preserve">C1 Infra</t>
  </si>
  <si>
    <t xml:space="preserve">C2 Dette infra</t>
  </si>
  <si>
    <t xml:space="preserve">C3 Direct lending</t>
  </si>
  <si>
    <t xml:space="preserve">C4 Crédit HY</t>
  </si>
  <si>
    <t xml:space="preserve">EUR/USD</t>
  </si>
  <si>
    <t xml:space="preserve">C1 : 6 mois glissants</t>
  </si>
  <si>
    <t xml:space="preserve">C2 : 6 mois glissants</t>
  </si>
  <si>
    <t xml:space="preserve">C3 : 6 mois glissants</t>
  </si>
  <si>
    <t xml:space="preserve">C4 : 6 mois glissants</t>
  </si>
  <si>
    <t xml:space="preserve">USD : 6 mois glissants</t>
  </si>
  <si>
    <t xml:space="preserve">Nombre de mois</t>
  </si>
  <si>
    <t xml:space="preserve">Rendement mensuel moyen</t>
  </si>
  <si>
    <t xml:space="preserve">Écart-type mensuel</t>
  </si>
  <si>
    <t xml:space="preserve">Volatilité annualisée</t>
  </si>
  <si>
    <t xml:space="preserve">Écart-type semestriel (σ × √6)</t>
  </si>
  <si>
    <t xml:space="preserve">Rendement semestriel moyen (× 6)</t>
  </si>
  <si>
    <t xml:space="preserve">Pire mois</t>
  </si>
  <si>
    <t xml:space="preserve">Autocorrélation d'ordre 1</t>
  </si>
  <si>
    <t xml:space="preserve">Asymétrie</t>
  </si>
  <si>
    <t xml:space="preserve">Aplatissement (excès)</t>
  </si>
  <si>
    <t xml:space="preserve">Pire semestre glissant observé</t>
  </si>
  <si>
    <t xml:space="preserve">Percentile 5 % des semestres glissants</t>
  </si>
  <si>
    <t xml:space="preserve">Percentile 1 % des semestres glissants</t>
  </si>
  <si>
    <t xml:space="preserve">MATRICE DE CORRÉLATION DES RENDEMENTS MENSUELS</t>
  </si>
  <si>
    <t xml:space="preserve">C1</t>
  </si>
  <si>
    <t xml:space="preserve">C2</t>
  </si>
  <si>
    <t xml:space="preserve">C3</t>
  </si>
  <si>
    <t xml:space="preserve">C4</t>
  </si>
  <si>
    <t xml:space="preserve">USD</t>
  </si>
  <si>
    <t xml:space="preserve">LISSAGE DES VL PRIVÉES (Geltner)  -  entrées du classeur DIC v2.3</t>
  </si>
  <si>
    <t xml:space="preserve">Autocorrélation d'ordre 1 des rendements trimestriels Preqin Infrastructure</t>
  </si>
  <si>
    <t xml:space="preserve">Volatilité annualisée brute (Preqin Infrastructure)</t>
  </si>
  <si>
    <t xml:space="preserve">Volatilité annualisée désmoothée (Preqin Infrastructure)</t>
  </si>
  <si>
    <t xml:space="preserve">Autocorrélation mensuelle après interpolation (variante ordre 2, infra)</t>
  </si>
  <si>
    <t xml:space="preserve">VEV proxy privé désmoothé (DIC)</t>
  </si>
  <si>
    <t xml:space="preserve">VEV contrôle coté retenue (DIC)</t>
  </si>
  <si>
    <t xml:space="preserve">Rapport de lissage 1 / (1 - AR1)</t>
  </si>
  <si>
    <t xml:space="preserve">Transmission implicite des chocs cotés = VEV privée / VEV cotée</t>
  </si>
  <si>
    <t xml:space="preserve">Volatilité du composite coté C1 / volatilité désmoothée Preqin</t>
  </si>
  <si>
    <t xml:space="preserve">Lecture : les VL d'expertise lissent les chocs ; la transmission retenue dans l'onglet Paramètres (0,5 par défaut) est cohérente avec le rapport VEV privée / VEV cotée. Une transmission de 1 reviendrait à valoriser les fonds cibles comme des actifs cotés.</t>
  </si>
  <si>
    <t xml:space="preserve">MST - CHOCS DE MARCHÉ PAR SCÉNARIO ET PAR SEMESTRE, RENDEMENT DES LIGNES ET TRAJECTOIRE DE VL</t>
  </si>
  <si>
    <t xml:space="preserve">Chocs des facteurs cotés = profil en σ (Paramètres H) × écart-type semestriel du facteur (MST Données). Rendement d'une ligne = dérive (TRI cible / 2) + transmission × choc du proxy (part immédiate et part retardée d'un semestre) + effet dollar + courbe en J. Trajectoire de VL hors flux de passif (effet marché pur), reprise par le moteur LST.</t>
  </si>
  <si>
    <t xml:space="preserve">Semestre</t>
  </si>
  <si>
    <t xml:space="preserve">Date de fin de semestre</t>
  </si>
  <si>
    <t xml:space="preserve">Profil de choc (σ)</t>
  </si>
  <si>
    <t xml:space="preserve">Paramètres H</t>
  </si>
  <si>
    <t xml:space="preserve">Choc C1 Infrastructure cotée</t>
  </si>
  <si>
    <t xml:space="preserve">σ semestriel du facteur × profil</t>
  </si>
  <si>
    <t xml:space="preserve">Choc C3 Direct lending coté</t>
  </si>
  <si>
    <t xml:space="preserve">Choc C4 Crédit HY coté</t>
  </si>
  <si>
    <t xml:space="preserve">Choc dollar (EUR/USD)</t>
  </si>
  <si>
    <t xml:space="preserve">Paramètres H, en %</t>
  </si>
  <si>
    <t xml:space="preserve">Choc proxy Ares (60 % C1, 20 % C3, 20 % C4)</t>
  </si>
  <si>
    <t xml:space="preserve">Mix de la documentation Ares</t>
  </si>
  <si>
    <t xml:space="preserve">Rendement semestriel de la ligne</t>
  </si>
  <si>
    <t xml:space="preserve">Composition</t>
  </si>
  <si>
    <t xml:space="preserve">Dérive + transmission × choc C1 (retard d'un semestre) + dollar + courbe en J</t>
  </si>
  <si>
    <t xml:space="preserve">Dérive + transmission × choc C3 (retard d'un semestre) + dollar + courbe en J</t>
  </si>
  <si>
    <t xml:space="preserve">Dérive + transmission × choc ARES (retard d'un semestre) + dollar + courbe en J</t>
  </si>
  <si>
    <t xml:space="preserve">Dérive + transmission × choc C4 (retard d'un semestre) + dollar + courbe en J</t>
  </si>
  <si>
    <t xml:space="preserve">Taux monétaire / 2</t>
  </si>
  <si>
    <t xml:space="preserve">Rendement du portefeuille (poids de départ)</t>
  </si>
  <si>
    <t xml:space="preserve">Σ poids × rendement de ligne</t>
  </si>
  <si>
    <t xml:space="preserve">Indice de VL hors flux (base 100)</t>
  </si>
  <si>
    <t xml:space="preserve">Effet marché seul</t>
  </si>
  <si>
    <t xml:space="preserve">Écart au départ</t>
  </si>
  <si>
    <t xml:space="preserve">Pire écart cumulé (creux)</t>
  </si>
  <si>
    <t xml:space="preserve">Mesure retenue pour le verdict MST</t>
  </si>
  <si>
    <t xml:space="preserve">Semestre de retour au-dessus du niveau de départ</t>
  </si>
  <si>
    <t xml:space="preserve">Premier semestre où l'indice repasse 100</t>
  </si>
  <si>
    <t xml:space="preserve">Verdict MST</t>
  </si>
  <si>
    <t xml:space="preserve">Vert ≤ 10 % ; Orange 10 à 25 % ; Rouge &gt; 25 %</t>
  </si>
  <si>
    <t xml:space="preserve">LST × MST - MATRICE DE STRESS CONJOINTE ET INDICATEURS DE PILOTAGE</t>
  </si>
  <si>
    <t xml:space="preserve">Chaque scénario LST est déjà calculé avec le choc de marché du même scénario (le moteur lit les rendements de l'onglet MST Scénarios) : le plafond en euros se contracte quand la VL baisse et que les demandes montent. Cette page rassemble les sorties des deux volets et les seuils d'escalade.</t>
  </si>
  <si>
    <t xml:space="preserve">A. MATRICE CONJOINTE</t>
  </si>
  <si>
    <t xml:space="preserve">Creux de VL hors flux (MST)</t>
  </si>
  <si>
    <t xml:space="preserve">Effet marché seul, transmission des chocs cotés incluse</t>
  </si>
  <si>
    <t xml:space="preserve">Semestre de retour au niveau de départ (MST)</t>
  </si>
  <si>
    <t xml:space="preserve">Dates plafonnées ou suspendues (LST)</t>
  </si>
  <si>
    <t xml:space="preserve">File d'attente maximale, % AN (LST)</t>
  </si>
  <si>
    <t xml:space="preserve">Indicateur unique du Conducting Officer</t>
  </si>
  <si>
    <t xml:space="preserve">Décotes réalisées cumulées (EUR)</t>
  </si>
  <si>
    <t xml:space="preserve">Défaut de liquidité cumulé (EUR)</t>
  </si>
  <si>
    <t xml:space="preserve">Doit rester nul</t>
  </si>
  <si>
    <t xml:space="preserve">Actif net à la date 8 / départ (flux et marché)</t>
  </si>
  <si>
    <t xml:space="preserve">Verdict LST</t>
  </si>
  <si>
    <t xml:space="preserve">Pire des deux volets</t>
  </si>
  <si>
    <t xml:space="preserve">B. SEUILS D'ESCALADE   (Conducting Officer, Comité des risques)</t>
  </si>
  <si>
    <t xml:space="preserve">Déclencheur</t>
  </si>
  <si>
    <t xml:space="preserve">Valeur observée (S3)</t>
  </si>
  <si>
    <t xml:space="preserve">État</t>
  </si>
  <si>
    <t xml:space="preserve">Action</t>
  </si>
  <si>
    <t xml:space="preserve">File résiduelle à la date 8</t>
  </si>
  <si>
    <t xml:space="preserve">Au-dessus de 30 % : réunion du Comité avant la prochaine date de rachat ; préparer la suspension</t>
  </si>
  <si>
    <t xml:space="preserve">Satisfaction des demandes à la date 1</t>
  </si>
  <si>
    <t xml:space="preserve">En dessous de 80 % : information du Comité et des distributeurs</t>
  </si>
  <si>
    <t xml:space="preserve">Poche liquide minimale</t>
  </si>
  <si>
    <t xml:space="preserve">Sous 15 % : plan de reconstitution à 30 jours ; suspension des souscriptions nettes dans les fonds fermés</t>
  </si>
  <si>
    <t xml:space="preserve">Creux de VL</t>
  </si>
  <si>
    <t xml:space="preserve">Au-delà de 10 % : MST ad hoc et revue des VL des fonds cibles</t>
  </si>
  <si>
    <t xml:space="preserve">Premier porteur</t>
  </si>
  <si>
    <t xml:space="preserve">Au-dessus de 10 % : protocole de préavis renforcé avec le porteur</t>
  </si>
  <si>
    <t xml:space="preserve">Dépassement passif toléré par l'art. 23, mais aucun nouvel engagement</t>
  </si>
  <si>
    <t xml:space="preserve">SOURCES ET TRAÇABILITÉ</t>
  </si>
  <si>
    <t xml:space="preserve">Chaque paramètre de l'onglet Paramètres cite sa source. Cette page récapitule les documents et la règle de calibration des séries.</t>
  </si>
  <si>
    <t xml:space="preserve">Document</t>
  </si>
  <si>
    <t xml:space="preserve">Date</t>
  </si>
  <si>
    <t xml:space="preserve">Usage dans le classeur</t>
  </si>
  <si>
    <t xml:space="preserve">Prospectus et Règlement Openstone Infraworld, projet</t>
  </si>
  <si>
    <t xml:space="preserve">Ancres de passif (art. 6, 7.1, 7.2.1 à 7.2.8, 22, 23), actifs liquides 15 %, sur-engagement 130 %</t>
  </si>
  <si>
    <t xml:space="preserve">Documents d'informations clés PRIIPs A1c et A1d</t>
  </si>
  <si>
    <t xml:space="preserve">Absence de commission de rachat, SRI 4, TRI cibles et coûts</t>
  </si>
  <si>
    <t xml:space="preserve">Classeur KID PRIIPs Openstone Infraworld v2.3</t>
  </si>
  <si>
    <t xml:space="preserve">TRI nets cibles par ligne, frais du Fonds, VEV privée et cotée, autocorrélation et volatilités Preqin (bloc Geltner)</t>
  </si>
  <si>
    <t xml:space="preserve">Note de liquidité Openstone Infraworld</t>
  </si>
  <si>
    <t xml:space="preserve">Seuils de verdict, nombre maximal de reports, poche d'exécution</t>
  </si>
  <si>
    <t xml:space="preserve">Synthèse commerciale Openstone Infraworld v5.4</t>
  </si>
  <si>
    <t xml:space="preserve">Allocation cible, objectif de collecte 50 M€</t>
  </si>
  <si>
    <t xml:space="preserve">PPM Macquarie Alliance Partners Infrastructure Fund II</t>
  </si>
  <si>
    <t xml:space="preserve">Fonds fermé : aucun rachat, appels à 10 JO, cession agréée</t>
  </si>
  <si>
    <t xml:space="preserve">PPM Macquarie Specialized Infrastructure Global 3 (USD)</t>
  </si>
  <si>
    <t xml:space="preserve">Retrait annuel après lock-up de 3 ans, traité comme fermé sur l'horizon</t>
  </si>
  <si>
    <t xml:space="preserve">Prospectus Partners Group Evergreen SICAV, supplément 2</t>
  </si>
  <si>
    <t xml:space="preserve">Gate 5 % par trimestre, préavis 45 JO, Special Dealing</t>
  </si>
  <si>
    <t xml:space="preserve">Prospectus AEFS SICAV, annexe 7 Ares Global Infrastructure ELTIF</t>
  </si>
  <si>
    <t xml:space="preserve">Gate 5 % net par trimestre, limite ELTIF, déduction 5 % avant 24 mois</t>
  </si>
  <si>
    <t xml:space="preserve">Classeur des cours des proxies cotés (Yahoo Finance)</t>
  </si>
  <si>
    <t xml:space="preserve">Composites C1 à C4 et EUR/USD : écarts-types semestriels et pires semestres (MST Données)</t>
  </si>
  <si>
    <t xml:space="preserve">ESMA 34-39-882, orientations sur les simulations de crise de liquidité (2020)</t>
  </si>
  <si>
    <t xml:space="preserve">Approche bilatérale actif-passif, tests inversés, concentration des porteurs</t>
  </si>
  <si>
    <t xml:space="preserve">Règlement délégué (UE) 231/2013, art. 46 à 49 ; directive 2011/61/UE art. 16</t>
  </si>
  <si>
    <t xml:space="preserve">Obligation de simulations de crise et de cohérence profil de liquidité / politique de rachat</t>
  </si>
  <si>
    <t xml:space="preserve">Règle de calibration des séries : rendements mensuels simples, composites équipondérés des titres disponibles (Brookfield exclu, INFR à partir de 2016), mois en cours exclu, rendements aberrants (|ln| &gt; 0,6) ignorés. Écart-type semestriel = écart-type mensuel × √6 ; pires semestres sur fenêtres glissantes de six mois.</t>
  </si>
</sst>
</file>

<file path=xl/styles.xml><?xml version="1.0" encoding="utf-8"?>
<styleSheet xmlns="http://schemas.openxmlformats.org/spreadsheetml/2006/main">
  <numFmts count="12">
    <numFmt numFmtId="164" formatCode="General"/>
    <numFmt numFmtId="165" formatCode="General"/>
    <numFmt numFmtId="166" formatCode="#,##0"/>
    <numFmt numFmtId="167" formatCode="0"/>
    <numFmt numFmtId="168" formatCode="0.0\ %"/>
    <numFmt numFmtId="169" formatCode="0\ %"/>
    <numFmt numFmtId="170" formatCode="0.0"/>
    <numFmt numFmtId="171" formatCode="dd/mm/yyyy"/>
    <numFmt numFmtId="172" formatCode="0.00\ %"/>
    <numFmt numFmtId="173" formatCode="0.00"/>
    <numFmt numFmtId="174" formatCode="mm/yyyy"/>
    <numFmt numFmtId="175" formatCode="0.000"/>
  </numFmts>
  <fonts count="14">
    <font>
      <sz val="11"/>
      <color theme="1"/>
      <name val="Calibri"/>
      <family val="2"/>
      <charset val="1"/>
    </font>
    <font>
      <sz val="10"/>
      <name val="Arial"/>
      <family val="0"/>
    </font>
    <font>
      <sz val="10"/>
      <name val="Arial"/>
      <family val="0"/>
    </font>
    <font>
      <sz val="10"/>
      <name val="Arial"/>
      <family val="0"/>
    </font>
    <font>
      <b val="true"/>
      <sz val="12"/>
      <color rgb="FF2F4858"/>
      <name val="Calibri"/>
      <family val="0"/>
      <charset val="1"/>
    </font>
    <font>
      <sz val="9"/>
      <color rgb="FF6A7A85"/>
      <name val="Calibri"/>
      <family val="0"/>
      <charset val="1"/>
    </font>
    <font>
      <b val="true"/>
      <sz val="9.5"/>
      <color rgb="FFFFFFFF"/>
      <name val="Calibri"/>
      <family val="0"/>
      <charset val="1"/>
    </font>
    <font>
      <b val="true"/>
      <sz val="9"/>
      <color rgb="FFFFFFFF"/>
      <name val="Calibri"/>
      <family val="0"/>
      <charset val="1"/>
    </font>
    <font>
      <b val="true"/>
      <sz val="9"/>
      <color rgb="FF1A2027"/>
      <name val="Calibri"/>
      <family val="0"/>
      <charset val="1"/>
    </font>
    <font>
      <sz val="9"/>
      <color rgb="FF1A2027"/>
      <name val="Calibri"/>
      <family val="0"/>
      <charset val="1"/>
    </font>
    <font>
      <sz val="9"/>
      <color rgb="FF002060"/>
      <name val="Calibri"/>
      <family val="0"/>
      <charset val="1"/>
    </font>
    <font>
      <i val="true"/>
      <sz val="9"/>
      <color rgb="FF6A7A85"/>
      <name val="Calibri"/>
      <family val="0"/>
      <charset val="1"/>
    </font>
    <font>
      <b val="true"/>
      <sz val="9"/>
      <color rgb="FF002060"/>
      <name val="Calibri"/>
      <family val="0"/>
      <charset val="1"/>
    </font>
    <font>
      <b val="true"/>
      <sz val="9"/>
      <color rgb="FF218E8E"/>
      <name val="Calibri"/>
      <family val="0"/>
      <charset val="1"/>
    </font>
  </fonts>
  <fills count="6">
    <fill>
      <patternFill patternType="none"/>
    </fill>
    <fill>
      <patternFill patternType="gray125"/>
    </fill>
    <fill>
      <patternFill patternType="solid">
        <fgColor rgb="FF218E8E"/>
        <bgColor rgb="FF008080"/>
      </patternFill>
    </fill>
    <fill>
      <patternFill patternType="solid">
        <fgColor rgb="FF2F4858"/>
        <bgColor rgb="FF333399"/>
      </patternFill>
    </fill>
    <fill>
      <patternFill patternType="solid">
        <fgColor rgb="FFD9F785"/>
        <bgColor rgb="FFCCFFCC"/>
      </patternFill>
    </fill>
    <fill>
      <patternFill patternType="solid">
        <fgColor rgb="FFEBFCF9"/>
        <bgColor rgb="FFFFFFFF"/>
      </patternFill>
    </fill>
  </fills>
  <borders count="2">
    <border diagonalUp="false" diagonalDown="false">
      <left/>
      <right/>
      <top/>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6" fontId="8" fillId="4" borderId="1" xfId="0" applyFont="true" applyBorder="true" applyAlignment="true" applyProtection="false">
      <alignment horizontal="righ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7" fontId="8" fillId="4" borderId="1" xfId="0" applyFont="true" applyBorder="true" applyAlignment="true" applyProtection="false">
      <alignment horizontal="right" vertical="center" textRotation="0" wrapText="true" indent="0" shrinkToFit="false"/>
      <protection locked="true" hidden="false"/>
    </xf>
    <xf numFmtId="168" fontId="8" fillId="4" borderId="1" xfId="0" applyFont="true" applyBorder="true" applyAlignment="true" applyProtection="false">
      <alignment horizontal="right" vertical="center" textRotation="0" wrapText="true" indent="0" shrinkToFit="false"/>
      <protection locked="true" hidden="false"/>
    </xf>
    <xf numFmtId="168" fontId="8" fillId="4" borderId="0" xfId="0" applyFont="true" applyBorder="false" applyAlignment="false" applyProtection="false">
      <alignment horizontal="general" vertical="bottom" textRotation="0" wrapText="false" indent="0" shrinkToFit="false"/>
      <protection locked="true" hidden="false"/>
    </xf>
    <xf numFmtId="169" fontId="8" fillId="4" borderId="1" xfId="0" applyFont="true" applyBorder="true" applyAlignment="true" applyProtection="false">
      <alignment horizontal="right" vertical="center" textRotation="0" wrapText="true" indent="0" shrinkToFit="false"/>
      <protection locked="true" hidden="false"/>
    </xf>
    <xf numFmtId="170" fontId="8" fillId="4" borderId="0" xfId="0" applyFont="true" applyBorder="false" applyAlignment="false" applyProtection="false">
      <alignment horizontal="general" vertical="bottom" textRotation="0" wrapText="false" indent="0" shrinkToFit="false"/>
      <protection locked="true" hidden="false"/>
    </xf>
    <xf numFmtId="171" fontId="8" fillId="4" borderId="1" xfId="0" applyFont="true" applyBorder="true" applyAlignment="true" applyProtection="false">
      <alignment horizontal="right" vertical="center" textRotation="0" wrapText="true" indent="0" shrinkToFit="false"/>
      <protection locked="true" hidden="false"/>
    </xf>
    <xf numFmtId="168" fontId="9" fillId="0" borderId="1" xfId="0" applyFont="true" applyBorder="true" applyAlignment="true" applyProtection="false">
      <alignment horizontal="right" vertical="center" textRotation="0" wrapText="true" indent="0" shrinkToFit="false"/>
      <protection locked="true" hidden="false"/>
    </xf>
    <xf numFmtId="171" fontId="9" fillId="0" borderId="1" xfId="0" applyFont="true" applyBorder="true" applyAlignment="true" applyProtection="false">
      <alignment horizontal="right"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71" fontId="10" fillId="5" borderId="1" xfId="0" applyFont="true" applyBorder="true" applyAlignment="true" applyProtection="false">
      <alignment horizontal="right" vertical="center" textRotation="0" wrapText="true" indent="0" shrinkToFit="false"/>
      <protection locked="true" hidden="false"/>
    </xf>
    <xf numFmtId="166" fontId="9" fillId="0" borderId="1" xfId="0" applyFont="true" applyBorder="true" applyAlignment="true" applyProtection="false">
      <alignment horizontal="right" vertical="center" textRotation="0" wrapText="true" indent="0" shrinkToFit="false"/>
      <protection locked="true" hidden="false"/>
    </xf>
    <xf numFmtId="164" fontId="9" fillId="0" borderId="1" xfId="0" applyFont="true" applyBorder="true" applyAlignment="true" applyProtection="false">
      <alignment horizontal="right" vertical="center" textRotation="0" wrapText="true" indent="0" shrinkToFit="false"/>
      <protection locked="true" hidden="false"/>
    </xf>
    <xf numFmtId="170" fontId="9" fillId="0" borderId="1" xfId="0" applyFont="true" applyBorder="true" applyAlignment="true" applyProtection="false">
      <alignment horizontal="righ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7" fontId="10" fillId="5" borderId="1" xfId="0" applyFont="true" applyBorder="true" applyAlignment="true" applyProtection="false">
      <alignment horizontal="right" vertical="center" textRotation="0" wrapText="true" indent="0" shrinkToFit="false"/>
      <protection locked="true" hidden="false"/>
    </xf>
    <xf numFmtId="167" fontId="9" fillId="0" borderId="1" xfId="0" applyFont="true" applyBorder="true" applyAlignment="true" applyProtection="false">
      <alignment horizontal="right" vertical="center" textRotation="0" wrapText="true" indent="0" shrinkToFit="false"/>
      <protection locked="true" hidden="false"/>
    </xf>
    <xf numFmtId="168" fontId="10" fillId="5" borderId="1" xfId="0" applyFont="true" applyBorder="true" applyAlignment="true" applyProtection="false">
      <alignment horizontal="right" vertical="center" textRotation="0" wrapText="true" indent="0" shrinkToFit="false"/>
      <protection locked="true" hidden="false"/>
    </xf>
    <xf numFmtId="169" fontId="10" fillId="5" borderId="1" xfId="0" applyFont="true" applyBorder="true" applyAlignment="true" applyProtection="false">
      <alignment horizontal="right" vertical="center"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6" fontId="10" fillId="5" borderId="1" xfId="0" applyFont="true" applyBorder="true" applyAlignment="true" applyProtection="false">
      <alignment horizontal="right" vertical="center" textRotation="0" wrapText="true" indent="0" shrinkToFit="false"/>
      <protection locked="true" hidden="false"/>
    </xf>
    <xf numFmtId="169" fontId="9" fillId="0" borderId="1" xfId="0" applyFont="true" applyBorder="true" applyAlignment="true" applyProtection="false">
      <alignment horizontal="right" vertical="center" textRotation="0" wrapText="true" indent="0" shrinkToFit="false"/>
      <protection locked="true" hidden="false"/>
    </xf>
    <xf numFmtId="172" fontId="9" fillId="0" borderId="1" xfId="0" applyFont="true" applyBorder="true" applyAlignment="true" applyProtection="false">
      <alignment horizontal="right" vertical="center" textRotation="0" wrapText="true" indent="0" shrinkToFit="false"/>
      <protection locked="true" hidden="false"/>
    </xf>
    <xf numFmtId="173" fontId="10" fillId="5" borderId="1" xfId="0" applyFont="true" applyBorder="true" applyAlignment="true" applyProtection="false">
      <alignment horizontal="right" vertical="center" textRotation="0" wrapText="true" indent="0" shrinkToFit="false"/>
      <protection locked="true" hidden="false"/>
    </xf>
    <xf numFmtId="172" fontId="10" fillId="5" borderId="1" xfId="0" applyFont="true" applyBorder="true" applyAlignment="true" applyProtection="false">
      <alignment horizontal="right" vertical="center" textRotation="0" wrapText="true" indent="0" shrinkToFit="false"/>
      <protection locked="true" hidden="false"/>
    </xf>
    <xf numFmtId="173" fontId="9" fillId="0" borderId="1" xfId="0" applyFont="true" applyBorder="true" applyAlignment="true" applyProtection="false">
      <alignment horizontal="righ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right" vertical="center" textRotation="0" wrapText="true" indent="0" shrinkToFit="false"/>
      <protection locked="true" hidden="false"/>
    </xf>
    <xf numFmtId="173" fontId="8" fillId="4" borderId="1" xfId="0" applyFont="true" applyBorder="true" applyAlignment="true" applyProtection="false">
      <alignment horizontal="right" vertical="center" textRotation="0" wrapText="true" indent="0" shrinkToFit="false"/>
      <protection locked="true" hidden="false"/>
    </xf>
    <xf numFmtId="168" fontId="12" fillId="5" borderId="1" xfId="0" applyFont="true" applyBorder="true" applyAlignment="true" applyProtection="false">
      <alignment horizontal="left" vertical="center" textRotation="0" wrapText="true" indent="0" shrinkToFit="false"/>
      <protection locked="true" hidden="false"/>
    </xf>
    <xf numFmtId="168" fontId="8" fillId="0" borderId="1" xfId="0" applyFont="true" applyBorder="true" applyAlignment="true" applyProtection="false">
      <alignment horizontal="right"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left" vertical="center" textRotation="0" wrapText="true" indent="0" shrinkToFit="false"/>
      <protection locked="true" hidden="false"/>
    </xf>
    <xf numFmtId="170" fontId="8" fillId="4" borderId="1" xfId="0" applyFont="true" applyBorder="true" applyAlignment="true" applyProtection="false">
      <alignment horizontal="right" vertical="center"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74" fontId="9"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5" fontId="9" fillId="0" borderId="1"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true" applyProtection="false">
      <alignment horizontal="right"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5" fontId="10" fillId="5" borderId="0" xfId="0" applyFont="true" applyBorder="false" applyAlignment="true" applyProtection="false">
      <alignment horizontal="right" vertical="center" textRotation="0" wrapText="true" indent="0" shrinkToFit="false"/>
      <protection locked="true" hidden="false"/>
    </xf>
    <xf numFmtId="172" fontId="10" fillId="5" borderId="0" xfId="0" applyFont="true" applyBorder="false" applyAlignment="true" applyProtection="false">
      <alignment horizontal="righ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Calibri"/>
        <charset val="1"/>
        <family val="0"/>
        <b val="1"/>
        <color rgb="FFFFFFFF"/>
        <sz val="9"/>
      </font>
      <fill>
        <patternFill>
          <bgColor rgb="FF228B22"/>
        </patternFill>
      </fill>
    </dxf>
    <dxf>
      <font>
        <name val="Calibri"/>
        <charset val="1"/>
        <family val="0"/>
        <b val="1"/>
        <color rgb="FFFFFFFF"/>
        <sz val="9"/>
      </font>
      <fill>
        <patternFill>
          <bgColor rgb="FFDAA520"/>
        </patternFill>
      </fill>
    </dxf>
    <dxf>
      <font>
        <name val="Calibri"/>
        <charset val="1"/>
        <family val="0"/>
        <b val="1"/>
        <color rgb="FFFFFFFF"/>
        <sz val="9"/>
      </font>
      <fill>
        <patternFill>
          <bgColor rgb="FFCC0000"/>
        </patternFill>
      </fill>
    </dxf>
  </dxfs>
  <colors>
    <indexedColors>
      <rgbColor rgb="FF000000"/>
      <rgbColor rgb="FFFFFFFF"/>
      <rgbColor rgb="FFCC0000"/>
      <rgbColor rgb="FF00FF00"/>
      <rgbColor rgb="FF0000FF"/>
      <rgbColor rgb="FFFFFF00"/>
      <rgbColor rgb="FFFF00FF"/>
      <rgbColor rgb="FF00FFFF"/>
      <rgbColor rgb="FF800000"/>
      <rgbColor rgb="FF228B22"/>
      <rgbColor rgb="FF000080"/>
      <rgbColor rgb="FF808000"/>
      <rgbColor rgb="FF800080"/>
      <rgbColor rgb="FF008080"/>
      <rgbColor rgb="FFC0C0C0"/>
      <rgbColor rgb="FF6A7A85"/>
      <rgbColor rgb="FF9999FF"/>
      <rgbColor rgb="FF993366"/>
      <rgbColor rgb="FFFFFFCC"/>
      <rgbColor rgb="FFEBFCF9"/>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D9F785"/>
      <rgbColor rgb="FF99CCFF"/>
      <rgbColor rgb="FFFF99CC"/>
      <rgbColor rgb="FFCC99FF"/>
      <rgbColor rgb="FFFFCC99"/>
      <rgbColor rgb="FF3366FF"/>
      <rgbColor rgb="FF33CCCC"/>
      <rgbColor rgb="FF99CC00"/>
      <rgbColor rgb="FFFFCC00"/>
      <rgbColor rgb="FFDAA520"/>
      <rgbColor rgb="FFFF6600"/>
      <rgbColor rgb="FF666699"/>
      <rgbColor rgb="FF969696"/>
      <rgbColor rgb="FF002060"/>
      <rgbColor rgb="FF218E8E"/>
      <rgbColor rgb="FF003300"/>
      <rgbColor rgb="FF1A2027"/>
      <rgbColor rgb="FF993300"/>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6" min="3" style="0" width="15"/>
    <col collapsed="false" customWidth="true" hidden="false" outlineLevel="0" max="7" min="7" style="0" width="44"/>
  </cols>
  <sheetData>
    <row r="2" customFormat="false" ht="15" hidden="false" customHeight="false" outlineLevel="0" collapsed="false">
      <c r="B2" s="1" t="s">
        <v>0</v>
      </c>
    </row>
    <row r="3" customFormat="false" ht="42" hidden="false" customHeight="true" outlineLevel="0" collapsed="false">
      <c r="B3" s="2" t="str">
        <f aca="false">"Projection à partir de la fin du blocage ("&amp;DAY(Date_depart)&amp;"/"&amp;RIGHT("0"&amp;MONTH(Date_depart),2)&amp;"/"&amp;YEAR(Date_depart)&amp;"), huit dates de rachat semestrielles, actif net de départ "&amp;ROUND(AN_depart/1000000,0)&amp;" M€. Phase : "&amp;Phase&amp;". Les cellules sont des formules vers les onglets de calcul."</f>
        <v>Projection à partir de la fin du blocage (31/12/2028), huit dates de rachat semestrielles, actif net de départ 8 M€. Phase : Montée en charge. Les cellules sont des formules vers les onglets de calcul.</v>
      </c>
      <c r="C3" s="2"/>
      <c r="D3" s="2"/>
      <c r="E3" s="2"/>
      <c r="F3" s="2"/>
      <c r="G3" s="2"/>
    </row>
    <row r="5" customFormat="false" ht="18" hidden="false" customHeight="true" outlineLevel="0" collapsed="false">
      <c r="B5" s="3" t="s">
        <v>1</v>
      </c>
      <c r="C5" s="4"/>
      <c r="D5" s="4"/>
      <c r="E5" s="4"/>
      <c r="F5" s="4"/>
      <c r="G5" s="4"/>
    </row>
    <row r="6" customFormat="false" ht="15.75" hidden="false" customHeight="true" outlineLevel="0" collapsed="false">
      <c r="B6" s="5" t="s">
        <v>2</v>
      </c>
      <c r="C6" s="6" t="s">
        <v>3</v>
      </c>
      <c r="D6" s="6"/>
      <c r="E6" s="6"/>
      <c r="F6" s="6"/>
      <c r="G6" s="6" t="s">
        <v>4</v>
      </c>
    </row>
    <row r="7" customFormat="false" ht="15" hidden="false" customHeight="false" outlineLevel="0" collapsed="false">
      <c r="B7" s="7" t="s">
        <v>5</v>
      </c>
      <c r="C7" s="8" t="n">
        <f aca="false">AN_depart</f>
        <v>8000000</v>
      </c>
      <c r="G7" s="9" t="s">
        <v>6</v>
      </c>
    </row>
    <row r="8" customFormat="false" ht="22.35" hidden="false" customHeight="false" outlineLevel="0" collapsed="false">
      <c r="B8" s="7" t="s">
        <v>7</v>
      </c>
      <c r="C8" s="10" t="n">
        <f aca="false">Ecart_TTL_N</f>
        <v>-28.93</v>
      </c>
      <c r="G8" s="9" t="s">
        <v>8</v>
      </c>
    </row>
    <row r="9" customFormat="false" ht="15" hidden="false" customHeight="false" outlineLevel="0" collapsed="false">
      <c r="B9" s="7" t="s">
        <v>9</v>
      </c>
      <c r="C9" s="10" t="n">
        <f aca="false">Ecart_TTL_S3</f>
        <v>206.7</v>
      </c>
      <c r="G9" s="9" t="s">
        <v>10</v>
      </c>
    </row>
    <row r="10" customFormat="false" ht="15" hidden="false" customHeight="false" outlineLevel="0" collapsed="false">
      <c r="B10" s="7" t="s">
        <v>11</v>
      </c>
      <c r="C10" s="11" t="n">
        <f aca="false">HQLA_N</f>
        <v>0.16</v>
      </c>
      <c r="D10" s="12" t="n">
        <f aca="false">HQLA_S3</f>
        <v>0.1567</v>
      </c>
      <c r="G10" s="9" t="s">
        <v>12</v>
      </c>
    </row>
    <row r="11" customFormat="false" ht="15" hidden="false" customHeight="false" outlineLevel="0" collapsed="false">
      <c r="B11" s="7" t="s">
        <v>13</v>
      </c>
      <c r="C11" s="13" t="n">
        <f aca="false">2*Gate</f>
        <v>0.1</v>
      </c>
      <c r="G11" s="9" t="s">
        <v>14</v>
      </c>
    </row>
    <row r="12" customFormat="false" ht="15" hidden="false" customHeight="false" outlineLevel="0" collapsed="false">
      <c r="B12" s="7" t="s">
        <v>15</v>
      </c>
      <c r="C12" s="11" t="n">
        <f aca="false">Top1</f>
        <v>0.15</v>
      </c>
      <c r="D12" s="14" t="n">
        <f aca="false">Top1_dates</f>
        <v>3</v>
      </c>
      <c r="G12" s="9" t="s">
        <v>16</v>
      </c>
    </row>
    <row r="13" customFormat="false" ht="22.35" hidden="false" customHeight="false" outlineLevel="0" collapsed="false">
      <c r="B13" s="7" t="s">
        <v>17</v>
      </c>
      <c r="C13" s="11" t="n">
        <f aca="false">Rupture_gated</f>
        <v>0.05</v>
      </c>
      <c r="D13" s="12" t="n">
        <f aca="false">Rupture_suspension</f>
        <v>0.075</v>
      </c>
      <c r="G13" s="9" t="s">
        <v>18</v>
      </c>
    </row>
    <row r="14" customFormat="false" ht="22.35" hidden="false" customHeight="false" outlineLevel="0" collapsed="false">
      <c r="B14" s="7" t="s">
        <v>19</v>
      </c>
      <c r="C14" s="11" t="n">
        <f aca="false">Rupture_ungated</f>
        <v>0.05</v>
      </c>
      <c r="D14" s="12" t="n">
        <f aca="false">Rupture_impossible</f>
        <v>0.075</v>
      </c>
      <c r="G14" s="9" t="s">
        <v>20</v>
      </c>
    </row>
    <row r="15" customFormat="false" ht="15" hidden="false" customHeight="false" outlineLevel="0" collapsed="false">
      <c r="B15" s="7" t="s">
        <v>21</v>
      </c>
      <c r="C15" s="11" t="n">
        <f aca="false">Rupture_appels</f>
        <v>0.125</v>
      </c>
      <c r="G15" s="9" t="s">
        <v>22</v>
      </c>
    </row>
    <row r="16" customFormat="false" ht="22.35" hidden="false" customHeight="false" outlineLevel="0" collapsed="false">
      <c r="B16" s="7" t="s">
        <v>23</v>
      </c>
      <c r="C16" s="11" t="n">
        <f aca="false">Cession_gate_10</f>
        <v>0.0279688235294118</v>
      </c>
      <c r="D16" s="12" t="n">
        <f aca="false">Cession_nogate_10</f>
        <v>0.592230588235294</v>
      </c>
      <c r="G16" s="9" t="s">
        <v>24</v>
      </c>
    </row>
    <row r="17" customFormat="false" ht="15" hidden="false" customHeight="false" outlineLevel="0" collapsed="false">
      <c r="B17" s="7" t="s">
        <v>25</v>
      </c>
      <c r="C17" s="15" t="n">
        <f aca="false">LST_S3_gel</f>
        <v>47118</v>
      </c>
      <c r="G17" s="9" t="s">
        <v>26</v>
      </c>
    </row>
    <row r="19" customFormat="false" ht="18" hidden="false" customHeight="true" outlineLevel="0" collapsed="false">
      <c r="B19" s="3" t="s">
        <v>27</v>
      </c>
      <c r="C19" s="4"/>
      <c r="D19" s="4"/>
      <c r="E19" s="4"/>
      <c r="F19" s="4"/>
      <c r="G19" s="4"/>
    </row>
    <row r="20" customFormat="false" ht="15.75" hidden="false" customHeight="true" outlineLevel="0" collapsed="false">
      <c r="B20" s="5" t="s">
        <v>28</v>
      </c>
      <c r="C20" s="6" t="s">
        <v>29</v>
      </c>
      <c r="D20" s="6" t="s">
        <v>30</v>
      </c>
      <c r="E20" s="6" t="s">
        <v>31</v>
      </c>
      <c r="F20" s="6" t="s">
        <v>32</v>
      </c>
      <c r="G20" s="6" t="s">
        <v>4</v>
      </c>
    </row>
    <row r="21" customFormat="false" ht="25.5" hidden="false" customHeight="true" outlineLevel="0" collapsed="false">
      <c r="B21" s="7" t="s">
        <v>33</v>
      </c>
      <c r="C21" s="16" t="n">
        <f aca="false">MST_S1_creux</f>
        <v>0.0446372872441454</v>
      </c>
      <c r="D21" s="16" t="n">
        <f aca="false">LST_S1_file8</f>
        <v>0</v>
      </c>
      <c r="E21" s="17" t="str">
        <f aca="false">LST_S1_susp</f>
        <v>-</v>
      </c>
      <c r="F21" s="18" t="str">
        <f aca="false">Joint_S1</f>
        <v>Vert</v>
      </c>
      <c r="G21" s="9" t="s">
        <v>34</v>
      </c>
    </row>
    <row r="22" customFormat="false" ht="25.5" hidden="false" customHeight="true" outlineLevel="0" collapsed="false">
      <c r="B22" s="7" t="s">
        <v>35</v>
      </c>
      <c r="C22" s="16" t="n">
        <f aca="false">MST_S2_creux</f>
        <v>-0.0149881382675641</v>
      </c>
      <c r="D22" s="16" t="n">
        <f aca="false">LST_S2_file8</f>
        <v>0</v>
      </c>
      <c r="E22" s="17" t="str">
        <f aca="false">LST_S2_susp</f>
        <v>-</v>
      </c>
      <c r="F22" s="18" t="str">
        <f aca="false">Joint_S2</f>
        <v>Rouge</v>
      </c>
      <c r="G22" s="9" t="s">
        <v>36</v>
      </c>
    </row>
    <row r="23" customFormat="false" ht="25.5" hidden="false" customHeight="true" outlineLevel="0" collapsed="false">
      <c r="B23" s="7" t="s">
        <v>37</v>
      </c>
      <c r="C23" s="16" t="n">
        <f aca="false">MST_S3_creux</f>
        <v>-0.0871963605354427</v>
      </c>
      <c r="D23" s="16" t="n">
        <f aca="false">LST_S3_file8</f>
        <v>0.466690404941236</v>
      </c>
      <c r="E23" s="17" t="n">
        <f aca="false">LST_S3_susp</f>
        <v>47848</v>
      </c>
      <c r="F23" s="18" t="str">
        <f aca="false">Joint_S3</f>
        <v>Rouge</v>
      </c>
      <c r="G23" s="9" t="s">
        <v>38</v>
      </c>
    </row>
    <row r="24" customFormat="false" ht="25.5" hidden="false" customHeight="true" outlineLevel="0" collapsed="false">
      <c r="B24" s="7" t="s">
        <v>39</v>
      </c>
      <c r="C24" s="16" t="n">
        <f aca="false">MST_S4_creux</f>
        <v>-0.172820854616555</v>
      </c>
      <c r="D24" s="16" t="n">
        <f aca="false">LST_S4_file8</f>
        <v>0.924759266806859</v>
      </c>
      <c r="E24" s="17" t="n">
        <f aca="false">LST_S4_susp</f>
        <v>47848</v>
      </c>
      <c r="F24" s="18" t="str">
        <f aca="false">Joint_S4</f>
        <v>Rouge</v>
      </c>
      <c r="G24" s="9" t="s">
        <v>40</v>
      </c>
    </row>
    <row r="26" customFormat="false" ht="18" hidden="false" customHeight="true" outlineLevel="0" collapsed="false">
      <c r="B26" s="3" t="s">
        <v>41</v>
      </c>
      <c r="C26" s="4"/>
      <c r="D26" s="4"/>
      <c r="E26" s="4"/>
      <c r="F26" s="4"/>
      <c r="G26" s="4"/>
    </row>
    <row r="27" customFormat="false" ht="30" hidden="false" customHeight="true" outlineLevel="0" collapsed="false">
      <c r="B27" s="19" t="str">
        <f aca="false">IF(Phase="Montée en charge","Phase de montée en charge : le risque dominant est la concentration des porteurs, pas la cascade de plafonnement ; LST mensuel jusqu'à la troisième année.","Régime de croisière : LST trimestriel avant chaque date de centralisation.")</f>
        <v>Phase de montée en charge : le risque dominant est la concentration des porteurs, pas la cascade de plafonnement ; LST mensuel jusqu'à la troisième année.</v>
      </c>
      <c r="C27" s="19"/>
      <c r="D27" s="19"/>
      <c r="E27" s="19"/>
      <c r="F27" s="19"/>
      <c r="G27" s="19"/>
    </row>
    <row r="28" customFormat="false" ht="30" hidden="false" customHeight="true" outlineLevel="0" collapsed="false">
      <c r="B28" s="19" t="str">
        <f aca="false">IF(Top1&gt;0.1,"Premier porteur au-dessus de 10 % : convenir d'un protocole de préavis renforcé et simuler sa sortie avant chaque date.","Concentration des porteurs sous contrôle.")</f>
        <v>Premier porteur au-dessus de 10 % : convenir d'un protocole de préavis renforcé et simuler sa sortie avant chaque date.</v>
      </c>
      <c r="C28" s="19"/>
      <c r="D28" s="19"/>
      <c r="E28" s="19"/>
      <c r="F28" s="19"/>
      <c r="G28" s="19"/>
    </row>
    <row r="29" customFormat="false" ht="30" hidden="false" customHeight="true" outlineLevel="0" collapsed="false">
      <c r="B29" s="19" t="str">
        <f aca="false">IF(LST_S3_file8&gt;0.3,"S3 : file résiduelle au-dessus de 30 % à la date 8 ; préparer la suspension et l'information de l'AMF.",IF(LST_S3_file8&gt;0.15,"S3 : file résiduelle élevée ; pré-positionner la Prolongation du Délai de Préavis (art. 7.2.7) et la communication aux distributeurs.","S3 : file résorbable sous les outils du prospectus."))</f>
        <v>S3 : file résiduelle au-dessus de 30 % à la date 8 ; préparer la suspension et l'information de l'AMF.</v>
      </c>
      <c r="C29" s="19"/>
      <c r="D29" s="19"/>
      <c r="E29" s="19"/>
      <c r="F29" s="19"/>
      <c r="G29" s="19"/>
    </row>
    <row r="30" customFormat="false" ht="30" hidden="false" customHeight="true" outlineLevel="0" collapsed="false">
      <c r="B30" s="19" t="str">
        <f aca="false">IF(LST_S2_poche&lt;S_poche_orange,"S2 : poche liquide sous 15 % ; relever la trésorerie cible ou ralentir les engagements fermés.","S2 : poche liquide conforme à l'article 3.")</f>
        <v>S2 : poche liquide sous 15 % ; relever la trésorerie cible ou ralentir les engagements fermés.</v>
      </c>
      <c r="C30" s="19"/>
      <c r="D30" s="19"/>
      <c r="E30" s="19"/>
      <c r="F30" s="19"/>
      <c r="G30" s="19"/>
    </row>
    <row r="31" customFormat="false" ht="30" hidden="false" customHeight="true" outlineLevel="0" collapsed="false">
      <c r="B31" s="19" t="str">
        <f aca="false">IF(-MST_S3_creux&gt;S_mst_rouge,"MST S3 : creux de VL au-delà de 25 % ; revoir la transmission des chocs et l'exposition dollar non couverte (51 %).","MST S3 : creux de VL contenu ; surveiller le dollar (aucune couverture possible, art. 22).")</f>
        <v>MST S3 : creux de VL contenu ; surveiller le dollar (aucune couverture possible, art. 22).</v>
      </c>
      <c r="C31" s="19"/>
      <c r="D31" s="19"/>
      <c r="E31" s="19"/>
      <c r="F31" s="19"/>
      <c r="G31" s="19"/>
    </row>
    <row r="32" customFormat="false" ht="30" hidden="false" customHeight="true" outlineLevel="0" collapsed="false">
      <c r="B32" s="19" t="str">
        <f aca="false">IF(Rupture_appels&lt;=NA_total/AN_depart+0.0001,"Appels : le non-appelé de départ dépasse le point de rupture ; séquencer les engagements fermés.","Appels : le non-appelé de départ reste sous le point de rupture ("&amp;ROUND(Rupture_appels*100,0)&amp;" % de l'AN).")</f>
        <v>Appels : le non-appelé de départ dépasse le point de rupture ; séquencer les engagements fermés.</v>
      </c>
      <c r="C32" s="19"/>
      <c r="D32" s="19"/>
      <c r="E32" s="19"/>
      <c r="F32" s="19"/>
      <c r="G32" s="19"/>
    </row>
    <row r="33" customFormat="false" ht="30" hidden="false" customHeight="true" outlineLevel="0" collapsed="false">
      <c r="B33" s="19" t="str">
        <f aca="false">"Reporting : les profils ALP et LLP alimentent les questions 178 et 186 de l'Annex IV ; la concentration la question 118."</f>
        <v>Reporting : les profils ALP et LLP alimentent les questions 178 et 186 de l'Annex IV ; la concentration la question 118.</v>
      </c>
      <c r="C33" s="19"/>
      <c r="D33" s="19"/>
      <c r="E33" s="19"/>
      <c r="F33" s="19"/>
      <c r="G33" s="19"/>
    </row>
    <row r="35" customFormat="false" ht="18" hidden="false" customHeight="true" outlineLevel="0" collapsed="false">
      <c r="B35" s="3" t="s">
        <v>42</v>
      </c>
      <c r="C35" s="4"/>
      <c r="D35" s="4"/>
      <c r="E35" s="4"/>
      <c r="F35" s="4"/>
      <c r="G35" s="4"/>
    </row>
    <row r="36" customFormat="false" ht="18" hidden="false" customHeight="true" outlineLevel="0" collapsed="false">
      <c r="B36" s="19" t="s">
        <v>43</v>
      </c>
      <c r="C36" s="19"/>
      <c r="D36" s="19"/>
      <c r="E36" s="19"/>
      <c r="F36" s="19"/>
      <c r="G36" s="19"/>
    </row>
    <row r="37" customFormat="false" ht="18" hidden="false" customHeight="true" outlineLevel="0" collapsed="false">
      <c r="B37" s="19" t="s">
        <v>44</v>
      </c>
      <c r="C37" s="19"/>
      <c r="D37" s="19"/>
      <c r="E37" s="19"/>
      <c r="F37" s="19"/>
      <c r="G37" s="19"/>
    </row>
    <row r="38" customFormat="false" ht="18" hidden="false" customHeight="true" outlineLevel="0" collapsed="false">
      <c r="B38" s="19" t="s">
        <v>45</v>
      </c>
      <c r="C38" s="19"/>
      <c r="D38" s="19"/>
      <c r="E38" s="19"/>
      <c r="F38" s="19"/>
      <c r="G38" s="19"/>
    </row>
    <row r="39" customFormat="false" ht="18" hidden="false" customHeight="true" outlineLevel="0" collapsed="false">
      <c r="B39" s="19" t="s">
        <v>46</v>
      </c>
      <c r="C39" s="19"/>
      <c r="D39" s="19"/>
      <c r="E39" s="19"/>
      <c r="F39" s="19"/>
      <c r="G39" s="19"/>
    </row>
    <row r="40" customFormat="false" ht="18" hidden="false" customHeight="true" outlineLevel="0" collapsed="false">
      <c r="B40" s="19" t="s">
        <v>47</v>
      </c>
      <c r="C40" s="19"/>
      <c r="D40" s="19"/>
      <c r="E40" s="19"/>
      <c r="F40" s="19"/>
      <c r="G40" s="19"/>
    </row>
  </sheetData>
  <mergeCells count="13">
    <mergeCell ref="B3:G3"/>
    <mergeCell ref="B27:G27"/>
    <mergeCell ref="B28:G28"/>
    <mergeCell ref="B29:G29"/>
    <mergeCell ref="B30:G30"/>
    <mergeCell ref="B31:G31"/>
    <mergeCell ref="B32:G32"/>
    <mergeCell ref="B33:G33"/>
    <mergeCell ref="B36:G36"/>
    <mergeCell ref="B37:G37"/>
    <mergeCell ref="B38:G38"/>
    <mergeCell ref="B39:G39"/>
    <mergeCell ref="B40:G40"/>
  </mergeCells>
  <conditionalFormatting sqref="F21:F24">
    <cfRule type="expression" priority="2" aboveAverage="0" equalAverage="0" bottom="0" percent="0" rank="0" text="" dxfId="0">
      <formula>LEFT(F21,4)="Vert"</formula>
    </cfRule>
    <cfRule type="expression" priority="3" aboveAverage="0" equalAverage="0" bottom="0" percent="0" rank="0" text="" dxfId="1">
      <formula>LEFT(F21,6)="Orange"</formula>
    </cfRule>
    <cfRule type="expression" priority="4" aboveAverage="0" equalAverage="0" bottom="0" percent="0" rank="0" text="" dxfId="2">
      <formula>LEFT(F21,5)="Rouge"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1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4"/>
    <col collapsed="false" customWidth="true" hidden="false" outlineLevel="0" max="11" min="4" style="0" width="12"/>
    <col collapsed="false" customWidth="true" hidden="false" outlineLevel="0" max="12" min="12" style="0" width="46"/>
  </cols>
  <sheetData>
    <row r="2" customFormat="false" ht="15" hidden="false" customHeight="false" outlineLevel="0" collapsed="false">
      <c r="B2" s="1" t="s">
        <v>48</v>
      </c>
    </row>
    <row r="3" customFormat="false" ht="42" hidden="false" customHeight="true" outlineLevel="0" collapsed="false">
      <c r="B3" s="20" t="s">
        <v>49</v>
      </c>
      <c r="C3" s="20"/>
      <c r="D3" s="20"/>
      <c r="E3" s="20"/>
      <c r="F3" s="20"/>
      <c r="G3" s="20"/>
      <c r="H3" s="20"/>
      <c r="I3" s="20"/>
      <c r="J3" s="20"/>
      <c r="K3" s="20"/>
      <c r="L3" s="20"/>
    </row>
    <row r="5" customFormat="false" ht="18" hidden="false" customHeight="true" outlineLevel="0" collapsed="false">
      <c r="B5" s="3" t="s">
        <v>50</v>
      </c>
      <c r="C5" s="4"/>
      <c r="D5" s="4"/>
      <c r="E5" s="4"/>
      <c r="F5" s="4"/>
      <c r="G5" s="4"/>
      <c r="H5" s="4"/>
      <c r="I5" s="4"/>
      <c r="J5" s="4"/>
      <c r="K5" s="4"/>
      <c r="L5" s="4"/>
    </row>
    <row r="6" customFormat="false" ht="27.75" hidden="false" customHeight="true" outlineLevel="0" collapsed="false">
      <c r="B6" s="5" t="s">
        <v>51</v>
      </c>
      <c r="C6" s="6" t="s">
        <v>3</v>
      </c>
      <c r="D6" s="6" t="s">
        <v>52</v>
      </c>
      <c r="E6" s="6" t="s">
        <v>53</v>
      </c>
      <c r="F6" s="6"/>
      <c r="G6" s="6"/>
      <c r="H6" s="6"/>
      <c r="I6" s="6"/>
      <c r="J6" s="6"/>
      <c r="K6" s="6"/>
      <c r="L6" s="6" t="s">
        <v>54</v>
      </c>
    </row>
    <row r="7" customFormat="false" ht="32.8" hidden="false" customHeight="false" outlineLevel="0" collapsed="false">
      <c r="B7" s="7" t="s">
        <v>55</v>
      </c>
      <c r="C7" s="9" t="s">
        <v>56</v>
      </c>
      <c r="D7" s="9" t="s">
        <v>57</v>
      </c>
      <c r="E7" s="9" t="s">
        <v>58</v>
      </c>
      <c r="L7" s="9"/>
    </row>
    <row r="8" customFormat="false" ht="22.35" hidden="false" customHeight="false" outlineLevel="0" collapsed="false">
      <c r="B8" s="7" t="s">
        <v>59</v>
      </c>
      <c r="C8" s="9" t="s">
        <v>60</v>
      </c>
      <c r="D8" s="9" t="s">
        <v>57</v>
      </c>
      <c r="E8" s="9" t="s">
        <v>58</v>
      </c>
      <c r="L8" s="9"/>
    </row>
    <row r="9" customFormat="false" ht="105.95" hidden="false" customHeight="false" outlineLevel="0" collapsed="false">
      <c r="B9" s="7" t="s">
        <v>61</v>
      </c>
      <c r="C9" s="9" t="s">
        <v>62</v>
      </c>
      <c r="D9" s="9" t="s">
        <v>57</v>
      </c>
      <c r="E9" s="9" t="s">
        <v>63</v>
      </c>
      <c r="L9" s="9"/>
    </row>
    <row r="10" customFormat="false" ht="15" hidden="false" customHeight="false" outlineLevel="0" collapsed="false">
      <c r="B10" s="7" t="s">
        <v>64</v>
      </c>
      <c r="C10" s="21" t="n">
        <v>46301</v>
      </c>
      <c r="D10" s="9" t="s">
        <v>65</v>
      </c>
      <c r="E10" s="9" t="s">
        <v>57</v>
      </c>
      <c r="L10" s="9"/>
    </row>
    <row r="11" customFormat="false" ht="32.8" hidden="false" customHeight="false" outlineLevel="0" collapsed="false">
      <c r="B11" s="7" t="s">
        <v>66</v>
      </c>
      <c r="C11" s="21" t="n">
        <v>46387</v>
      </c>
      <c r="D11" s="9" t="s">
        <v>65</v>
      </c>
      <c r="E11" s="9" t="s">
        <v>67</v>
      </c>
      <c r="L11" s="9" t="s">
        <v>68</v>
      </c>
    </row>
    <row r="12" customFormat="false" ht="43.25" hidden="false" customHeight="false" outlineLevel="0" collapsed="false">
      <c r="B12" s="7" t="s">
        <v>69</v>
      </c>
      <c r="C12" s="17" t="n">
        <f aca="false">EDATE(Date_lancement,Blocage_mois)</f>
        <v>47118</v>
      </c>
      <c r="D12" s="9" t="s">
        <v>65</v>
      </c>
      <c r="E12" s="9" t="s">
        <v>70</v>
      </c>
      <c r="L12" s="9"/>
    </row>
    <row r="13" customFormat="false" ht="22.35" hidden="false" customHeight="false" outlineLevel="0" collapsed="false">
      <c r="B13" s="7" t="s">
        <v>71</v>
      </c>
      <c r="C13" s="22" t="n">
        <f aca="false">INDEX(Tailles_AN,Taille_sel)</f>
        <v>8000000</v>
      </c>
      <c r="D13" s="9" t="s">
        <v>72</v>
      </c>
      <c r="E13" s="9" t="s">
        <v>73</v>
      </c>
      <c r="L13" s="9"/>
    </row>
    <row r="14" customFormat="false" ht="22.35" hidden="false" customHeight="false" outlineLevel="0" collapsed="false">
      <c r="B14" s="7" t="s">
        <v>74</v>
      </c>
      <c r="C14" s="23" t="str">
        <f aca="false">IF(YEARFRAC(Date_lancement,Date_depart)&lt;3,"Montée en charge","Régime de croisière")</f>
        <v>Montée en charge</v>
      </c>
      <c r="D14" s="9" t="s">
        <v>57</v>
      </c>
      <c r="E14" s="9" t="s">
        <v>75</v>
      </c>
      <c r="L14" s="9" t="s">
        <v>76</v>
      </c>
    </row>
    <row r="15" customFormat="false" ht="15" hidden="false" customHeight="false" outlineLevel="0" collapsed="false">
      <c r="B15" s="7" t="s">
        <v>77</v>
      </c>
      <c r="C15" s="24" t="n">
        <f aca="false">YEARFRAC(Date_lancement,Date_depart)</f>
        <v>2</v>
      </c>
      <c r="D15" s="9" t="s">
        <v>78</v>
      </c>
      <c r="E15" s="9" t="s">
        <v>75</v>
      </c>
      <c r="L15" s="9"/>
    </row>
    <row r="17" customFormat="false" ht="18" hidden="false" customHeight="true" outlineLevel="0" collapsed="false">
      <c r="B17" s="3" t="s">
        <v>79</v>
      </c>
      <c r="C17" s="4"/>
      <c r="D17" s="4"/>
      <c r="E17" s="4"/>
      <c r="F17" s="4"/>
      <c r="G17" s="4"/>
      <c r="H17" s="4"/>
      <c r="I17" s="4"/>
      <c r="J17" s="4"/>
      <c r="K17" s="4"/>
      <c r="L17" s="4"/>
    </row>
    <row r="18" customFormat="false" ht="27.75" hidden="false" customHeight="true" outlineLevel="0" collapsed="false">
      <c r="B18" s="5" t="s">
        <v>80</v>
      </c>
      <c r="C18" s="6" t="s">
        <v>3</v>
      </c>
      <c r="D18" s="6" t="s">
        <v>52</v>
      </c>
      <c r="E18" s="6" t="s">
        <v>53</v>
      </c>
      <c r="F18" s="6"/>
      <c r="G18" s="6"/>
      <c r="H18" s="6"/>
      <c r="I18" s="6"/>
      <c r="J18" s="6"/>
      <c r="K18" s="6"/>
      <c r="L18" s="6" t="s">
        <v>54</v>
      </c>
    </row>
    <row r="19" customFormat="false" ht="43.25" hidden="false" customHeight="false" outlineLevel="0" collapsed="false">
      <c r="B19" s="7" t="s">
        <v>81</v>
      </c>
      <c r="C19" s="25" t="s">
        <v>82</v>
      </c>
      <c r="D19" s="9" t="s">
        <v>57</v>
      </c>
      <c r="E19" s="9" t="s">
        <v>83</v>
      </c>
      <c r="L19" s="9"/>
    </row>
    <row r="20" customFormat="false" ht="32.8" hidden="false" customHeight="false" outlineLevel="0" collapsed="false">
      <c r="B20" s="7" t="s">
        <v>84</v>
      </c>
      <c r="C20" s="25" t="s">
        <v>85</v>
      </c>
      <c r="D20" s="9" t="s">
        <v>57</v>
      </c>
      <c r="E20" s="9" t="s">
        <v>86</v>
      </c>
      <c r="L20" s="9"/>
    </row>
    <row r="21" customFormat="false" ht="22.35" hidden="false" customHeight="false" outlineLevel="0" collapsed="false">
      <c r="B21" s="7" t="s">
        <v>87</v>
      </c>
      <c r="C21" s="25" t="s">
        <v>88</v>
      </c>
      <c r="D21" s="9" t="s">
        <v>57</v>
      </c>
      <c r="E21" s="9" t="s">
        <v>89</v>
      </c>
      <c r="L21" s="9"/>
    </row>
    <row r="22" customFormat="false" ht="22.35" hidden="false" customHeight="false" outlineLevel="0" collapsed="false">
      <c r="B22" s="7" t="s">
        <v>90</v>
      </c>
      <c r="C22" s="26" t="n">
        <v>2</v>
      </c>
      <c r="D22" s="9" t="s">
        <v>91</v>
      </c>
      <c r="E22" s="9" t="s">
        <v>89</v>
      </c>
      <c r="L22" s="9"/>
    </row>
    <row r="23" customFormat="false" ht="22.35" hidden="false" customHeight="false" outlineLevel="0" collapsed="false">
      <c r="B23" s="7" t="s">
        <v>92</v>
      </c>
      <c r="C23" s="26" t="n">
        <v>91</v>
      </c>
      <c r="D23" s="9" t="s">
        <v>93</v>
      </c>
      <c r="E23" s="9" t="s">
        <v>94</v>
      </c>
      <c r="L23" s="9" t="s">
        <v>95</v>
      </c>
    </row>
    <row r="24" customFormat="false" ht="22.35" hidden="false" customHeight="false" outlineLevel="0" collapsed="false">
      <c r="B24" s="7" t="s">
        <v>96</v>
      </c>
      <c r="C24" s="26" t="n">
        <v>30</v>
      </c>
      <c r="D24" s="9" t="s">
        <v>97</v>
      </c>
      <c r="E24" s="9" t="s">
        <v>98</v>
      </c>
      <c r="L24" s="9"/>
    </row>
    <row r="25" customFormat="false" ht="32.8" hidden="false" customHeight="false" outlineLevel="0" collapsed="false">
      <c r="B25" s="7" t="s">
        <v>99</v>
      </c>
      <c r="C25" s="26" t="n">
        <v>5</v>
      </c>
      <c r="D25" s="9" t="s">
        <v>97</v>
      </c>
      <c r="E25" s="9" t="s">
        <v>100</v>
      </c>
      <c r="L25" s="9"/>
    </row>
    <row r="26" customFormat="false" ht="15" hidden="false" customHeight="false" outlineLevel="0" collapsed="false">
      <c r="B26" s="7" t="s">
        <v>101</v>
      </c>
      <c r="C26" s="27" t="n">
        <f aca="false">ROUND((Publication_JO+Reglement_JO)*7/5,0)</f>
        <v>49</v>
      </c>
      <c r="D26" s="9" t="s">
        <v>93</v>
      </c>
      <c r="E26" s="9" t="s">
        <v>75</v>
      </c>
      <c r="L26" s="9"/>
    </row>
    <row r="27" customFormat="false" ht="43.25" hidden="false" customHeight="false" outlineLevel="0" collapsed="false">
      <c r="B27" s="7" t="s">
        <v>102</v>
      </c>
      <c r="C27" s="28" t="n">
        <v>0.05</v>
      </c>
      <c r="D27" s="9" t="s">
        <v>103</v>
      </c>
      <c r="E27" s="9" t="s">
        <v>104</v>
      </c>
      <c r="L27" s="9" t="s">
        <v>105</v>
      </c>
    </row>
    <row r="28" customFormat="false" ht="43.25" hidden="false" customHeight="false" outlineLevel="0" collapsed="false">
      <c r="B28" s="7" t="s">
        <v>106</v>
      </c>
      <c r="C28" s="25" t="s">
        <v>107</v>
      </c>
      <c r="D28" s="9" t="s">
        <v>57</v>
      </c>
      <c r="E28" s="9" t="s">
        <v>14</v>
      </c>
      <c r="L28" s="9"/>
    </row>
    <row r="29" customFormat="false" ht="32.8" hidden="false" customHeight="false" outlineLevel="0" collapsed="false">
      <c r="B29" s="7" t="s">
        <v>108</v>
      </c>
      <c r="C29" s="26" t="n">
        <v>4</v>
      </c>
      <c r="D29" s="9" t="s">
        <v>91</v>
      </c>
      <c r="E29" s="9" t="s">
        <v>109</v>
      </c>
      <c r="L29" s="9" t="s">
        <v>110</v>
      </c>
    </row>
    <row r="30" customFormat="false" ht="22.35" hidden="false" customHeight="false" outlineLevel="0" collapsed="false">
      <c r="B30" s="7" t="s">
        <v>111</v>
      </c>
      <c r="C30" s="26" t="n">
        <v>24</v>
      </c>
      <c r="D30" s="9" t="s">
        <v>112</v>
      </c>
      <c r="E30" s="9" t="s">
        <v>113</v>
      </c>
      <c r="L30" s="9"/>
    </row>
    <row r="31" customFormat="false" ht="53.7" hidden="false" customHeight="false" outlineLevel="0" collapsed="false">
      <c r="B31" s="7" t="s">
        <v>114</v>
      </c>
      <c r="C31" s="28" t="n">
        <v>0</v>
      </c>
      <c r="D31" s="9" t="s">
        <v>115</v>
      </c>
      <c r="E31" s="9" t="s">
        <v>116</v>
      </c>
      <c r="L31" s="9"/>
    </row>
    <row r="32" customFormat="false" ht="22.35" hidden="false" customHeight="false" outlineLevel="0" collapsed="false">
      <c r="B32" s="7" t="s">
        <v>117</v>
      </c>
      <c r="C32" s="26" t="n">
        <v>180</v>
      </c>
      <c r="D32" s="9" t="s">
        <v>93</v>
      </c>
      <c r="E32" s="9" t="s">
        <v>118</v>
      </c>
      <c r="L32" s="9"/>
    </row>
    <row r="33" customFormat="false" ht="22.35" hidden="false" customHeight="false" outlineLevel="0" collapsed="false">
      <c r="B33" s="7" t="s">
        <v>119</v>
      </c>
      <c r="C33" s="26" t="n">
        <v>12</v>
      </c>
      <c r="D33" s="9" t="s">
        <v>112</v>
      </c>
      <c r="E33" s="9" t="s">
        <v>118</v>
      </c>
      <c r="L33" s="9"/>
    </row>
    <row r="34" customFormat="false" ht="43.25" hidden="false" customHeight="false" outlineLevel="0" collapsed="false">
      <c r="B34" s="7" t="s">
        <v>120</v>
      </c>
      <c r="C34" s="25" t="s">
        <v>121</v>
      </c>
      <c r="D34" s="9" t="s">
        <v>57</v>
      </c>
      <c r="E34" s="9" t="s">
        <v>122</v>
      </c>
      <c r="L34" s="9"/>
    </row>
    <row r="35" customFormat="false" ht="43.25" hidden="false" customHeight="false" outlineLevel="0" collapsed="false">
      <c r="B35" s="7" t="s">
        <v>123</v>
      </c>
      <c r="C35" s="28" t="n">
        <v>0.15</v>
      </c>
      <c r="D35" s="9" t="s">
        <v>103</v>
      </c>
      <c r="E35" s="9" t="s">
        <v>124</v>
      </c>
      <c r="L35" s="9"/>
    </row>
    <row r="36" customFormat="false" ht="22.35" hidden="false" customHeight="false" outlineLevel="0" collapsed="false">
      <c r="B36" s="7" t="s">
        <v>125</v>
      </c>
      <c r="C36" s="29" t="n">
        <v>1.3</v>
      </c>
      <c r="D36" s="9" t="s">
        <v>103</v>
      </c>
      <c r="E36" s="9" t="s">
        <v>126</v>
      </c>
      <c r="L36" s="9"/>
    </row>
    <row r="37" customFormat="false" ht="43.25" hidden="false" customHeight="false" outlineLevel="0" collapsed="false">
      <c r="B37" s="7" t="s">
        <v>127</v>
      </c>
      <c r="C37" s="25" t="s">
        <v>128</v>
      </c>
      <c r="D37" s="9" t="s">
        <v>57</v>
      </c>
      <c r="E37" s="9" t="s">
        <v>129</v>
      </c>
      <c r="L37" s="9"/>
    </row>
    <row r="38" customFormat="false" ht="15" hidden="false" customHeight="false" outlineLevel="0" collapsed="false">
      <c r="B38" s="7" t="s">
        <v>130</v>
      </c>
      <c r="C38" s="29" t="n">
        <v>0.3</v>
      </c>
      <c r="D38" s="9" t="s">
        <v>103</v>
      </c>
      <c r="E38" s="9" t="s">
        <v>63</v>
      </c>
      <c r="L38" s="9"/>
    </row>
    <row r="40" customFormat="false" ht="18" hidden="false" customHeight="true" outlineLevel="0" collapsed="false">
      <c r="B40" s="3" t="s">
        <v>131</v>
      </c>
      <c r="C40" s="4"/>
      <c r="D40" s="4"/>
      <c r="E40" s="4"/>
      <c r="F40" s="4"/>
      <c r="G40" s="4"/>
      <c r="H40" s="4"/>
      <c r="I40" s="4"/>
      <c r="J40" s="4"/>
      <c r="K40" s="4"/>
      <c r="L40" s="4"/>
    </row>
    <row r="41" customFormat="false" ht="27.75" hidden="false" customHeight="true" outlineLevel="0" collapsed="false">
      <c r="B41" s="30" t="s">
        <v>132</v>
      </c>
      <c r="C41" s="30"/>
      <c r="D41" s="30"/>
      <c r="E41" s="30"/>
      <c r="F41" s="30"/>
      <c r="G41" s="30"/>
      <c r="H41" s="30"/>
      <c r="I41" s="30"/>
      <c r="J41" s="30"/>
      <c r="K41" s="30"/>
      <c r="L41" s="30"/>
    </row>
    <row r="42" customFormat="false" ht="18" hidden="false" customHeight="true" outlineLevel="0" collapsed="false">
      <c r="B42" s="5" t="s">
        <v>133</v>
      </c>
      <c r="C42" s="6" t="s">
        <v>134</v>
      </c>
      <c r="D42" s="6" t="s">
        <v>135</v>
      </c>
      <c r="E42" s="6" t="s">
        <v>136</v>
      </c>
      <c r="F42" s="6" t="s">
        <v>137</v>
      </c>
      <c r="G42" s="6" t="s">
        <v>138</v>
      </c>
      <c r="H42" s="6" t="s">
        <v>52</v>
      </c>
      <c r="I42" s="6"/>
      <c r="J42" s="6"/>
      <c r="K42" s="6"/>
      <c r="L42" s="6" t="s">
        <v>54</v>
      </c>
    </row>
    <row r="43" customFormat="false" ht="15" hidden="false" customHeight="false" outlineLevel="0" collapsed="false">
      <c r="B43" s="7" t="s">
        <v>139</v>
      </c>
      <c r="C43" s="26" t="n">
        <v>1</v>
      </c>
      <c r="H43" s="9" t="s">
        <v>140</v>
      </c>
      <c r="L43" s="9" t="s">
        <v>141</v>
      </c>
    </row>
    <row r="44" customFormat="false" ht="15" hidden="false" customHeight="false" outlineLevel="0" collapsed="false">
      <c r="B44" s="7" t="s">
        <v>142</v>
      </c>
      <c r="C44" s="31" t="n">
        <v>8000000</v>
      </c>
      <c r="D44" s="31" t="n">
        <v>15000000</v>
      </c>
      <c r="E44" s="31" t="n">
        <v>20000000</v>
      </c>
      <c r="F44" s="31" t="n">
        <v>25000000</v>
      </c>
      <c r="G44" s="31" t="n">
        <v>50000000</v>
      </c>
      <c r="H44" s="9" t="s">
        <v>72</v>
      </c>
      <c r="L44" s="9" t="s">
        <v>143</v>
      </c>
    </row>
    <row r="45" customFormat="false" ht="22.35" hidden="false" customHeight="false" outlineLevel="0" collapsed="false">
      <c r="B45" s="7" t="s">
        <v>144</v>
      </c>
      <c r="C45" s="31" t="n">
        <v>4000000</v>
      </c>
      <c r="D45" s="31" t="n">
        <v>4000000</v>
      </c>
      <c r="E45" s="31" t="n">
        <v>5000000</v>
      </c>
      <c r="F45" s="31" t="n">
        <v>5000000</v>
      </c>
      <c r="G45" s="31" t="n">
        <v>17000000</v>
      </c>
      <c r="H45" s="9" t="s">
        <v>72</v>
      </c>
      <c r="L45" s="9" t="s">
        <v>145</v>
      </c>
    </row>
    <row r="46" customFormat="false" ht="15" hidden="false" customHeight="false" outlineLevel="0" collapsed="false">
      <c r="B46" s="7" t="s">
        <v>146</v>
      </c>
      <c r="C46" s="31" t="n">
        <v>0</v>
      </c>
      <c r="D46" s="31" t="n">
        <v>0</v>
      </c>
      <c r="E46" s="31" t="n">
        <v>5000000</v>
      </c>
      <c r="F46" s="31" t="n">
        <v>5000000</v>
      </c>
      <c r="G46" s="31" t="n">
        <v>8500000</v>
      </c>
      <c r="H46" s="9" t="s">
        <v>72</v>
      </c>
      <c r="L46" s="9" t="s">
        <v>147</v>
      </c>
    </row>
    <row r="47" customFormat="false" ht="15" hidden="false" customHeight="false" outlineLevel="0" collapsed="false">
      <c r="B47" s="7" t="s">
        <v>148</v>
      </c>
      <c r="C47" s="29" t="n">
        <v>0.7</v>
      </c>
      <c r="H47" s="9" t="s">
        <v>115</v>
      </c>
      <c r="L47" s="9" t="s">
        <v>149</v>
      </c>
    </row>
    <row r="48" customFormat="false" ht="15" hidden="false" customHeight="false" outlineLevel="0" collapsed="false">
      <c r="B48" s="7" t="s">
        <v>150</v>
      </c>
      <c r="C48" s="22" t="n">
        <f aca="false">C45*Part_appelee</f>
        <v>2800000</v>
      </c>
      <c r="D48" s="22" t="n">
        <f aca="false">D45*Part_appelee</f>
        <v>2800000</v>
      </c>
      <c r="E48" s="22" t="n">
        <f aca="false">E45*Part_appelee</f>
        <v>3500000</v>
      </c>
      <c r="F48" s="22" t="n">
        <f aca="false">F45*Part_appelee</f>
        <v>3500000</v>
      </c>
      <c r="G48" s="22" t="n">
        <f aca="false">G45*Part_appelee</f>
        <v>11900000</v>
      </c>
      <c r="H48" s="9" t="s">
        <v>72</v>
      </c>
    </row>
    <row r="49" customFormat="false" ht="15" hidden="false" customHeight="false" outlineLevel="0" collapsed="false">
      <c r="B49" s="7" t="s">
        <v>151</v>
      </c>
      <c r="C49" s="22" t="n">
        <f aca="false">C46*Part_appelee</f>
        <v>0</v>
      </c>
      <c r="D49" s="22" t="n">
        <f aca="false">D46*Part_appelee</f>
        <v>0</v>
      </c>
      <c r="E49" s="22" t="n">
        <f aca="false">E46*Part_appelee</f>
        <v>3500000</v>
      </c>
      <c r="F49" s="22" t="n">
        <f aca="false">F46*Part_appelee</f>
        <v>3500000</v>
      </c>
      <c r="G49" s="22" t="n">
        <f aca="false">G46*Part_appelee</f>
        <v>5950000</v>
      </c>
      <c r="H49" s="9" t="s">
        <v>72</v>
      </c>
    </row>
    <row r="50" customFormat="false" ht="15" hidden="false" customHeight="false" outlineLevel="0" collapsed="false">
      <c r="B50" s="7" t="s">
        <v>152</v>
      </c>
      <c r="C50" s="22" t="n">
        <f aca="false">(C45+C46)*(1-Part_appelee)</f>
        <v>1200000</v>
      </c>
      <c r="D50" s="22" t="n">
        <f aca="false">(D45+D46)*(1-Part_appelee)</f>
        <v>1200000</v>
      </c>
      <c r="E50" s="22" t="n">
        <f aca="false">(E45+E46)*(1-Part_appelee)</f>
        <v>3000000</v>
      </c>
      <c r="F50" s="22" t="n">
        <f aca="false">(F45+F46)*(1-Part_appelee)</f>
        <v>3000000</v>
      </c>
      <c r="G50" s="22" t="n">
        <f aca="false">(G45+G46)*(1-Part_appelee)</f>
        <v>7650000</v>
      </c>
      <c r="H50" s="9" t="s">
        <v>72</v>
      </c>
      <c r="L50" s="9" t="s">
        <v>153</v>
      </c>
    </row>
    <row r="51" customFormat="false" ht="15" hidden="false" customHeight="false" outlineLevel="0" collapsed="false">
      <c r="B51" s="7" t="s">
        <v>154</v>
      </c>
      <c r="C51" s="22" t="n">
        <f aca="false">C44*Cash_cible</f>
        <v>400000</v>
      </c>
      <c r="D51" s="22" t="n">
        <f aca="false">D44*Cash_cible</f>
        <v>750000</v>
      </c>
      <c r="E51" s="22" t="n">
        <f aca="false">E44*Cash_cible</f>
        <v>1000000</v>
      </c>
      <c r="F51" s="22" t="n">
        <f aca="false">F44*Cash_cible</f>
        <v>1250000</v>
      </c>
      <c r="G51" s="22" t="n">
        <f aca="false">G44*Cash_cible</f>
        <v>2500000</v>
      </c>
      <c r="H51" s="9" t="s">
        <v>72</v>
      </c>
    </row>
    <row r="52" customFormat="false" ht="15" hidden="false" customHeight="false" outlineLevel="0" collapsed="false">
      <c r="B52" s="7" t="s">
        <v>155</v>
      </c>
      <c r="C52" s="22" t="n">
        <f aca="false">C44*(Liq_cible-Cash_cible)</f>
        <v>880000</v>
      </c>
      <c r="D52" s="22" t="n">
        <f aca="false">D44*(Liq_cible-Cash_cible)</f>
        <v>1650000</v>
      </c>
      <c r="E52" s="22" t="n">
        <f aca="false">E44*(Liq_cible-Cash_cible)</f>
        <v>2200000</v>
      </c>
      <c r="F52" s="22" t="n">
        <f aca="false">F44*(Liq_cible-Cash_cible)</f>
        <v>2750000</v>
      </c>
      <c r="G52" s="22" t="n">
        <f aca="false">G44*(Liq_cible-Cash_cible)</f>
        <v>5500000</v>
      </c>
      <c r="H52" s="9" t="s">
        <v>72</v>
      </c>
    </row>
    <row r="53" customFormat="false" ht="15" hidden="false" customHeight="false" outlineLevel="0" collapsed="false">
      <c r="B53" s="7" t="s">
        <v>156</v>
      </c>
      <c r="C53" s="22" t="n">
        <f aca="false">C44-C48-C49-C51-C52</f>
        <v>3920000</v>
      </c>
      <c r="D53" s="22" t="n">
        <f aca="false">D44-D48-D49-D51-D52</f>
        <v>9800000</v>
      </c>
      <c r="E53" s="22" t="n">
        <f aca="false">E44-E48-E49-E51-E52</f>
        <v>9800000</v>
      </c>
      <c r="F53" s="22" t="n">
        <f aca="false">F44-F48-F49-F51-F52</f>
        <v>14000000</v>
      </c>
      <c r="G53" s="22" t="n">
        <f aca="false">G44-G48-G49-G51-G52</f>
        <v>24150000</v>
      </c>
      <c r="H53" s="9" t="s">
        <v>72</v>
      </c>
      <c r="L53" s="9" t="s">
        <v>157</v>
      </c>
    </row>
    <row r="54" customFormat="false" ht="15" hidden="false" customHeight="false" outlineLevel="0" collapsed="false">
      <c r="B54" s="7" t="s">
        <v>158</v>
      </c>
      <c r="C54" s="22" t="n">
        <f aca="false">C53/2</f>
        <v>1960000</v>
      </c>
      <c r="D54" s="22" t="n">
        <f aca="false">D53/2</f>
        <v>4900000</v>
      </c>
      <c r="E54" s="22" t="n">
        <f aca="false">E53/2</f>
        <v>4900000</v>
      </c>
      <c r="F54" s="22" t="n">
        <f aca="false">F53/2</f>
        <v>7000000</v>
      </c>
      <c r="G54" s="22" t="n">
        <f aca="false">G53/2</f>
        <v>12075000</v>
      </c>
      <c r="H54" s="9" t="s">
        <v>72</v>
      </c>
      <c r="L54" s="9" t="s">
        <v>159</v>
      </c>
    </row>
    <row r="55" customFormat="false" ht="15" hidden="false" customHeight="false" outlineLevel="0" collapsed="false">
      <c r="B55" s="7" t="s">
        <v>160</v>
      </c>
      <c r="C55" s="22" t="n">
        <f aca="false">C53/2</f>
        <v>1960000</v>
      </c>
      <c r="D55" s="22" t="n">
        <f aca="false">D53/2</f>
        <v>4900000</v>
      </c>
      <c r="E55" s="22" t="n">
        <f aca="false">E53/2</f>
        <v>4900000</v>
      </c>
      <c r="F55" s="22" t="n">
        <f aca="false">F53/2</f>
        <v>7000000</v>
      </c>
      <c r="G55" s="22" t="n">
        <f aca="false">G53/2</f>
        <v>12075000</v>
      </c>
      <c r="H55" s="9" t="s">
        <v>72</v>
      </c>
      <c r="L55" s="9" t="s">
        <v>161</v>
      </c>
    </row>
    <row r="56" customFormat="false" ht="15.75" hidden="false" customHeight="true" outlineLevel="0" collapsed="false">
      <c r="B56" s="5" t="s">
        <v>162</v>
      </c>
      <c r="C56" s="6" t="s">
        <v>134</v>
      </c>
      <c r="D56" s="6" t="s">
        <v>135</v>
      </c>
      <c r="E56" s="6" t="s">
        <v>136</v>
      </c>
      <c r="F56" s="6" t="s">
        <v>137</v>
      </c>
      <c r="G56" s="6" t="s">
        <v>138</v>
      </c>
      <c r="H56" s="6"/>
      <c r="I56" s="6"/>
      <c r="J56" s="6"/>
      <c r="K56" s="6"/>
      <c r="L56" s="6"/>
    </row>
    <row r="57" customFormat="false" ht="15" hidden="false" customHeight="false" outlineLevel="0" collapsed="false">
      <c r="B57" s="7" t="s">
        <v>163</v>
      </c>
      <c r="C57" s="16" t="n">
        <f aca="false">C48/C44</f>
        <v>0.35</v>
      </c>
      <c r="D57" s="16" t="n">
        <f aca="false">D48/D44</f>
        <v>0.186666666666667</v>
      </c>
      <c r="E57" s="16" t="n">
        <f aca="false">E48/E44</f>
        <v>0.175</v>
      </c>
      <c r="F57" s="16" t="n">
        <f aca="false">F48/F44</f>
        <v>0.14</v>
      </c>
      <c r="G57" s="16" t="n">
        <f aca="false">G48/G44</f>
        <v>0.238</v>
      </c>
      <c r="H57" s="9" t="s">
        <v>115</v>
      </c>
    </row>
    <row r="58" customFormat="false" ht="15" hidden="false" customHeight="false" outlineLevel="0" collapsed="false">
      <c r="B58" s="7" t="s">
        <v>164</v>
      </c>
      <c r="C58" s="16" t="n">
        <f aca="false">C45/C44</f>
        <v>0.5</v>
      </c>
      <c r="D58" s="16" t="n">
        <f aca="false">D45/D44</f>
        <v>0.266666666666667</v>
      </c>
      <c r="E58" s="16" t="n">
        <f aca="false">E45/E44</f>
        <v>0.25</v>
      </c>
      <c r="F58" s="16" t="n">
        <f aca="false">F45/F44</f>
        <v>0.2</v>
      </c>
      <c r="G58" s="16" t="n">
        <f aca="false">G45/G44</f>
        <v>0.34</v>
      </c>
      <c r="H58" s="9" t="s">
        <v>115</v>
      </c>
      <c r="L58" s="9" t="s">
        <v>165</v>
      </c>
    </row>
    <row r="59" customFormat="false" ht="15" hidden="false" customHeight="false" outlineLevel="0" collapsed="false">
      <c r="B59" s="7" t="s">
        <v>166</v>
      </c>
      <c r="C59" s="32" t="n">
        <f aca="false">(C44+C50)/C44</f>
        <v>1.15</v>
      </c>
      <c r="D59" s="32" t="n">
        <f aca="false">(D44+D50)/D44</f>
        <v>1.08</v>
      </c>
      <c r="E59" s="32" t="n">
        <f aca="false">(E44+E50)/E44</f>
        <v>1.15</v>
      </c>
      <c r="F59" s="32" t="n">
        <f aca="false">(F44+F50)/F44</f>
        <v>1.12</v>
      </c>
      <c r="G59" s="32" t="n">
        <f aca="false">(G44+G50)/G44</f>
        <v>1.153</v>
      </c>
      <c r="H59" s="9" t="s">
        <v>115</v>
      </c>
      <c r="L59" s="9" t="s">
        <v>167</v>
      </c>
    </row>
    <row r="60" customFormat="false" ht="15" hidden="false" customHeight="false" outlineLevel="0" collapsed="false">
      <c r="B60" s="7" t="s">
        <v>168</v>
      </c>
      <c r="C60" s="16" t="n">
        <f aca="false">(C48+C49)/C44</f>
        <v>0.35</v>
      </c>
      <c r="D60" s="16" t="n">
        <f aca="false">(D48+D49)/D44</f>
        <v>0.186666666666667</v>
      </c>
      <c r="E60" s="16" t="n">
        <f aca="false">(E48+E49)/E44</f>
        <v>0.35</v>
      </c>
      <c r="F60" s="16" t="n">
        <f aca="false">(F48+F49)/F44</f>
        <v>0.28</v>
      </c>
      <c r="G60" s="16" t="n">
        <f aca="false">(G48+G49)/G44</f>
        <v>0.357</v>
      </c>
      <c r="H60" s="9" t="s">
        <v>115</v>
      </c>
    </row>
    <row r="61" customFormat="false" ht="22.35" hidden="false" customHeight="false" outlineLevel="0" collapsed="false">
      <c r="B61" s="7" t="s">
        <v>169</v>
      </c>
      <c r="C61" s="33" t="n">
        <f aca="false">Frais_var+MAX(Fee_SGP,SGP_min/C44)-Fee_SGP+Frais_fixes/C44</f>
        <v>0.032599</v>
      </c>
      <c r="D61" s="33" t="n">
        <f aca="false">Frais_var+MAX(Fee_SGP,SGP_min/D44)-Fee_SGP+Frais_fixes/D44</f>
        <v>0.0258794666666667</v>
      </c>
      <c r="E61" s="33" t="n">
        <f aca="false">Frais_var+MAX(Fee_SGP,SGP_min/E44)-Fee_SGP+Frais_fixes/E44</f>
        <v>0.0239596</v>
      </c>
      <c r="F61" s="33" t="n">
        <f aca="false">Frais_var+MAX(Fee_SGP,SGP_min/F44)-Fee_SGP+Frais_fixes/F44</f>
        <v>0.02280768</v>
      </c>
      <c r="G61" s="33" t="n">
        <f aca="false">Frais_var+MAX(Fee_SGP,SGP_min/G44)-Fee_SGP+Frais_fixes/G44</f>
        <v>0.02110384</v>
      </c>
      <c r="H61" s="9" t="s">
        <v>170</v>
      </c>
      <c r="L61" s="9" t="s">
        <v>171</v>
      </c>
    </row>
    <row r="62" customFormat="false" ht="15" hidden="false" customHeight="false" outlineLevel="0" collapsed="false">
      <c r="B62" s="7" t="s">
        <v>172</v>
      </c>
      <c r="C62" s="23" t="str">
        <f aca="false">IF(AND(C44&gt;=Taille_min,C53&gt;0,C54&gt;=1000000),"Vert","Rouge")</f>
        <v>Vert</v>
      </c>
      <c r="D62" s="23" t="str">
        <f aca="false">IF(AND(D44&gt;=Taille_min,D53&gt;0,D54&gt;=1000000),"Vert","Rouge")</f>
        <v>Vert</v>
      </c>
      <c r="E62" s="23" t="str">
        <f aca="false">IF(AND(E44&gt;=Taille_min,E53&gt;0,E54&gt;=1000000),"Vert","Rouge")</f>
        <v>Vert</v>
      </c>
      <c r="F62" s="23" t="str">
        <f aca="false">IF(AND(F44&gt;=Taille_min,F53&gt;0,F54&gt;=1000000),"Vert","Rouge")</f>
        <v>Vert</v>
      </c>
      <c r="G62" s="23" t="str">
        <f aca="false">IF(AND(G44&gt;=Taille_min,G53&gt;0,G54&gt;=1000000),"Vert","Rouge")</f>
        <v>Vert</v>
      </c>
      <c r="H62" s="9"/>
      <c r="L62" s="9" t="s">
        <v>173</v>
      </c>
    </row>
    <row r="63" customFormat="false" ht="15" hidden="false" customHeight="false" outlineLevel="0" collapsed="false">
      <c r="B63" s="7" t="s">
        <v>174</v>
      </c>
      <c r="C63" s="23" t="str">
        <f aca="false">IF(OR(AND(C45&gt;0,C45&lt;Ticket_Macquarie),AND(C46&gt;0,C46&lt;Ticket_Macquarie)),"Oui, par écrit","Non")</f>
        <v>Oui, par écrit</v>
      </c>
      <c r="D63" s="23" t="str">
        <f aca="false">IF(OR(AND(D45&gt;0,D45&lt;Ticket_Macquarie),AND(D46&gt;0,D46&lt;Ticket_Macquarie)),"Oui, par écrit","Non")</f>
        <v>Oui, par écrit</v>
      </c>
      <c r="E63" s="23" t="str">
        <f aca="false">IF(OR(AND(E45&gt;0,E45&lt;Ticket_Macquarie),AND(E46&gt;0,E46&lt;Ticket_Macquarie)),"Oui, par écrit","Non")</f>
        <v>Oui, par écrit</v>
      </c>
      <c r="F63" s="23" t="str">
        <f aca="false">IF(OR(AND(F45&gt;0,F45&lt;Ticket_Macquarie),AND(F46&gt;0,F46&lt;Ticket_Macquarie)),"Oui, par écrit","Non")</f>
        <v>Oui, par écrit</v>
      </c>
      <c r="G63" s="23" t="str">
        <f aca="false">IF(OR(AND(G45&gt;0,G45&lt;Ticket_Macquarie),AND(G46&gt;0,G46&lt;Ticket_Macquarie)),"Oui, par écrit","Non")</f>
        <v>Oui, par écrit</v>
      </c>
      <c r="H63" s="9"/>
    </row>
    <row r="65" customFormat="false" ht="18" hidden="false" customHeight="true" outlineLevel="0" collapsed="false">
      <c r="B65" s="3" t="s">
        <v>175</v>
      </c>
      <c r="C65" s="4"/>
      <c r="D65" s="4"/>
      <c r="E65" s="4"/>
      <c r="F65" s="4"/>
      <c r="G65" s="4"/>
      <c r="H65" s="4"/>
      <c r="I65" s="4"/>
      <c r="J65" s="4"/>
      <c r="K65" s="4"/>
      <c r="L65" s="4"/>
    </row>
    <row r="66" customFormat="false" ht="27.75" hidden="false" customHeight="true" outlineLevel="0" collapsed="false">
      <c r="B66" s="30" t="s">
        <v>176</v>
      </c>
      <c r="C66" s="30"/>
      <c r="D66" s="30"/>
      <c r="E66" s="30"/>
      <c r="F66" s="30"/>
      <c r="G66" s="30"/>
      <c r="H66" s="30"/>
      <c r="I66" s="30"/>
      <c r="J66" s="30"/>
      <c r="K66" s="30"/>
      <c r="L66" s="30"/>
    </row>
    <row r="67" customFormat="false" ht="30" hidden="false" customHeight="true" outlineLevel="0" collapsed="false">
      <c r="B67" s="5" t="s">
        <v>177</v>
      </c>
      <c r="C67" s="6" t="s">
        <v>178</v>
      </c>
      <c r="D67" s="6" t="s">
        <v>179</v>
      </c>
      <c r="E67" s="6" t="s">
        <v>180</v>
      </c>
      <c r="F67" s="6" t="s">
        <v>181</v>
      </c>
      <c r="G67" s="6" t="s">
        <v>182</v>
      </c>
      <c r="H67" s="6" t="s">
        <v>183</v>
      </c>
      <c r="I67" s="6" t="s">
        <v>184</v>
      </c>
      <c r="J67" s="6" t="s">
        <v>185</v>
      </c>
      <c r="K67" s="6" t="s">
        <v>186</v>
      </c>
      <c r="L67" s="6" t="s">
        <v>53</v>
      </c>
    </row>
    <row r="68" customFormat="false" ht="25.5" hidden="false" customHeight="true" outlineLevel="0" collapsed="false">
      <c r="B68" s="7" t="s">
        <v>187</v>
      </c>
      <c r="C68" s="9" t="s">
        <v>188</v>
      </c>
      <c r="D68" s="16" t="n">
        <f aca="false">INDEX($C$48:$G$48,Taille_sel)/AN_depart</f>
        <v>0.35</v>
      </c>
      <c r="E68" s="32" t="n">
        <f aca="false">IF(INDEX($C$48:$G$48,Taille_sel)&gt;0,(1-Part_appelee)/Part_appelee,0)</f>
        <v>0.428571428571429</v>
      </c>
      <c r="F68" s="29" t="n">
        <v>0</v>
      </c>
      <c r="G68" s="26" t="n">
        <v>0</v>
      </c>
      <c r="H68" s="26" t="n">
        <v>365</v>
      </c>
      <c r="I68" s="26" t="n">
        <v>540</v>
      </c>
      <c r="J68" s="26" t="n">
        <v>730</v>
      </c>
      <c r="K68" s="26" t="n">
        <v>1095</v>
      </c>
      <c r="L68" s="9" t="s">
        <v>189</v>
      </c>
    </row>
    <row r="69" customFormat="false" ht="25.5" hidden="false" customHeight="true" outlineLevel="0" collapsed="false">
      <c r="B69" s="7" t="s">
        <v>190</v>
      </c>
      <c r="C69" s="9" t="s">
        <v>188</v>
      </c>
      <c r="D69" s="16" t="n">
        <f aca="false">INDEX($C$49:$G$49,Taille_sel)/AN_depart</f>
        <v>0</v>
      </c>
      <c r="E69" s="32" t="n">
        <f aca="false">IF(INDEX($C$49:$G$49,Taille_sel)&gt;0,(1-Part_appelee)/Part_appelee,0)</f>
        <v>0</v>
      </c>
      <c r="F69" s="29" t="n">
        <v>0</v>
      </c>
      <c r="G69" s="26" t="n">
        <v>45</v>
      </c>
      <c r="H69" s="26" t="n">
        <v>365</v>
      </c>
      <c r="I69" s="26" t="n">
        <v>540</v>
      </c>
      <c r="J69" s="26" t="n">
        <v>730</v>
      </c>
      <c r="K69" s="26" t="n">
        <v>1095</v>
      </c>
      <c r="L69" s="9" t="s">
        <v>191</v>
      </c>
    </row>
    <row r="70" customFormat="false" ht="25.5" hidden="false" customHeight="true" outlineLevel="0" collapsed="false">
      <c r="B70" s="7" t="s">
        <v>192</v>
      </c>
      <c r="C70" s="9" t="s">
        <v>193</v>
      </c>
      <c r="D70" s="16" t="n">
        <f aca="false">INDEX($C$54:$G$54,Taille_sel)/AN_depart</f>
        <v>0.245</v>
      </c>
      <c r="E70" s="32" t="n">
        <v>0</v>
      </c>
      <c r="F70" s="29" t="n">
        <v>0.05</v>
      </c>
      <c r="G70" s="26" t="n">
        <v>63</v>
      </c>
      <c r="H70" s="26" t="n">
        <v>180</v>
      </c>
      <c r="I70" s="26" t="n">
        <v>270</v>
      </c>
      <c r="J70" s="26" t="n">
        <v>365</v>
      </c>
      <c r="K70" s="26" t="n">
        <v>540</v>
      </c>
      <c r="L70" s="9" t="s">
        <v>194</v>
      </c>
    </row>
    <row r="71" customFormat="false" ht="25.5" hidden="false" customHeight="true" outlineLevel="0" collapsed="false">
      <c r="B71" s="7" t="s">
        <v>195</v>
      </c>
      <c r="C71" s="9" t="s">
        <v>193</v>
      </c>
      <c r="D71" s="16" t="n">
        <f aca="false">INDEX($C$55:$G$55,Taille_sel)/AN_depart</f>
        <v>0.245</v>
      </c>
      <c r="E71" s="32" t="n">
        <v>0</v>
      </c>
      <c r="F71" s="29" t="n">
        <v>0.05</v>
      </c>
      <c r="G71" s="26" t="n">
        <v>30</v>
      </c>
      <c r="H71" s="26" t="n">
        <v>120</v>
      </c>
      <c r="I71" s="26" t="n">
        <v>180</v>
      </c>
      <c r="J71" s="26" t="n">
        <v>365</v>
      </c>
      <c r="K71" s="26" t="n">
        <v>540</v>
      </c>
      <c r="L71" s="9" t="s">
        <v>196</v>
      </c>
    </row>
    <row r="72" customFormat="false" ht="25.5" hidden="false" customHeight="true" outlineLevel="0" collapsed="false">
      <c r="B72" s="7" t="s">
        <v>197</v>
      </c>
      <c r="C72" s="9" t="s">
        <v>198</v>
      </c>
      <c r="D72" s="16" t="n">
        <f aca="false">Liq_cible-Cash_cible</f>
        <v>0.11</v>
      </c>
      <c r="E72" s="32" t="n">
        <v>0</v>
      </c>
      <c r="F72" s="29" t="n">
        <v>1</v>
      </c>
      <c r="G72" s="26" t="n">
        <v>2</v>
      </c>
      <c r="H72" s="26" t="n">
        <v>7</v>
      </c>
      <c r="I72" s="26" t="n">
        <v>14</v>
      </c>
      <c r="J72" s="26" t="n">
        <v>30</v>
      </c>
      <c r="K72" s="26" t="n">
        <v>30</v>
      </c>
      <c r="L72" s="9" t="s">
        <v>199</v>
      </c>
    </row>
    <row r="73" customFormat="false" ht="25.5" hidden="false" customHeight="true" outlineLevel="0" collapsed="false">
      <c r="B73" s="7" t="s">
        <v>200</v>
      </c>
      <c r="C73" s="9" t="s">
        <v>198</v>
      </c>
      <c r="D73" s="16" t="n">
        <f aca="false">Cash_cible</f>
        <v>0.05</v>
      </c>
      <c r="E73" s="32" t="n">
        <v>0</v>
      </c>
      <c r="F73" s="29" t="n">
        <v>1</v>
      </c>
      <c r="G73" s="26" t="n">
        <v>0</v>
      </c>
      <c r="H73" s="26" t="n">
        <v>1</v>
      </c>
      <c r="I73" s="26" t="n">
        <v>1</v>
      </c>
      <c r="J73" s="26" t="n">
        <v>1</v>
      </c>
      <c r="K73" s="26" t="n">
        <v>1</v>
      </c>
      <c r="L73" s="9" t="s">
        <v>201</v>
      </c>
    </row>
    <row r="74" customFormat="false" ht="15" hidden="false" customHeight="false" outlineLevel="0" collapsed="false">
      <c r="B74" s="7" t="s">
        <v>202</v>
      </c>
      <c r="C74" s="9"/>
      <c r="D74" s="13" t="n">
        <f aca="false">SUM(D68:D73)</f>
        <v>1</v>
      </c>
      <c r="L74" s="9" t="s">
        <v>203</v>
      </c>
    </row>
    <row r="76" customFormat="false" ht="18" hidden="false" customHeight="true" outlineLevel="0" collapsed="false">
      <c r="B76" s="3" t="s">
        <v>204</v>
      </c>
      <c r="C76" s="4"/>
      <c r="D76" s="4"/>
      <c r="E76" s="4"/>
      <c r="F76" s="4"/>
      <c r="G76" s="4"/>
      <c r="H76" s="4"/>
      <c r="I76" s="4"/>
      <c r="J76" s="4"/>
      <c r="K76" s="4"/>
      <c r="L76" s="4"/>
    </row>
    <row r="77" customFormat="false" ht="27.75" hidden="false" customHeight="true" outlineLevel="0" collapsed="false">
      <c r="B77" s="30" t="s">
        <v>205</v>
      </c>
      <c r="C77" s="30"/>
      <c r="D77" s="30"/>
      <c r="E77" s="30"/>
      <c r="F77" s="30"/>
      <c r="G77" s="30"/>
      <c r="H77" s="30"/>
      <c r="I77" s="30"/>
      <c r="J77" s="30"/>
      <c r="K77" s="30"/>
      <c r="L77" s="30"/>
    </row>
    <row r="78" customFormat="false" ht="36" hidden="false" customHeight="true" outlineLevel="0" collapsed="false">
      <c r="B78" s="5" t="s">
        <v>177</v>
      </c>
      <c r="C78" s="6" t="s">
        <v>206</v>
      </c>
      <c r="D78" s="6" t="s">
        <v>207</v>
      </c>
      <c r="E78" s="6" t="s">
        <v>208</v>
      </c>
      <c r="F78" s="6" t="s">
        <v>209</v>
      </c>
      <c r="G78" s="6" t="s">
        <v>210</v>
      </c>
      <c r="H78" s="6" t="s">
        <v>211</v>
      </c>
      <c r="I78" s="6" t="s">
        <v>212</v>
      </c>
      <c r="J78" s="6" t="s">
        <v>213</v>
      </c>
      <c r="K78" s="6" t="s">
        <v>214</v>
      </c>
      <c r="L78" s="6" t="s">
        <v>215</v>
      </c>
    </row>
    <row r="79" customFormat="false" ht="22.35" hidden="false" customHeight="false" outlineLevel="0" collapsed="false">
      <c r="B79" s="7" t="s">
        <v>187</v>
      </c>
      <c r="C79" s="28" t="n">
        <v>0.135</v>
      </c>
      <c r="D79" s="28" t="n">
        <v>0.06</v>
      </c>
      <c r="E79" s="9" t="s">
        <v>216</v>
      </c>
      <c r="F79" s="34" t="n">
        <v>0.5</v>
      </c>
      <c r="G79" s="34" t="n">
        <v>0.5</v>
      </c>
      <c r="H79" s="29" t="n">
        <v>1</v>
      </c>
      <c r="I79" s="28" t="n">
        <v>-0.05</v>
      </c>
      <c r="J79" s="29" t="n">
        <v>0.15</v>
      </c>
      <c r="K79" s="29" t="n">
        <v>0.25</v>
      </c>
      <c r="L79" s="29" t="n">
        <v>0.35</v>
      </c>
    </row>
    <row r="80" customFormat="false" ht="22.35" hidden="false" customHeight="false" outlineLevel="0" collapsed="false">
      <c r="B80" s="7" t="s">
        <v>190</v>
      </c>
      <c r="C80" s="28" t="n">
        <v>0.11</v>
      </c>
      <c r="D80" s="28" t="n">
        <v>0.07</v>
      </c>
      <c r="E80" s="9" t="s">
        <v>217</v>
      </c>
      <c r="F80" s="34" t="n">
        <v>0.5</v>
      </c>
      <c r="G80" s="34" t="n">
        <v>0.5</v>
      </c>
      <c r="H80" s="29" t="n">
        <v>1</v>
      </c>
      <c r="I80" s="28" t="n">
        <v>0</v>
      </c>
      <c r="J80" s="29" t="n">
        <v>0.15</v>
      </c>
      <c r="K80" s="29" t="n">
        <v>0.25</v>
      </c>
      <c r="L80" s="29" t="n">
        <v>0.35</v>
      </c>
    </row>
    <row r="81" customFormat="false" ht="22.35" hidden="false" customHeight="false" outlineLevel="0" collapsed="false">
      <c r="B81" s="7" t="s">
        <v>192</v>
      </c>
      <c r="C81" s="28" t="n">
        <v>0.115</v>
      </c>
      <c r="D81" s="28" t="n">
        <v>0.02</v>
      </c>
      <c r="E81" s="9" t="s">
        <v>216</v>
      </c>
      <c r="F81" s="34" t="n">
        <v>0.5</v>
      </c>
      <c r="G81" s="34" t="n">
        <v>0.5</v>
      </c>
      <c r="H81" s="29" t="n">
        <v>0</v>
      </c>
      <c r="I81" s="28" t="n">
        <v>0</v>
      </c>
      <c r="J81" s="29" t="n">
        <v>0.05</v>
      </c>
      <c r="K81" s="29" t="n">
        <v>0.15</v>
      </c>
      <c r="L81" s="29" t="n">
        <v>0.25</v>
      </c>
    </row>
    <row r="82" customFormat="false" ht="22.35" hidden="false" customHeight="false" outlineLevel="0" collapsed="false">
      <c r="B82" s="7" t="s">
        <v>195</v>
      </c>
      <c r="C82" s="28" t="n">
        <v>0.095</v>
      </c>
      <c r="D82" s="28" t="n">
        <v>0.05</v>
      </c>
      <c r="E82" s="9" t="s">
        <v>218</v>
      </c>
      <c r="F82" s="34" t="n">
        <v>0.5</v>
      </c>
      <c r="G82" s="34" t="n">
        <v>0.5</v>
      </c>
      <c r="H82" s="29" t="n">
        <v>0</v>
      </c>
      <c r="I82" s="28" t="n">
        <v>-0.03</v>
      </c>
      <c r="J82" s="29" t="n">
        <v>0.05</v>
      </c>
      <c r="K82" s="29" t="n">
        <v>0.15</v>
      </c>
      <c r="L82" s="29" t="n">
        <v>0.25</v>
      </c>
    </row>
    <row r="83" customFormat="false" ht="22.35" hidden="false" customHeight="false" outlineLevel="0" collapsed="false">
      <c r="B83" s="7" t="s">
        <v>197</v>
      </c>
      <c r="C83" s="28" t="n">
        <v>0.06</v>
      </c>
      <c r="D83" s="28" t="n">
        <v>0</v>
      </c>
      <c r="E83" s="9" t="s">
        <v>219</v>
      </c>
      <c r="F83" s="34" t="n">
        <v>1</v>
      </c>
      <c r="G83" s="34" t="n">
        <v>0</v>
      </c>
      <c r="H83" s="29" t="n">
        <v>0</v>
      </c>
      <c r="I83" s="28" t="n">
        <v>0</v>
      </c>
      <c r="J83" s="29" t="n">
        <v>0.01</v>
      </c>
      <c r="K83" s="29" t="n">
        <v>0.03</v>
      </c>
      <c r="L83" s="29" t="n">
        <v>0.05</v>
      </c>
    </row>
    <row r="84" customFormat="false" ht="15" hidden="false" customHeight="false" outlineLevel="0" collapsed="false">
      <c r="B84" s="7" t="s">
        <v>200</v>
      </c>
      <c r="C84" s="28" t="n">
        <v>0.025</v>
      </c>
      <c r="D84" s="28" t="n">
        <v>0</v>
      </c>
      <c r="E84" s="9" t="s">
        <v>220</v>
      </c>
      <c r="F84" s="34" t="n">
        <v>0</v>
      </c>
      <c r="G84" s="34" t="n">
        <v>0</v>
      </c>
      <c r="H84" s="29" t="n">
        <v>0</v>
      </c>
      <c r="I84" s="28" t="n">
        <v>0</v>
      </c>
      <c r="J84" s="29" t="n">
        <v>0</v>
      </c>
      <c r="K84" s="29" t="n">
        <v>0</v>
      </c>
      <c r="L84" s="29" t="n">
        <v>0</v>
      </c>
    </row>
    <row r="86" customFormat="false" ht="18" hidden="false" customHeight="true" outlineLevel="0" collapsed="false">
      <c r="B86" s="3" t="s">
        <v>221</v>
      </c>
      <c r="C86" s="4"/>
      <c r="D86" s="4"/>
      <c r="E86" s="4"/>
      <c r="F86" s="4"/>
      <c r="G86" s="4"/>
      <c r="H86" s="4"/>
      <c r="I86" s="4"/>
      <c r="J86" s="4"/>
      <c r="K86" s="4"/>
      <c r="L86" s="4"/>
    </row>
    <row r="87" customFormat="false" ht="27.75" hidden="false" customHeight="true" outlineLevel="0" collapsed="false">
      <c r="B87" s="5" t="s">
        <v>51</v>
      </c>
      <c r="C87" s="6" t="s">
        <v>3</v>
      </c>
      <c r="D87" s="6" t="s">
        <v>52</v>
      </c>
      <c r="E87" s="6" t="s">
        <v>53</v>
      </c>
      <c r="F87" s="6"/>
      <c r="G87" s="6"/>
      <c r="H87" s="6"/>
      <c r="I87" s="6"/>
      <c r="J87" s="6"/>
      <c r="K87" s="6"/>
      <c r="L87" s="6" t="s">
        <v>54</v>
      </c>
    </row>
    <row r="88" customFormat="false" ht="22.35" hidden="false" customHeight="false" outlineLevel="0" collapsed="false">
      <c r="B88" s="7" t="s">
        <v>222</v>
      </c>
      <c r="C88" s="28" t="n">
        <v>0.02</v>
      </c>
      <c r="D88" s="9" t="s">
        <v>103</v>
      </c>
      <c r="E88" s="9" t="s">
        <v>223</v>
      </c>
      <c r="L88" s="9"/>
    </row>
    <row r="89" customFormat="false" ht="64.15" hidden="false" customHeight="false" outlineLevel="0" collapsed="false">
      <c r="B89" s="7" t="s">
        <v>224</v>
      </c>
      <c r="C89" s="28" t="n">
        <v>0.1</v>
      </c>
      <c r="D89" s="9" t="s">
        <v>103</v>
      </c>
      <c r="E89" s="9" t="s">
        <v>225</v>
      </c>
      <c r="L89" s="9"/>
    </row>
    <row r="90" customFormat="false" ht="22.35" hidden="false" customHeight="false" outlineLevel="0" collapsed="false">
      <c r="B90" s="7" t="s">
        <v>226</v>
      </c>
      <c r="C90" s="16" t="n">
        <f aca="false">1/6</f>
        <v>0.166666666666667</v>
      </c>
      <c r="D90" s="9" t="s">
        <v>227</v>
      </c>
      <c r="E90" s="9" t="s">
        <v>228</v>
      </c>
      <c r="L90" s="9"/>
    </row>
    <row r="91" customFormat="false" ht="32.8" hidden="false" customHeight="false" outlineLevel="0" collapsed="false">
      <c r="B91" s="7" t="s">
        <v>229</v>
      </c>
      <c r="C91" s="35" t="n">
        <v>0.02</v>
      </c>
      <c r="D91" s="9" t="s">
        <v>230</v>
      </c>
      <c r="E91" s="9" t="s">
        <v>231</v>
      </c>
      <c r="L91" s="9"/>
    </row>
    <row r="92" customFormat="false" ht="22.35" hidden="false" customHeight="false" outlineLevel="0" collapsed="false">
      <c r="B92" s="7" t="s">
        <v>232</v>
      </c>
      <c r="C92" s="35" t="n">
        <v>0.0018</v>
      </c>
      <c r="D92" s="9" t="s">
        <v>230</v>
      </c>
      <c r="E92" s="9" t="s">
        <v>233</v>
      </c>
      <c r="L92" s="9"/>
    </row>
    <row r="93" customFormat="false" ht="22.35" hidden="false" customHeight="false" outlineLevel="0" collapsed="false">
      <c r="B93" s="7" t="s">
        <v>234</v>
      </c>
      <c r="C93" s="31" t="n">
        <v>60000</v>
      </c>
      <c r="D93" s="9" t="s">
        <v>235</v>
      </c>
      <c r="E93" s="9" t="s">
        <v>233</v>
      </c>
      <c r="L93" s="9"/>
    </row>
    <row r="94" customFormat="false" ht="32.8" hidden="false" customHeight="false" outlineLevel="0" collapsed="false">
      <c r="B94" s="7" t="s">
        <v>236</v>
      </c>
      <c r="C94" s="31" t="n">
        <v>55192</v>
      </c>
      <c r="D94" s="9" t="s">
        <v>235</v>
      </c>
      <c r="E94" s="9" t="s">
        <v>237</v>
      </c>
      <c r="L94" s="9"/>
    </row>
    <row r="95" customFormat="false" ht="15" hidden="false" customHeight="false" outlineLevel="0" collapsed="false">
      <c r="B95" s="7" t="s">
        <v>238</v>
      </c>
      <c r="C95" s="33" t="n">
        <f aca="false">Frais_var+MAX(Fee_SGP,SGP_min/AN_depart)-Fee_SGP+Frais_fixes/AN_depart</f>
        <v>0.032599</v>
      </c>
      <c r="D95" s="9" t="s">
        <v>230</v>
      </c>
      <c r="E95" s="9" t="s">
        <v>75</v>
      </c>
      <c r="L95" s="9" t="s">
        <v>239</v>
      </c>
    </row>
    <row r="96" customFormat="false" ht="32.8" hidden="false" customHeight="false" outlineLevel="0" collapsed="false">
      <c r="B96" s="7" t="s">
        <v>240</v>
      </c>
      <c r="C96" s="31" t="n">
        <v>8000000</v>
      </c>
      <c r="D96" s="9" t="s">
        <v>72</v>
      </c>
      <c r="E96" s="9" t="s">
        <v>241</v>
      </c>
      <c r="L96" s="9"/>
    </row>
    <row r="97" customFormat="false" ht="53.7" hidden="false" customHeight="false" outlineLevel="0" collapsed="false">
      <c r="B97" s="7" t="s">
        <v>242</v>
      </c>
      <c r="C97" s="31" t="n">
        <v>10000000</v>
      </c>
      <c r="D97" s="9" t="s">
        <v>243</v>
      </c>
      <c r="E97" s="9" t="s">
        <v>244</v>
      </c>
      <c r="L97" s="9"/>
    </row>
    <row r="98" customFormat="false" ht="32.8" hidden="false" customHeight="false" outlineLevel="0" collapsed="false">
      <c r="B98" s="7" t="s">
        <v>245</v>
      </c>
      <c r="C98" s="28" t="n">
        <v>0.01</v>
      </c>
      <c r="D98" s="9" t="s">
        <v>103</v>
      </c>
      <c r="E98" s="9" t="s">
        <v>246</v>
      </c>
      <c r="L98" s="9"/>
    </row>
    <row r="99" customFormat="false" ht="22.35" hidden="false" customHeight="false" outlineLevel="0" collapsed="false">
      <c r="B99" s="7" t="s">
        <v>247</v>
      </c>
      <c r="C99" s="28" t="n">
        <v>0.05</v>
      </c>
      <c r="D99" s="9" t="s">
        <v>103</v>
      </c>
      <c r="E99" s="9" t="s">
        <v>248</v>
      </c>
      <c r="L99" s="9"/>
    </row>
    <row r="100" customFormat="false" ht="53.7" hidden="false" customHeight="false" outlineLevel="0" collapsed="false">
      <c r="B100" s="7" t="s">
        <v>249</v>
      </c>
      <c r="C100" s="28" t="n">
        <v>0.16</v>
      </c>
      <c r="D100" s="9" t="s">
        <v>103</v>
      </c>
      <c r="E100" s="9" t="s">
        <v>250</v>
      </c>
      <c r="L100" s="9"/>
    </row>
    <row r="101" customFormat="false" ht="22.35" hidden="false" customHeight="false" outlineLevel="0" collapsed="false">
      <c r="B101" s="7" t="s">
        <v>251</v>
      </c>
      <c r="C101" s="28" t="n">
        <v>0.1</v>
      </c>
      <c r="D101" s="9" t="s">
        <v>103</v>
      </c>
      <c r="E101" s="9" t="s">
        <v>252</v>
      </c>
      <c r="L101" s="9"/>
    </row>
    <row r="102" customFormat="false" ht="32.8" hidden="false" customHeight="false" outlineLevel="0" collapsed="false">
      <c r="B102" s="7" t="s">
        <v>253</v>
      </c>
      <c r="C102" s="28" t="n">
        <v>0.15</v>
      </c>
      <c r="D102" s="9" t="s">
        <v>103</v>
      </c>
      <c r="E102" s="9" t="s">
        <v>254</v>
      </c>
      <c r="L102" s="9"/>
    </row>
    <row r="103" customFormat="false" ht="15" hidden="false" customHeight="false" outlineLevel="0" collapsed="false">
      <c r="B103" s="7" t="s">
        <v>255</v>
      </c>
      <c r="C103" s="28" t="n">
        <v>0.35</v>
      </c>
      <c r="D103" s="9" t="s">
        <v>103</v>
      </c>
      <c r="E103" s="9" t="s">
        <v>256</v>
      </c>
      <c r="L103" s="9"/>
    </row>
    <row r="104" customFormat="false" ht="53.7" hidden="false" customHeight="false" outlineLevel="0" collapsed="false">
      <c r="B104" s="7" t="s">
        <v>257</v>
      </c>
      <c r="C104" s="28" t="n">
        <v>0.5</v>
      </c>
      <c r="D104" s="9" t="s">
        <v>103</v>
      </c>
      <c r="E104" s="9" t="s">
        <v>258</v>
      </c>
      <c r="L104" s="9" t="s">
        <v>259</v>
      </c>
    </row>
    <row r="106" customFormat="false" ht="18" hidden="false" customHeight="true" outlineLevel="0" collapsed="false">
      <c r="B106" s="3" t="s">
        <v>260</v>
      </c>
      <c r="C106" s="4"/>
      <c r="D106" s="4"/>
      <c r="E106" s="4"/>
      <c r="F106" s="4"/>
      <c r="G106" s="4"/>
      <c r="H106" s="4"/>
      <c r="I106" s="4"/>
      <c r="J106" s="4"/>
      <c r="K106" s="4"/>
      <c r="L106" s="4"/>
    </row>
    <row r="107" customFormat="false" ht="27.75" hidden="false" customHeight="true" outlineLevel="0" collapsed="false">
      <c r="B107" s="5" t="s">
        <v>261</v>
      </c>
      <c r="C107" s="6" t="s">
        <v>3</v>
      </c>
      <c r="D107" s="6" t="s">
        <v>52</v>
      </c>
      <c r="E107" s="6" t="s">
        <v>53</v>
      </c>
      <c r="F107" s="6"/>
      <c r="G107" s="6"/>
      <c r="H107" s="6"/>
      <c r="I107" s="6"/>
      <c r="J107" s="6"/>
      <c r="K107" s="6"/>
      <c r="L107" s="6" t="s">
        <v>54</v>
      </c>
    </row>
    <row r="108" customFormat="false" ht="32.8" hidden="false" customHeight="false" outlineLevel="0" collapsed="false">
      <c r="B108" s="7" t="s">
        <v>262</v>
      </c>
      <c r="C108" s="26" t="n">
        <v>1</v>
      </c>
      <c r="D108" s="9" t="s">
        <v>263</v>
      </c>
      <c r="E108" s="9" t="s">
        <v>264</v>
      </c>
      <c r="L108" s="9"/>
    </row>
    <row r="109" customFormat="false" ht="22.35" hidden="false" customHeight="false" outlineLevel="0" collapsed="false">
      <c r="B109" s="7" t="s">
        <v>265</v>
      </c>
      <c r="C109" s="26" t="n">
        <v>1</v>
      </c>
      <c r="D109" s="9" t="s">
        <v>263</v>
      </c>
      <c r="E109" s="9" t="s">
        <v>252</v>
      </c>
      <c r="L109" s="9"/>
    </row>
    <row r="110" customFormat="false" ht="22.35" hidden="false" customHeight="false" outlineLevel="0" collapsed="false">
      <c r="B110" s="7" t="s">
        <v>266</v>
      </c>
      <c r="C110" s="26" t="n">
        <v>0</v>
      </c>
      <c r="D110" s="9" t="s">
        <v>263</v>
      </c>
      <c r="E110" s="9" t="s">
        <v>118</v>
      </c>
      <c r="L110" s="9" t="s">
        <v>267</v>
      </c>
    </row>
    <row r="111" customFormat="false" ht="22.35" hidden="false" customHeight="false" outlineLevel="0" collapsed="false">
      <c r="B111" s="7" t="s">
        <v>268</v>
      </c>
      <c r="C111" s="26" t="n">
        <v>1</v>
      </c>
      <c r="D111" s="9" t="s">
        <v>263</v>
      </c>
      <c r="E111" s="9" t="s">
        <v>269</v>
      </c>
      <c r="L111" s="9"/>
    </row>
    <row r="112" customFormat="false" ht="64.15" hidden="false" customHeight="false" outlineLevel="0" collapsed="false">
      <c r="B112" s="7" t="s">
        <v>270</v>
      </c>
      <c r="C112" s="26" t="n">
        <v>1</v>
      </c>
      <c r="D112" s="9" t="s">
        <v>271</v>
      </c>
      <c r="E112" s="9" t="s">
        <v>272</v>
      </c>
      <c r="L112" s="9" t="s">
        <v>273</v>
      </c>
    </row>
    <row r="113" customFormat="false" ht="22.35" hidden="false" customHeight="false" outlineLevel="0" collapsed="false">
      <c r="B113" s="7" t="s">
        <v>274</v>
      </c>
      <c r="C113" s="26" t="n">
        <v>1</v>
      </c>
      <c r="D113" s="9" t="s">
        <v>263</v>
      </c>
      <c r="E113" s="9" t="s">
        <v>269</v>
      </c>
      <c r="L113" s="9" t="s">
        <v>275</v>
      </c>
    </row>
    <row r="115" customFormat="false" ht="18" hidden="false" customHeight="true" outlineLevel="0" collapsed="false">
      <c r="B115" s="3" t="s">
        <v>276</v>
      </c>
      <c r="C115" s="4"/>
      <c r="D115" s="4"/>
      <c r="E115" s="4"/>
      <c r="F115" s="4"/>
      <c r="G115" s="4"/>
      <c r="H115" s="4"/>
      <c r="I115" s="4"/>
      <c r="J115" s="4"/>
      <c r="K115" s="4"/>
      <c r="L115" s="4"/>
    </row>
    <row r="116" customFormat="false" ht="27.75" hidden="false" customHeight="true" outlineLevel="0" collapsed="false">
      <c r="B116" s="5" t="s">
        <v>277</v>
      </c>
      <c r="C116" s="6" t="s">
        <v>3</v>
      </c>
      <c r="D116" s="6" t="s">
        <v>52</v>
      </c>
      <c r="E116" s="6" t="s">
        <v>53</v>
      </c>
      <c r="F116" s="6"/>
      <c r="G116" s="6"/>
      <c r="H116" s="6"/>
      <c r="I116" s="6"/>
      <c r="J116" s="6"/>
      <c r="K116" s="6"/>
      <c r="L116" s="6" t="s">
        <v>54</v>
      </c>
    </row>
    <row r="117" customFormat="false" ht="22.35" hidden="false" customHeight="false" outlineLevel="0" collapsed="false">
      <c r="B117" s="7" t="s">
        <v>278</v>
      </c>
      <c r="C117" s="28" t="n">
        <v>0.25</v>
      </c>
      <c r="D117" s="9" t="s">
        <v>103</v>
      </c>
      <c r="E117" s="9" t="s">
        <v>252</v>
      </c>
      <c r="L117" s="9"/>
    </row>
    <row r="118" customFormat="false" ht="22.35" hidden="false" customHeight="false" outlineLevel="0" collapsed="false">
      <c r="B118" s="7" t="s">
        <v>279</v>
      </c>
      <c r="C118" s="28" t="n">
        <v>0.05</v>
      </c>
      <c r="D118" s="9" t="s">
        <v>103</v>
      </c>
      <c r="E118" s="9" t="s">
        <v>252</v>
      </c>
      <c r="L118" s="9"/>
    </row>
    <row r="119" customFormat="false" ht="32.8" hidden="false" customHeight="false" outlineLevel="0" collapsed="false">
      <c r="B119" s="7" t="s">
        <v>280</v>
      </c>
      <c r="C119" s="28" t="n">
        <v>0.15</v>
      </c>
      <c r="D119" s="9" t="s">
        <v>103</v>
      </c>
      <c r="E119" s="9" t="s">
        <v>281</v>
      </c>
      <c r="L119" s="9"/>
    </row>
    <row r="120" customFormat="false" ht="22.35" hidden="false" customHeight="false" outlineLevel="0" collapsed="false">
      <c r="B120" s="7" t="s">
        <v>282</v>
      </c>
      <c r="C120" s="34" t="n">
        <v>1</v>
      </c>
      <c r="D120" s="9" t="s">
        <v>283</v>
      </c>
      <c r="E120" s="9" t="s">
        <v>252</v>
      </c>
      <c r="L120" s="9"/>
    </row>
    <row r="121" customFormat="false" ht="22.35" hidden="false" customHeight="false" outlineLevel="0" collapsed="false">
      <c r="B121" s="7" t="s">
        <v>284</v>
      </c>
      <c r="C121" s="34" t="n">
        <v>1.5</v>
      </c>
      <c r="D121" s="9" t="s">
        <v>283</v>
      </c>
      <c r="E121" s="9" t="s">
        <v>252</v>
      </c>
      <c r="L121" s="9"/>
    </row>
    <row r="122" customFormat="false" ht="22.35" hidden="false" customHeight="false" outlineLevel="0" collapsed="false">
      <c r="B122" s="7" t="s">
        <v>285</v>
      </c>
      <c r="C122" s="29" t="n">
        <v>0.1</v>
      </c>
      <c r="D122" s="9" t="s">
        <v>115</v>
      </c>
      <c r="E122" s="9" t="s">
        <v>286</v>
      </c>
      <c r="L122" s="9"/>
    </row>
    <row r="123" customFormat="false" ht="43.25" hidden="false" customHeight="false" outlineLevel="0" collapsed="false">
      <c r="B123" s="7" t="s">
        <v>287</v>
      </c>
      <c r="C123" s="29" t="n">
        <v>0.25</v>
      </c>
      <c r="D123" s="9" t="s">
        <v>115</v>
      </c>
      <c r="E123" s="9" t="s">
        <v>288</v>
      </c>
      <c r="L123" s="9"/>
    </row>
    <row r="125" customFormat="false" ht="18" hidden="false" customHeight="true" outlineLevel="0" collapsed="false">
      <c r="B125" s="3" t="s">
        <v>289</v>
      </c>
      <c r="C125" s="4"/>
      <c r="D125" s="4"/>
      <c r="E125" s="4"/>
      <c r="F125" s="4"/>
      <c r="G125" s="4"/>
      <c r="H125" s="4"/>
      <c r="I125" s="4"/>
      <c r="J125" s="4"/>
      <c r="K125" s="4"/>
      <c r="L125" s="4"/>
    </row>
    <row r="126" customFormat="false" ht="27.75" hidden="false" customHeight="true" outlineLevel="0" collapsed="false">
      <c r="B126" s="30" t="s">
        <v>290</v>
      </c>
      <c r="C126" s="30"/>
      <c r="D126" s="30"/>
      <c r="E126" s="30"/>
      <c r="F126" s="30"/>
      <c r="G126" s="30"/>
      <c r="H126" s="30"/>
      <c r="I126" s="30"/>
      <c r="J126" s="30"/>
      <c r="K126" s="30"/>
      <c r="L126" s="30"/>
    </row>
    <row r="127" customFormat="false" ht="18" hidden="false" customHeight="true" outlineLevel="0" collapsed="false">
      <c r="B127" s="5" t="s">
        <v>291</v>
      </c>
      <c r="C127" s="6" t="s">
        <v>292</v>
      </c>
      <c r="D127" s="6" t="s">
        <v>293</v>
      </c>
      <c r="E127" s="6" t="s">
        <v>294</v>
      </c>
      <c r="F127" s="6" t="s">
        <v>295</v>
      </c>
      <c r="G127" s="6" t="s">
        <v>296</v>
      </c>
      <c r="H127" s="6" t="s">
        <v>297</v>
      </c>
      <c r="I127" s="6" t="s">
        <v>298</v>
      </c>
      <c r="J127" s="6" t="s">
        <v>299</v>
      </c>
      <c r="K127" s="6" t="s">
        <v>52</v>
      </c>
      <c r="L127" s="6" t="s">
        <v>54</v>
      </c>
    </row>
    <row r="128" customFormat="false" ht="15" hidden="false" customHeight="false" outlineLevel="0" collapsed="false">
      <c r="B128" s="7" t="s">
        <v>300</v>
      </c>
      <c r="C128" s="28" t="n">
        <v>0.02</v>
      </c>
      <c r="D128" s="28" t="n">
        <v>0.02</v>
      </c>
      <c r="E128" s="28" t="n">
        <v>0.02</v>
      </c>
      <c r="F128" s="28" t="n">
        <v>0.02</v>
      </c>
      <c r="G128" s="28" t="n">
        <v>0.02</v>
      </c>
      <c r="H128" s="28" t="n">
        <v>0.02</v>
      </c>
      <c r="I128" s="28" t="n">
        <v>0.02</v>
      </c>
      <c r="J128" s="28" t="n">
        <v>0.02</v>
      </c>
      <c r="K128" s="9" t="s">
        <v>103</v>
      </c>
      <c r="L128" s="9"/>
    </row>
    <row r="129" customFormat="false" ht="15" hidden="false" customHeight="false" outlineLevel="0" collapsed="false">
      <c r="B129" s="7" t="s">
        <v>301</v>
      </c>
      <c r="C129" s="28" t="n">
        <v>0.075</v>
      </c>
      <c r="D129" s="28" t="n">
        <v>0.075</v>
      </c>
      <c r="E129" s="28" t="n">
        <v>0.05</v>
      </c>
      <c r="F129" s="28" t="n">
        <v>0.03</v>
      </c>
      <c r="G129" s="28" t="n">
        <v>0.02</v>
      </c>
      <c r="H129" s="28" t="n">
        <v>0.02</v>
      </c>
      <c r="I129" s="28" t="n">
        <v>0.02</v>
      </c>
      <c r="J129" s="28" t="n">
        <v>0.02</v>
      </c>
      <c r="K129" s="9" t="s">
        <v>103</v>
      </c>
      <c r="L129" s="9"/>
    </row>
    <row r="130" customFormat="false" ht="15" hidden="false" customHeight="false" outlineLevel="0" collapsed="false">
      <c r="B130" s="7" t="s">
        <v>302</v>
      </c>
      <c r="C130" s="28" t="n">
        <v>0.15</v>
      </c>
      <c r="D130" s="28" t="n">
        <v>0.15</v>
      </c>
      <c r="E130" s="28" t="n">
        <v>0.1</v>
      </c>
      <c r="F130" s="28" t="n">
        <v>0.05</v>
      </c>
      <c r="G130" s="28" t="n">
        <v>0.03</v>
      </c>
      <c r="H130" s="28" t="n">
        <v>0.02</v>
      </c>
      <c r="I130" s="28" t="n">
        <v>0.02</v>
      </c>
      <c r="J130" s="28" t="n">
        <v>0.02</v>
      </c>
      <c r="K130" s="9" t="s">
        <v>103</v>
      </c>
      <c r="L130" s="9"/>
    </row>
    <row r="131" customFormat="false" ht="15" hidden="false" customHeight="false" outlineLevel="0" collapsed="false">
      <c r="B131" s="7" t="s">
        <v>303</v>
      </c>
      <c r="C131" s="28" t="n">
        <v>0.25</v>
      </c>
      <c r="D131" s="28" t="n">
        <v>0.2</v>
      </c>
      <c r="E131" s="28" t="n">
        <v>0.15</v>
      </c>
      <c r="F131" s="28" t="n">
        <v>0.1</v>
      </c>
      <c r="G131" s="28" t="n">
        <v>0.05</v>
      </c>
      <c r="H131" s="28" t="n">
        <v>0.03</v>
      </c>
      <c r="I131" s="28" t="n">
        <v>0.02</v>
      </c>
      <c r="J131" s="28" t="n">
        <v>0.02</v>
      </c>
      <c r="K131" s="9" t="s">
        <v>103</v>
      </c>
      <c r="L131" s="9"/>
    </row>
    <row r="132" customFormat="false" ht="18" hidden="false" customHeight="true" outlineLevel="0" collapsed="false">
      <c r="B132" s="5" t="s">
        <v>304</v>
      </c>
      <c r="C132" s="6" t="s">
        <v>292</v>
      </c>
      <c r="D132" s="6" t="s">
        <v>293</v>
      </c>
      <c r="E132" s="6" t="s">
        <v>294</v>
      </c>
      <c r="F132" s="6" t="s">
        <v>295</v>
      </c>
      <c r="G132" s="6" t="s">
        <v>296</v>
      </c>
      <c r="H132" s="6" t="s">
        <v>297</v>
      </c>
      <c r="I132" s="6" t="s">
        <v>298</v>
      </c>
      <c r="J132" s="6" t="s">
        <v>299</v>
      </c>
      <c r="K132" s="6" t="s">
        <v>52</v>
      </c>
      <c r="L132" s="6" t="s">
        <v>54</v>
      </c>
    </row>
    <row r="133" customFormat="false" ht="15" hidden="false" customHeight="false" outlineLevel="0" collapsed="false">
      <c r="B133" s="7" t="s">
        <v>300</v>
      </c>
      <c r="C133" s="34" t="n">
        <v>1</v>
      </c>
      <c r="D133" s="34" t="n">
        <v>1</v>
      </c>
      <c r="E133" s="34" t="n">
        <v>1</v>
      </c>
      <c r="F133" s="34" t="n">
        <v>1</v>
      </c>
      <c r="G133" s="34" t="n">
        <v>1</v>
      </c>
      <c r="H133" s="34" t="n">
        <v>1</v>
      </c>
      <c r="I133" s="34" t="n">
        <v>1</v>
      </c>
      <c r="J133" s="34" t="n">
        <v>1</v>
      </c>
      <c r="K133" s="9" t="s">
        <v>283</v>
      </c>
      <c r="L133" s="9"/>
    </row>
    <row r="134" customFormat="false" ht="15" hidden="false" customHeight="false" outlineLevel="0" collapsed="false">
      <c r="B134" s="7" t="s">
        <v>301</v>
      </c>
      <c r="C134" s="34" t="n">
        <v>0.5</v>
      </c>
      <c r="D134" s="34" t="n">
        <v>0.5</v>
      </c>
      <c r="E134" s="34" t="n">
        <v>0.5</v>
      </c>
      <c r="F134" s="34" t="n">
        <v>0.75</v>
      </c>
      <c r="G134" s="34" t="n">
        <v>1</v>
      </c>
      <c r="H134" s="34" t="n">
        <v>1</v>
      </c>
      <c r="I134" s="34" t="n">
        <v>1</v>
      </c>
      <c r="J134" s="34" t="n">
        <v>1</v>
      </c>
      <c r="K134" s="9" t="s">
        <v>283</v>
      </c>
      <c r="L134" s="9"/>
    </row>
    <row r="135" customFormat="false" ht="15" hidden="false" customHeight="false" outlineLevel="0" collapsed="false">
      <c r="B135" s="7" t="s">
        <v>302</v>
      </c>
      <c r="C135" s="34" t="n">
        <v>0</v>
      </c>
      <c r="D135" s="34" t="n">
        <v>0</v>
      </c>
      <c r="E135" s="34" t="n">
        <v>0</v>
      </c>
      <c r="F135" s="34" t="n">
        <v>0</v>
      </c>
      <c r="G135" s="34" t="n">
        <v>0.25</v>
      </c>
      <c r="H135" s="34" t="n">
        <v>0.5</v>
      </c>
      <c r="I135" s="34" t="n">
        <v>0.5</v>
      </c>
      <c r="J135" s="34" t="n">
        <v>0.5</v>
      </c>
      <c r="K135" s="9" t="s">
        <v>283</v>
      </c>
      <c r="L135" s="9"/>
    </row>
    <row r="136" customFormat="false" ht="15" hidden="false" customHeight="false" outlineLevel="0" collapsed="false">
      <c r="B136" s="7" t="s">
        <v>303</v>
      </c>
      <c r="C136" s="34" t="n">
        <v>0</v>
      </c>
      <c r="D136" s="34" t="n">
        <v>0</v>
      </c>
      <c r="E136" s="34" t="n">
        <v>0</v>
      </c>
      <c r="F136" s="34" t="n">
        <v>0</v>
      </c>
      <c r="G136" s="34" t="n">
        <v>0</v>
      </c>
      <c r="H136" s="34" t="n">
        <v>0</v>
      </c>
      <c r="I136" s="34" t="n">
        <v>0.25</v>
      </c>
      <c r="J136" s="34" t="n">
        <v>0.25</v>
      </c>
      <c r="K136" s="9" t="s">
        <v>283</v>
      </c>
      <c r="L136" s="9"/>
    </row>
    <row r="137" customFormat="false" ht="18" hidden="false" customHeight="true" outlineLevel="0" collapsed="false">
      <c r="B137" s="5" t="s">
        <v>305</v>
      </c>
      <c r="C137" s="6" t="s">
        <v>292</v>
      </c>
      <c r="D137" s="6" t="s">
        <v>293</v>
      </c>
      <c r="E137" s="6" t="s">
        <v>294</v>
      </c>
      <c r="F137" s="6" t="s">
        <v>295</v>
      </c>
      <c r="G137" s="6" t="s">
        <v>296</v>
      </c>
      <c r="H137" s="6" t="s">
        <v>297</v>
      </c>
      <c r="I137" s="6" t="s">
        <v>298</v>
      </c>
      <c r="J137" s="6" t="s">
        <v>299</v>
      </c>
      <c r="K137" s="6" t="s">
        <v>52</v>
      </c>
      <c r="L137" s="6" t="s">
        <v>54</v>
      </c>
    </row>
    <row r="138" customFormat="false" ht="15" hidden="false" customHeight="false" outlineLevel="0" collapsed="false">
      <c r="B138" s="7" t="s">
        <v>300</v>
      </c>
      <c r="C138" s="34" t="n">
        <v>1</v>
      </c>
      <c r="D138" s="34" t="n">
        <v>1</v>
      </c>
      <c r="E138" s="34" t="n">
        <v>1</v>
      </c>
      <c r="F138" s="34" t="n">
        <v>1</v>
      </c>
      <c r="G138" s="34" t="n">
        <v>1</v>
      </c>
      <c r="H138" s="34" t="n">
        <v>1</v>
      </c>
      <c r="I138" s="34" t="n">
        <v>1</v>
      </c>
      <c r="J138" s="34" t="n">
        <v>1</v>
      </c>
      <c r="K138" s="9" t="s">
        <v>283</v>
      </c>
      <c r="L138" s="9"/>
    </row>
    <row r="139" customFormat="false" ht="15" hidden="false" customHeight="false" outlineLevel="0" collapsed="false">
      <c r="B139" s="7" t="s">
        <v>301</v>
      </c>
      <c r="C139" s="34" t="n">
        <v>0.7</v>
      </c>
      <c r="D139" s="34" t="n">
        <v>0.6</v>
      </c>
      <c r="E139" s="34" t="n">
        <v>0.7</v>
      </c>
      <c r="F139" s="34" t="n">
        <v>0.85</v>
      </c>
      <c r="G139" s="34" t="n">
        <v>1</v>
      </c>
      <c r="H139" s="34" t="n">
        <v>1</v>
      </c>
      <c r="I139" s="34" t="n">
        <v>1</v>
      </c>
      <c r="J139" s="34" t="n">
        <v>1</v>
      </c>
      <c r="K139" s="9" t="s">
        <v>283</v>
      </c>
      <c r="L139" s="9"/>
    </row>
    <row r="140" customFormat="false" ht="15" hidden="false" customHeight="false" outlineLevel="0" collapsed="false">
      <c r="B140" s="7" t="s">
        <v>302</v>
      </c>
      <c r="C140" s="34" t="n">
        <v>0.4</v>
      </c>
      <c r="D140" s="34" t="n">
        <v>0.2</v>
      </c>
      <c r="E140" s="34" t="n">
        <v>0.25</v>
      </c>
      <c r="F140" s="34" t="n">
        <v>0.35</v>
      </c>
      <c r="G140" s="34" t="n">
        <v>0.5</v>
      </c>
      <c r="H140" s="34" t="n">
        <v>0.6</v>
      </c>
      <c r="I140" s="34" t="n">
        <v>0.7</v>
      </c>
      <c r="J140" s="34" t="n">
        <v>0.8</v>
      </c>
      <c r="K140" s="9" t="s">
        <v>283</v>
      </c>
      <c r="L140" s="9"/>
    </row>
    <row r="141" customFormat="false" ht="15" hidden="false" customHeight="false" outlineLevel="0" collapsed="false">
      <c r="B141" s="7" t="s">
        <v>303</v>
      </c>
      <c r="C141" s="34" t="n">
        <v>0.2</v>
      </c>
      <c r="D141" s="34" t="n">
        <v>0.1</v>
      </c>
      <c r="E141" s="34" t="n">
        <v>0.1</v>
      </c>
      <c r="F141" s="34" t="n">
        <v>0.15</v>
      </c>
      <c r="G141" s="34" t="n">
        <v>0.25</v>
      </c>
      <c r="H141" s="34" t="n">
        <v>0.4</v>
      </c>
      <c r="I141" s="34" t="n">
        <v>0.5</v>
      </c>
      <c r="J141" s="34" t="n">
        <v>0.6</v>
      </c>
      <c r="K141" s="9" t="s">
        <v>283</v>
      </c>
      <c r="L141" s="9"/>
    </row>
    <row r="142" customFormat="false" ht="18" hidden="false" customHeight="true" outlineLevel="0" collapsed="false">
      <c r="B142" s="5" t="s">
        <v>306</v>
      </c>
      <c r="C142" s="6" t="s">
        <v>292</v>
      </c>
      <c r="D142" s="6" t="s">
        <v>293</v>
      </c>
      <c r="E142" s="6" t="s">
        <v>294</v>
      </c>
      <c r="F142" s="6" t="s">
        <v>295</v>
      </c>
      <c r="G142" s="6" t="s">
        <v>296</v>
      </c>
      <c r="H142" s="6" t="s">
        <v>297</v>
      </c>
      <c r="I142" s="6" t="s">
        <v>298</v>
      </c>
      <c r="J142" s="6" t="s">
        <v>299</v>
      </c>
      <c r="K142" s="6" t="s">
        <v>52</v>
      </c>
      <c r="L142" s="6" t="s">
        <v>54</v>
      </c>
    </row>
    <row r="143" customFormat="false" ht="15" hidden="false" customHeight="false" outlineLevel="0" collapsed="false">
      <c r="B143" s="7" t="s">
        <v>300</v>
      </c>
      <c r="C143" s="34" t="n">
        <v>1</v>
      </c>
      <c r="D143" s="34" t="n">
        <v>1</v>
      </c>
      <c r="E143" s="34" t="n">
        <v>1</v>
      </c>
      <c r="F143" s="34" t="n">
        <v>1</v>
      </c>
      <c r="G143" s="34" t="n">
        <v>1</v>
      </c>
      <c r="H143" s="34" t="n">
        <v>1</v>
      </c>
      <c r="I143" s="34" t="n">
        <v>1</v>
      </c>
      <c r="J143" s="34" t="n">
        <v>1</v>
      </c>
      <c r="K143" s="9" t="s">
        <v>283</v>
      </c>
      <c r="L143" s="9"/>
    </row>
    <row r="144" customFormat="false" ht="15" hidden="false" customHeight="false" outlineLevel="0" collapsed="false">
      <c r="B144" s="7" t="s">
        <v>301</v>
      </c>
      <c r="C144" s="34" t="n">
        <v>1</v>
      </c>
      <c r="D144" s="34" t="n">
        <v>1</v>
      </c>
      <c r="E144" s="34" t="n">
        <v>1</v>
      </c>
      <c r="F144" s="34" t="n">
        <v>1</v>
      </c>
      <c r="G144" s="34" t="n">
        <v>1</v>
      </c>
      <c r="H144" s="34" t="n">
        <v>1</v>
      </c>
      <c r="I144" s="34" t="n">
        <v>1</v>
      </c>
      <c r="J144" s="34" t="n">
        <v>1</v>
      </c>
      <c r="K144" s="9" t="s">
        <v>283</v>
      </c>
      <c r="L144" s="9"/>
    </row>
    <row r="145" customFormat="false" ht="15" hidden="false" customHeight="false" outlineLevel="0" collapsed="false">
      <c r="B145" s="7" t="s">
        <v>302</v>
      </c>
      <c r="C145" s="34" t="n">
        <v>1.5</v>
      </c>
      <c r="D145" s="34" t="n">
        <v>1.5</v>
      </c>
      <c r="E145" s="34" t="n">
        <v>1</v>
      </c>
      <c r="F145" s="34" t="n">
        <v>1</v>
      </c>
      <c r="G145" s="34" t="n">
        <v>1</v>
      </c>
      <c r="H145" s="34" t="n">
        <v>1</v>
      </c>
      <c r="I145" s="34" t="n">
        <v>1</v>
      </c>
      <c r="J145" s="34" t="n">
        <v>1</v>
      </c>
      <c r="K145" s="9" t="s">
        <v>283</v>
      </c>
      <c r="L145" s="9"/>
    </row>
    <row r="146" customFormat="false" ht="15" hidden="false" customHeight="false" outlineLevel="0" collapsed="false">
      <c r="B146" s="7" t="s">
        <v>303</v>
      </c>
      <c r="C146" s="34" t="n">
        <v>2</v>
      </c>
      <c r="D146" s="34" t="n">
        <v>2</v>
      </c>
      <c r="E146" s="34" t="n">
        <v>1</v>
      </c>
      <c r="F146" s="34" t="n">
        <v>1</v>
      </c>
      <c r="G146" s="34" t="n">
        <v>1</v>
      </c>
      <c r="H146" s="34" t="n">
        <v>1</v>
      </c>
      <c r="I146" s="34" t="n">
        <v>1</v>
      </c>
      <c r="J146" s="34" t="n">
        <v>1</v>
      </c>
      <c r="K146" s="9" t="s">
        <v>283</v>
      </c>
      <c r="L146" s="9"/>
    </row>
    <row r="147" customFormat="false" ht="18" hidden="false" customHeight="true" outlineLevel="0" collapsed="false">
      <c r="B147" s="5" t="s">
        <v>307</v>
      </c>
      <c r="C147" s="6" t="s">
        <v>292</v>
      </c>
      <c r="D147" s="6" t="s">
        <v>293</v>
      </c>
      <c r="E147" s="6" t="s">
        <v>294</v>
      </c>
      <c r="F147" s="6" t="s">
        <v>295</v>
      </c>
      <c r="G147" s="6" t="s">
        <v>296</v>
      </c>
      <c r="H147" s="6" t="s">
        <v>297</v>
      </c>
      <c r="I147" s="6" t="s">
        <v>298</v>
      </c>
      <c r="J147" s="6" t="s">
        <v>299</v>
      </c>
      <c r="K147" s="6" t="s">
        <v>52</v>
      </c>
      <c r="L147" s="6" t="s">
        <v>54</v>
      </c>
    </row>
    <row r="148" customFormat="false" ht="15" hidden="false" customHeight="false" outlineLevel="0" collapsed="false">
      <c r="B148" s="7" t="s">
        <v>300</v>
      </c>
      <c r="C148" s="34" t="n">
        <v>0.3</v>
      </c>
      <c r="D148" s="34" t="n">
        <v>0.3</v>
      </c>
      <c r="E148" s="34" t="n">
        <v>0.3</v>
      </c>
      <c r="F148" s="34" t="n">
        <v>0.3</v>
      </c>
      <c r="G148" s="34" t="n">
        <v>0.3</v>
      </c>
      <c r="H148" s="34" t="n">
        <v>0.3</v>
      </c>
      <c r="I148" s="34" t="n">
        <v>0.3</v>
      </c>
      <c r="J148" s="34" t="n">
        <v>0.3</v>
      </c>
      <c r="K148" s="9" t="s">
        <v>308</v>
      </c>
      <c r="L148" s="9"/>
    </row>
    <row r="149" customFormat="false" ht="15" hidden="false" customHeight="false" outlineLevel="0" collapsed="false">
      <c r="B149" s="7" t="s">
        <v>301</v>
      </c>
      <c r="C149" s="34" t="n">
        <v>0.5</v>
      </c>
      <c r="D149" s="34" t="n">
        <v>0.5</v>
      </c>
      <c r="E149" s="34" t="n">
        <v>0.5</v>
      </c>
      <c r="F149" s="34" t="n">
        <v>0.4</v>
      </c>
      <c r="G149" s="34" t="n">
        <v>0.3</v>
      </c>
      <c r="H149" s="34" t="n">
        <v>0.3</v>
      </c>
      <c r="I149" s="34" t="n">
        <v>0.3</v>
      </c>
      <c r="J149" s="34" t="n">
        <v>0.3</v>
      </c>
      <c r="K149" s="9" t="s">
        <v>308</v>
      </c>
      <c r="L149" s="9"/>
    </row>
    <row r="150" customFormat="false" ht="15" hidden="false" customHeight="false" outlineLevel="0" collapsed="false">
      <c r="B150" s="7" t="s">
        <v>302</v>
      </c>
      <c r="C150" s="34" t="n">
        <v>1</v>
      </c>
      <c r="D150" s="34" t="n">
        <v>1</v>
      </c>
      <c r="E150" s="34" t="n">
        <v>0.8</v>
      </c>
      <c r="F150" s="34" t="n">
        <v>0.6</v>
      </c>
      <c r="G150" s="34" t="n">
        <v>0.5</v>
      </c>
      <c r="H150" s="34" t="n">
        <v>0.4</v>
      </c>
      <c r="I150" s="34" t="n">
        <v>0.3</v>
      </c>
      <c r="J150" s="34" t="n">
        <v>0.3</v>
      </c>
      <c r="K150" s="9" t="s">
        <v>308</v>
      </c>
      <c r="L150" s="9"/>
    </row>
    <row r="151" customFormat="false" ht="15" hidden="false" customHeight="false" outlineLevel="0" collapsed="false">
      <c r="B151" s="7" t="s">
        <v>303</v>
      </c>
      <c r="C151" s="34" t="n">
        <v>1</v>
      </c>
      <c r="D151" s="34" t="n">
        <v>1</v>
      </c>
      <c r="E151" s="34" t="n">
        <v>1</v>
      </c>
      <c r="F151" s="34" t="n">
        <v>0.8</v>
      </c>
      <c r="G151" s="34" t="n">
        <v>0.6</v>
      </c>
      <c r="H151" s="34" t="n">
        <v>0.5</v>
      </c>
      <c r="I151" s="34" t="n">
        <v>0.4</v>
      </c>
      <c r="J151" s="34" t="n">
        <v>0.3</v>
      </c>
      <c r="K151" s="9" t="s">
        <v>308</v>
      </c>
      <c r="L151" s="9"/>
    </row>
    <row r="152" customFormat="false" ht="18" hidden="false" customHeight="true" outlineLevel="0" collapsed="false">
      <c r="B152" s="5" t="s">
        <v>309</v>
      </c>
      <c r="C152" s="6" t="s">
        <v>292</v>
      </c>
      <c r="D152" s="6" t="s">
        <v>293</v>
      </c>
      <c r="E152" s="6" t="s">
        <v>294</v>
      </c>
      <c r="F152" s="6" t="s">
        <v>295</v>
      </c>
      <c r="G152" s="6" t="s">
        <v>296</v>
      </c>
      <c r="H152" s="6" t="s">
        <v>297</v>
      </c>
      <c r="I152" s="6" t="s">
        <v>298</v>
      </c>
      <c r="J152" s="6" t="s">
        <v>299</v>
      </c>
      <c r="K152" s="6" t="s">
        <v>52</v>
      </c>
      <c r="L152" s="6" t="s">
        <v>54</v>
      </c>
    </row>
    <row r="153" customFormat="false" ht="15" hidden="false" customHeight="false" outlineLevel="0" collapsed="false">
      <c r="B153" s="7" t="s">
        <v>300</v>
      </c>
      <c r="C153" s="26" t="n">
        <v>0</v>
      </c>
      <c r="D153" s="26" t="n">
        <v>0</v>
      </c>
      <c r="E153" s="26" t="n">
        <v>0</v>
      </c>
      <c r="F153" s="26" t="n">
        <v>0</v>
      </c>
      <c r="G153" s="26" t="n">
        <v>0</v>
      </c>
      <c r="H153" s="26" t="n">
        <v>0</v>
      </c>
      <c r="I153" s="26" t="n">
        <v>0</v>
      </c>
      <c r="J153" s="26" t="n">
        <v>0</v>
      </c>
      <c r="K153" s="9" t="s">
        <v>263</v>
      </c>
      <c r="L153" s="9"/>
    </row>
    <row r="154" customFormat="false" ht="15" hidden="false" customHeight="false" outlineLevel="0" collapsed="false">
      <c r="B154" s="7" t="s">
        <v>301</v>
      </c>
      <c r="C154" s="26" t="n">
        <v>0</v>
      </c>
      <c r="D154" s="26" t="n">
        <v>0</v>
      </c>
      <c r="E154" s="26" t="n">
        <v>0</v>
      </c>
      <c r="F154" s="26" t="n">
        <v>0</v>
      </c>
      <c r="G154" s="26" t="n">
        <v>0</v>
      </c>
      <c r="H154" s="26" t="n">
        <v>0</v>
      </c>
      <c r="I154" s="26" t="n">
        <v>0</v>
      </c>
      <c r="J154" s="26" t="n">
        <v>0</v>
      </c>
      <c r="K154" s="9" t="s">
        <v>263</v>
      </c>
      <c r="L154" s="9"/>
    </row>
    <row r="155" customFormat="false" ht="15" hidden="false" customHeight="false" outlineLevel="0" collapsed="false">
      <c r="B155" s="7" t="s">
        <v>302</v>
      </c>
      <c r="C155" s="26" t="n">
        <v>1</v>
      </c>
      <c r="D155" s="26" t="n">
        <v>0</v>
      </c>
      <c r="E155" s="26" t="n">
        <v>0</v>
      </c>
      <c r="F155" s="26" t="n">
        <v>0</v>
      </c>
      <c r="G155" s="26" t="n">
        <v>0</v>
      </c>
      <c r="H155" s="26" t="n">
        <v>0</v>
      </c>
      <c r="I155" s="26" t="n">
        <v>0</v>
      </c>
      <c r="J155" s="26" t="n">
        <v>0</v>
      </c>
      <c r="K155" s="9" t="s">
        <v>263</v>
      </c>
      <c r="L155" s="9"/>
    </row>
    <row r="156" customFormat="false" ht="15" hidden="false" customHeight="false" outlineLevel="0" collapsed="false">
      <c r="B156" s="7" t="s">
        <v>303</v>
      </c>
      <c r="C156" s="26" t="n">
        <v>1</v>
      </c>
      <c r="D156" s="26" t="n">
        <v>0</v>
      </c>
      <c r="E156" s="26" t="n">
        <v>0</v>
      </c>
      <c r="F156" s="26" t="n">
        <v>0</v>
      </c>
      <c r="G156" s="26" t="n">
        <v>0</v>
      </c>
      <c r="H156" s="26" t="n">
        <v>0</v>
      </c>
      <c r="I156" s="26" t="n">
        <v>0</v>
      </c>
      <c r="J156" s="26" t="n">
        <v>0</v>
      </c>
      <c r="K156" s="9" t="s">
        <v>263</v>
      </c>
      <c r="L156" s="9"/>
    </row>
    <row r="158" customFormat="false" ht="18" hidden="false" customHeight="true" outlineLevel="0" collapsed="false">
      <c r="B158" s="3" t="s">
        <v>310</v>
      </c>
      <c r="C158" s="4"/>
      <c r="D158" s="4"/>
      <c r="E158" s="4"/>
      <c r="F158" s="4"/>
      <c r="G158" s="4"/>
      <c r="H158" s="4"/>
      <c r="I158" s="4"/>
      <c r="J158" s="4"/>
      <c r="K158" s="4"/>
      <c r="L158" s="4"/>
    </row>
    <row r="159" customFormat="false" ht="27.75" hidden="false" customHeight="true" outlineLevel="0" collapsed="false">
      <c r="B159" s="30" t="s">
        <v>311</v>
      </c>
      <c r="C159" s="30"/>
      <c r="D159" s="30"/>
      <c r="E159" s="30"/>
      <c r="F159" s="30"/>
      <c r="G159" s="30"/>
      <c r="H159" s="30"/>
      <c r="I159" s="30"/>
      <c r="J159" s="30"/>
      <c r="K159" s="30"/>
      <c r="L159" s="30"/>
    </row>
    <row r="160" customFormat="false" ht="18" hidden="false" customHeight="true" outlineLevel="0" collapsed="false">
      <c r="B160" s="5" t="s">
        <v>312</v>
      </c>
      <c r="C160" s="6" t="s">
        <v>292</v>
      </c>
      <c r="D160" s="6" t="s">
        <v>293</v>
      </c>
      <c r="E160" s="6" t="s">
        <v>294</v>
      </c>
      <c r="F160" s="6" t="s">
        <v>295</v>
      </c>
      <c r="G160" s="6" t="s">
        <v>296</v>
      </c>
      <c r="H160" s="6" t="s">
        <v>297</v>
      </c>
      <c r="I160" s="6" t="s">
        <v>298</v>
      </c>
      <c r="J160" s="6" t="s">
        <v>299</v>
      </c>
      <c r="K160" s="6" t="s">
        <v>52</v>
      </c>
      <c r="L160" s="6" t="s">
        <v>54</v>
      </c>
    </row>
    <row r="161" customFormat="false" ht="15" hidden="false" customHeight="false" outlineLevel="0" collapsed="false">
      <c r="B161" s="7" t="s">
        <v>300</v>
      </c>
      <c r="C161" s="34" t="n">
        <v>-0.5</v>
      </c>
      <c r="D161" s="34" t="n">
        <v>0</v>
      </c>
      <c r="E161" s="34" t="n">
        <v>0</v>
      </c>
      <c r="F161" s="34" t="n">
        <v>0</v>
      </c>
      <c r="G161" s="34" t="n">
        <v>0</v>
      </c>
      <c r="H161" s="34" t="n">
        <v>0</v>
      </c>
      <c r="I161" s="34" t="n">
        <v>0</v>
      </c>
      <c r="J161" s="34" t="n">
        <v>0</v>
      </c>
      <c r="K161" s="9" t="s">
        <v>313</v>
      </c>
      <c r="L161" s="9"/>
    </row>
    <row r="162" customFormat="false" ht="15" hidden="false" customHeight="false" outlineLevel="0" collapsed="false">
      <c r="B162" s="7" t="s">
        <v>301</v>
      </c>
      <c r="C162" s="34" t="n">
        <v>-1.5</v>
      </c>
      <c r="D162" s="34" t="n">
        <v>0</v>
      </c>
      <c r="E162" s="34" t="n">
        <v>0.5</v>
      </c>
      <c r="F162" s="34" t="n">
        <v>0.5</v>
      </c>
      <c r="G162" s="34" t="n">
        <v>0</v>
      </c>
      <c r="H162" s="34" t="n">
        <v>0</v>
      </c>
      <c r="I162" s="34" t="n">
        <v>0</v>
      </c>
      <c r="J162" s="34" t="n">
        <v>0</v>
      </c>
      <c r="K162" s="9" t="s">
        <v>313</v>
      </c>
      <c r="L162" s="9"/>
    </row>
    <row r="163" customFormat="false" ht="15" hidden="false" customHeight="false" outlineLevel="0" collapsed="false">
      <c r="B163" s="7" t="s">
        <v>302</v>
      </c>
      <c r="C163" s="34" t="n">
        <v>-2.5</v>
      </c>
      <c r="D163" s="34" t="n">
        <v>-1</v>
      </c>
      <c r="E163" s="34" t="n">
        <v>0</v>
      </c>
      <c r="F163" s="34" t="n">
        <v>0.75</v>
      </c>
      <c r="G163" s="34" t="n">
        <v>0.75</v>
      </c>
      <c r="H163" s="34" t="n">
        <v>0.5</v>
      </c>
      <c r="I163" s="34" t="n">
        <v>0</v>
      </c>
      <c r="J163" s="34" t="n">
        <v>0</v>
      </c>
      <c r="K163" s="9" t="s">
        <v>313</v>
      </c>
      <c r="L163" s="9"/>
    </row>
    <row r="164" customFormat="false" ht="15" hidden="false" customHeight="false" outlineLevel="0" collapsed="false">
      <c r="B164" s="7" t="s">
        <v>303</v>
      </c>
      <c r="C164" s="34" t="n">
        <v>-3.5</v>
      </c>
      <c r="D164" s="34" t="n">
        <v>-1.5</v>
      </c>
      <c r="E164" s="34" t="n">
        <v>-0.5</v>
      </c>
      <c r="F164" s="34" t="n">
        <v>0</v>
      </c>
      <c r="G164" s="34" t="n">
        <v>0.5</v>
      </c>
      <c r="H164" s="34" t="n">
        <v>0.5</v>
      </c>
      <c r="I164" s="34" t="n">
        <v>0.5</v>
      </c>
      <c r="J164" s="34" t="n">
        <v>0.5</v>
      </c>
      <c r="K164" s="9" t="s">
        <v>313</v>
      </c>
      <c r="L164" s="9"/>
    </row>
    <row r="165" customFormat="false" ht="18" hidden="false" customHeight="true" outlineLevel="0" collapsed="false">
      <c r="B165" s="5" t="s">
        <v>314</v>
      </c>
      <c r="C165" s="6" t="s">
        <v>292</v>
      </c>
      <c r="D165" s="6" t="s">
        <v>293</v>
      </c>
      <c r="E165" s="6" t="s">
        <v>294</v>
      </c>
      <c r="F165" s="6" t="s">
        <v>295</v>
      </c>
      <c r="G165" s="6" t="s">
        <v>296</v>
      </c>
      <c r="H165" s="6" t="s">
        <v>297</v>
      </c>
      <c r="I165" s="6" t="s">
        <v>298</v>
      </c>
      <c r="J165" s="6" t="s">
        <v>299</v>
      </c>
      <c r="K165" s="6" t="s">
        <v>52</v>
      </c>
      <c r="L165" s="6" t="s">
        <v>54</v>
      </c>
    </row>
    <row r="166" customFormat="false" ht="15" hidden="false" customHeight="false" outlineLevel="0" collapsed="false">
      <c r="B166" s="7" t="s">
        <v>300</v>
      </c>
      <c r="C166" s="28" t="n">
        <v>0</v>
      </c>
      <c r="D166" s="28" t="n">
        <v>0</v>
      </c>
      <c r="E166" s="28" t="n">
        <v>0</v>
      </c>
      <c r="F166" s="28" t="n">
        <v>0</v>
      </c>
      <c r="G166" s="28" t="n">
        <v>0</v>
      </c>
      <c r="H166" s="28" t="n">
        <v>0</v>
      </c>
      <c r="I166" s="28" t="n">
        <v>0</v>
      </c>
      <c r="J166" s="28" t="n">
        <v>0</v>
      </c>
      <c r="K166" s="9" t="s">
        <v>115</v>
      </c>
      <c r="L166" s="9"/>
    </row>
    <row r="167" customFormat="false" ht="15" hidden="false" customHeight="false" outlineLevel="0" collapsed="false">
      <c r="B167" s="7" t="s">
        <v>301</v>
      </c>
      <c r="C167" s="28" t="n">
        <v>-0.05</v>
      </c>
      <c r="D167" s="28" t="n">
        <v>0</v>
      </c>
      <c r="E167" s="28" t="n">
        <v>0</v>
      </c>
      <c r="F167" s="28" t="n">
        <v>0</v>
      </c>
      <c r="G167" s="28" t="n">
        <v>0</v>
      </c>
      <c r="H167" s="28" t="n">
        <v>0</v>
      </c>
      <c r="I167" s="28" t="n">
        <v>0</v>
      </c>
      <c r="J167" s="28" t="n">
        <v>0</v>
      </c>
      <c r="K167" s="9" t="s">
        <v>115</v>
      </c>
      <c r="L167" s="9"/>
    </row>
    <row r="168" customFormat="false" ht="15" hidden="false" customHeight="false" outlineLevel="0" collapsed="false">
      <c r="B168" s="7" t="s">
        <v>302</v>
      </c>
      <c r="C168" s="28" t="n">
        <v>-0.15</v>
      </c>
      <c r="D168" s="28" t="n">
        <v>0</v>
      </c>
      <c r="E168" s="28" t="n">
        <v>0</v>
      </c>
      <c r="F168" s="28" t="n">
        <v>0.05</v>
      </c>
      <c r="G168" s="28" t="n">
        <v>0</v>
      </c>
      <c r="H168" s="28" t="n">
        <v>0</v>
      </c>
      <c r="I168" s="28" t="n">
        <v>0</v>
      </c>
      <c r="J168" s="28" t="n">
        <v>0</v>
      </c>
      <c r="K168" s="9" t="s">
        <v>115</v>
      </c>
      <c r="L168" s="9"/>
    </row>
    <row r="169" customFormat="false" ht="15" hidden="false" customHeight="false" outlineLevel="0" collapsed="false">
      <c r="B169" s="7" t="s">
        <v>303</v>
      </c>
      <c r="C169" s="28" t="n">
        <v>-0.25</v>
      </c>
      <c r="D169" s="28" t="n">
        <v>-0.05</v>
      </c>
      <c r="E169" s="28" t="n">
        <v>0</v>
      </c>
      <c r="F169" s="28" t="n">
        <v>0</v>
      </c>
      <c r="G169" s="28" t="n">
        <v>0.05</v>
      </c>
      <c r="H169" s="28" t="n">
        <v>0</v>
      </c>
      <c r="I169" s="28" t="n">
        <v>0</v>
      </c>
      <c r="J169" s="28" t="n">
        <v>0</v>
      </c>
      <c r="K169" s="9" t="s">
        <v>115</v>
      </c>
      <c r="L169" s="9"/>
    </row>
    <row r="170" customFormat="false" ht="43.5" hidden="false" customHeight="true" outlineLevel="0" collapsed="false">
      <c r="B170" s="20" t="s">
        <v>315</v>
      </c>
      <c r="C170" s="20"/>
      <c r="D170" s="20"/>
      <c r="E170" s="20"/>
      <c r="F170" s="20"/>
      <c r="G170" s="20"/>
      <c r="H170" s="20"/>
      <c r="I170" s="20"/>
      <c r="J170" s="20"/>
      <c r="K170" s="20"/>
      <c r="L170" s="20"/>
    </row>
  </sheetData>
  <mergeCells count="7">
    <mergeCell ref="B3:L3"/>
    <mergeCell ref="B41:L41"/>
    <mergeCell ref="B66:L66"/>
    <mergeCell ref="B77:L77"/>
    <mergeCell ref="B126:L126"/>
    <mergeCell ref="B159:L159"/>
    <mergeCell ref="B170:L170"/>
  </mergeCells>
  <conditionalFormatting sqref="C62:G62">
    <cfRule type="expression" priority="2" aboveAverage="0" equalAverage="0" bottom="0" percent="0" rank="0" text="" dxfId="0">
      <formula>LEFT(C62,4)="Vert"</formula>
    </cfRule>
    <cfRule type="expression" priority="3" aboveAverage="0" equalAverage="0" bottom="0" percent="0" rank="0" text="" dxfId="1">
      <formula>LEFT(C62,6)="Orange"</formula>
    </cfRule>
    <cfRule type="expression" priority="4" aboveAverage="0" equalAverage="0" bottom="0" percent="0" rank="0" text="" dxfId="2">
      <formula>LEFT(C62,5)="Rouge"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7" min="3" style="0" width="14"/>
    <col collapsed="false" customWidth="true" hidden="false" outlineLevel="0" max="8" min="8" style="0" width="40"/>
  </cols>
  <sheetData>
    <row r="2" customFormat="false" ht="15" hidden="false" customHeight="false" outlineLevel="0" collapsed="false">
      <c r="B2" s="1" t="s">
        <v>316</v>
      </c>
    </row>
    <row r="3" customFormat="false" ht="42" hidden="false" customHeight="true" outlineLevel="0" collapsed="false">
      <c r="B3" s="20" t="s">
        <v>317</v>
      </c>
      <c r="C3" s="20"/>
      <c r="D3" s="20"/>
      <c r="E3" s="20"/>
      <c r="F3" s="20"/>
      <c r="G3" s="20"/>
      <c r="H3" s="20"/>
    </row>
    <row r="5" customFormat="false" ht="18" hidden="false" customHeight="true" outlineLevel="0" collapsed="false">
      <c r="B5" s="3" t="s">
        <v>318</v>
      </c>
      <c r="C5" s="4"/>
      <c r="D5" s="4"/>
      <c r="E5" s="4"/>
      <c r="F5" s="4"/>
      <c r="G5" s="4"/>
      <c r="H5" s="4"/>
    </row>
    <row r="6" customFormat="false" ht="15.75" hidden="false" customHeight="true" outlineLevel="0" collapsed="false">
      <c r="B6" s="5" t="s">
        <v>177</v>
      </c>
      <c r="C6" s="6" t="s">
        <v>134</v>
      </c>
      <c r="D6" s="6" t="s">
        <v>135</v>
      </c>
      <c r="E6" s="6" t="s">
        <v>136</v>
      </c>
      <c r="F6" s="6" t="s">
        <v>137</v>
      </c>
      <c r="G6" s="6" t="s">
        <v>138</v>
      </c>
      <c r="H6" s="6" t="s">
        <v>4</v>
      </c>
    </row>
    <row r="7" customFormat="false" ht="15" hidden="false" customHeight="false" outlineLevel="0" collapsed="false">
      <c r="B7" s="7" t="s">
        <v>142</v>
      </c>
      <c r="C7" s="22" t="n">
        <f aca="false">Paramètres!C44</f>
        <v>8000000</v>
      </c>
      <c r="D7" s="22" t="n">
        <f aca="false">Paramètres!D44</f>
        <v>15000000</v>
      </c>
      <c r="E7" s="22" t="n">
        <f aca="false">Paramètres!E44</f>
        <v>20000000</v>
      </c>
      <c r="F7" s="22" t="n">
        <f aca="false">Paramètres!F44</f>
        <v>25000000</v>
      </c>
      <c r="G7" s="22" t="n">
        <f aca="false">Paramètres!G44</f>
        <v>50000000</v>
      </c>
      <c r="H7" s="9"/>
    </row>
    <row r="8" customFormat="false" ht="15" hidden="false" customHeight="false" outlineLevel="0" collapsed="false">
      <c r="B8" s="7" t="s">
        <v>144</v>
      </c>
      <c r="C8" s="22" t="n">
        <f aca="false">Paramètres!C45</f>
        <v>4000000</v>
      </c>
      <c r="D8" s="22" t="n">
        <f aca="false">Paramètres!D45</f>
        <v>4000000</v>
      </c>
      <c r="E8" s="22" t="n">
        <f aca="false">Paramètres!E45</f>
        <v>5000000</v>
      </c>
      <c r="F8" s="22" t="n">
        <f aca="false">Paramètres!F45</f>
        <v>5000000</v>
      </c>
      <c r="G8" s="22" t="n">
        <f aca="false">Paramètres!G45</f>
        <v>17000000</v>
      </c>
      <c r="H8" s="9" t="s">
        <v>319</v>
      </c>
    </row>
    <row r="9" customFormat="false" ht="15" hidden="false" customHeight="false" outlineLevel="0" collapsed="false">
      <c r="B9" s="7" t="s">
        <v>146</v>
      </c>
      <c r="C9" s="22" t="n">
        <f aca="false">Paramètres!C46</f>
        <v>0</v>
      </c>
      <c r="D9" s="22" t="n">
        <f aca="false">Paramètres!D46</f>
        <v>0</v>
      </c>
      <c r="E9" s="22" t="n">
        <f aca="false">Paramètres!E46</f>
        <v>5000000</v>
      </c>
      <c r="F9" s="22" t="n">
        <f aca="false">Paramètres!F46</f>
        <v>5000000</v>
      </c>
      <c r="G9" s="22" t="n">
        <f aca="false">Paramètres!G46</f>
        <v>8500000</v>
      </c>
      <c r="H9" s="9" t="s">
        <v>320</v>
      </c>
    </row>
    <row r="10" customFormat="false" ht="15" hidden="false" customHeight="false" outlineLevel="0" collapsed="false">
      <c r="B10" s="7" t="s">
        <v>321</v>
      </c>
      <c r="C10" s="22" t="n">
        <f aca="false">Paramètres!C48</f>
        <v>2800000</v>
      </c>
      <c r="D10" s="22" t="n">
        <f aca="false">Paramètres!D48</f>
        <v>2800000</v>
      </c>
      <c r="E10" s="22" t="n">
        <f aca="false">Paramètres!E48</f>
        <v>3500000</v>
      </c>
      <c r="F10" s="22" t="n">
        <f aca="false">Paramètres!F48</f>
        <v>3500000</v>
      </c>
      <c r="G10" s="22" t="n">
        <f aca="false">Paramètres!G48</f>
        <v>11900000</v>
      </c>
      <c r="H10" s="9"/>
    </row>
    <row r="11" customFormat="false" ht="15" hidden="false" customHeight="false" outlineLevel="0" collapsed="false">
      <c r="B11" s="7" t="s">
        <v>322</v>
      </c>
      <c r="C11" s="22" t="n">
        <f aca="false">Paramètres!C49</f>
        <v>0</v>
      </c>
      <c r="D11" s="22" t="n">
        <f aca="false">Paramètres!D49</f>
        <v>0</v>
      </c>
      <c r="E11" s="22" t="n">
        <f aca="false">Paramètres!E49</f>
        <v>3500000</v>
      </c>
      <c r="F11" s="22" t="n">
        <f aca="false">Paramètres!F49</f>
        <v>3500000</v>
      </c>
      <c r="G11" s="22" t="n">
        <f aca="false">Paramètres!G49</f>
        <v>5950000</v>
      </c>
      <c r="H11" s="9"/>
    </row>
    <row r="12" customFormat="false" ht="15" hidden="false" customHeight="false" outlineLevel="0" collapsed="false">
      <c r="B12" s="7" t="s">
        <v>323</v>
      </c>
      <c r="C12" s="22" t="n">
        <f aca="false">Paramètres!C50</f>
        <v>1200000</v>
      </c>
      <c r="D12" s="22" t="n">
        <f aca="false">Paramètres!D50</f>
        <v>1200000</v>
      </c>
      <c r="E12" s="22" t="n">
        <f aca="false">Paramètres!E50</f>
        <v>3000000</v>
      </c>
      <c r="F12" s="22" t="n">
        <f aca="false">Paramètres!F50</f>
        <v>3000000</v>
      </c>
      <c r="G12" s="22" t="n">
        <f aca="false">Paramètres!G50</f>
        <v>7650000</v>
      </c>
      <c r="H12" s="9"/>
    </row>
    <row r="13" customFormat="false" ht="15" hidden="false" customHeight="false" outlineLevel="0" collapsed="false">
      <c r="B13" s="7" t="s">
        <v>200</v>
      </c>
      <c r="C13" s="22" t="n">
        <f aca="false">Paramètres!C51</f>
        <v>400000</v>
      </c>
      <c r="D13" s="22" t="n">
        <f aca="false">Paramètres!D51</f>
        <v>750000</v>
      </c>
      <c r="E13" s="22" t="n">
        <f aca="false">Paramètres!E51</f>
        <v>1000000</v>
      </c>
      <c r="F13" s="22" t="n">
        <f aca="false">Paramètres!F51</f>
        <v>1250000</v>
      </c>
      <c r="G13" s="22" t="n">
        <f aca="false">Paramètres!G51</f>
        <v>2500000</v>
      </c>
      <c r="H13" s="9" t="s">
        <v>324</v>
      </c>
    </row>
    <row r="14" customFormat="false" ht="15" hidden="false" customHeight="false" outlineLevel="0" collapsed="false">
      <c r="B14" s="7" t="s">
        <v>197</v>
      </c>
      <c r="C14" s="22" t="n">
        <f aca="false">Paramètres!C52</f>
        <v>880000</v>
      </c>
      <c r="D14" s="22" t="n">
        <f aca="false">Paramètres!D52</f>
        <v>1650000</v>
      </c>
      <c r="E14" s="22" t="n">
        <f aca="false">Paramètres!E52</f>
        <v>2200000</v>
      </c>
      <c r="F14" s="22" t="n">
        <f aca="false">Paramètres!F52</f>
        <v>2750000</v>
      </c>
      <c r="G14" s="22" t="n">
        <f aca="false">Paramètres!G52</f>
        <v>5500000</v>
      </c>
      <c r="H14" s="9" t="s">
        <v>325</v>
      </c>
    </row>
    <row r="15" customFormat="false" ht="15" hidden="false" customHeight="false" outlineLevel="0" collapsed="false">
      <c r="B15" s="7" t="s">
        <v>192</v>
      </c>
      <c r="C15" s="22" t="n">
        <f aca="false">Paramètres!C54</f>
        <v>1960000</v>
      </c>
      <c r="D15" s="22" t="n">
        <f aca="false">Paramètres!D54</f>
        <v>4900000</v>
      </c>
      <c r="E15" s="22" t="n">
        <f aca="false">Paramètres!E54</f>
        <v>4900000</v>
      </c>
      <c r="F15" s="22" t="n">
        <f aca="false">Paramètres!F54</f>
        <v>7000000</v>
      </c>
      <c r="G15" s="22" t="n">
        <f aca="false">Paramètres!G54</f>
        <v>12075000</v>
      </c>
      <c r="H15" s="9" t="s">
        <v>326</v>
      </c>
    </row>
    <row r="16" customFormat="false" ht="15" hidden="false" customHeight="false" outlineLevel="0" collapsed="false">
      <c r="B16" s="7" t="s">
        <v>195</v>
      </c>
      <c r="C16" s="22" t="n">
        <f aca="false">Paramètres!C55</f>
        <v>1960000</v>
      </c>
      <c r="D16" s="22" t="n">
        <f aca="false">Paramètres!D55</f>
        <v>4900000</v>
      </c>
      <c r="E16" s="22" t="n">
        <f aca="false">Paramètres!E55</f>
        <v>4900000</v>
      </c>
      <c r="F16" s="22" t="n">
        <f aca="false">Paramètres!F55</f>
        <v>7000000</v>
      </c>
      <c r="G16" s="22" t="n">
        <f aca="false">Paramètres!G55</f>
        <v>12075000</v>
      </c>
      <c r="H16" s="9" t="s">
        <v>326</v>
      </c>
    </row>
    <row r="17" customFormat="false" ht="15.75" hidden="false" customHeight="true" outlineLevel="0" collapsed="false">
      <c r="B17" s="5" t="s">
        <v>327</v>
      </c>
      <c r="C17" s="6" t="s">
        <v>134</v>
      </c>
      <c r="D17" s="6" t="s">
        <v>135</v>
      </c>
      <c r="E17" s="6" t="s">
        <v>136</v>
      </c>
      <c r="F17" s="6" t="s">
        <v>137</v>
      </c>
      <c r="G17" s="6" t="s">
        <v>138</v>
      </c>
      <c r="H17" s="6"/>
    </row>
    <row r="18" customFormat="false" ht="15" hidden="false" customHeight="false" outlineLevel="0" collapsed="false">
      <c r="B18" s="7" t="s">
        <v>328</v>
      </c>
      <c r="C18" s="16" t="n">
        <f aca="false">Paramètres!C48/Paramètres!C44</f>
        <v>0.35</v>
      </c>
      <c r="D18" s="16" t="n">
        <f aca="false">Paramètres!D48/Paramètres!D44</f>
        <v>0.186666666666667</v>
      </c>
      <c r="E18" s="16" t="n">
        <f aca="false">Paramètres!E48/Paramètres!E44</f>
        <v>0.175</v>
      </c>
      <c r="F18" s="16" t="n">
        <f aca="false">Paramètres!F48/Paramètres!F44</f>
        <v>0.14</v>
      </c>
      <c r="G18" s="16" t="n">
        <f aca="false">Paramètres!G48/Paramètres!G44</f>
        <v>0.238</v>
      </c>
      <c r="H18" s="9"/>
    </row>
    <row r="19" customFormat="false" ht="15" hidden="false" customHeight="false" outlineLevel="0" collapsed="false">
      <c r="B19" s="7" t="s">
        <v>329</v>
      </c>
      <c r="C19" s="16" t="n">
        <f aca="false">Paramètres!C49/Paramètres!C44</f>
        <v>0</v>
      </c>
      <c r="D19" s="16" t="n">
        <f aca="false">Paramètres!D49/Paramètres!D44</f>
        <v>0</v>
      </c>
      <c r="E19" s="16" t="n">
        <f aca="false">Paramètres!E49/Paramètres!E44</f>
        <v>0.175</v>
      </c>
      <c r="F19" s="16" t="n">
        <f aca="false">Paramètres!F49/Paramètres!F44</f>
        <v>0.14</v>
      </c>
      <c r="G19" s="16" t="n">
        <f aca="false">Paramètres!G49/Paramètres!G44</f>
        <v>0.119</v>
      </c>
      <c r="H19" s="9"/>
    </row>
    <row r="20" customFormat="false" ht="15" hidden="false" customHeight="false" outlineLevel="0" collapsed="false">
      <c r="B20" s="7" t="s">
        <v>192</v>
      </c>
      <c r="C20" s="16" t="n">
        <f aca="false">Paramètres!C54/Paramètres!C44</f>
        <v>0.245</v>
      </c>
      <c r="D20" s="16" t="n">
        <f aca="false">Paramètres!D54/Paramètres!D44</f>
        <v>0.326666666666667</v>
      </c>
      <c r="E20" s="16" t="n">
        <f aca="false">Paramètres!E54/Paramètres!E44</f>
        <v>0.245</v>
      </c>
      <c r="F20" s="16" t="n">
        <f aca="false">Paramètres!F54/Paramètres!F44</f>
        <v>0.28</v>
      </c>
      <c r="G20" s="16" t="n">
        <f aca="false">Paramètres!G54/Paramètres!G44</f>
        <v>0.2415</v>
      </c>
      <c r="H20" s="9"/>
    </row>
    <row r="21" customFormat="false" ht="15" hidden="false" customHeight="false" outlineLevel="0" collapsed="false">
      <c r="B21" s="7" t="s">
        <v>195</v>
      </c>
      <c r="C21" s="16" t="n">
        <f aca="false">Paramètres!C55/Paramètres!C44</f>
        <v>0.245</v>
      </c>
      <c r="D21" s="16" t="n">
        <f aca="false">Paramètres!D55/Paramètres!D44</f>
        <v>0.326666666666667</v>
      </c>
      <c r="E21" s="16" t="n">
        <f aca="false">Paramètres!E55/Paramètres!E44</f>
        <v>0.245</v>
      </c>
      <c r="F21" s="16" t="n">
        <f aca="false">Paramètres!F55/Paramètres!F44</f>
        <v>0.28</v>
      </c>
      <c r="G21" s="16" t="n">
        <f aca="false">Paramètres!G55/Paramètres!G44</f>
        <v>0.2415</v>
      </c>
      <c r="H21" s="9"/>
    </row>
    <row r="22" customFormat="false" ht="15" hidden="false" customHeight="false" outlineLevel="0" collapsed="false">
      <c r="B22" s="7" t="s">
        <v>197</v>
      </c>
      <c r="C22" s="16" t="n">
        <f aca="false">Paramètres!C52/Paramètres!C44</f>
        <v>0.11</v>
      </c>
      <c r="D22" s="16" t="n">
        <f aca="false">Paramètres!D52/Paramètres!D44</f>
        <v>0.11</v>
      </c>
      <c r="E22" s="16" t="n">
        <f aca="false">Paramètres!E52/Paramètres!E44</f>
        <v>0.11</v>
      </c>
      <c r="F22" s="16" t="n">
        <f aca="false">Paramètres!F52/Paramètres!F44</f>
        <v>0.11</v>
      </c>
      <c r="G22" s="16" t="n">
        <f aca="false">Paramètres!G52/Paramètres!G44</f>
        <v>0.11</v>
      </c>
      <c r="H22" s="9"/>
    </row>
    <row r="23" customFormat="false" ht="15" hidden="false" customHeight="false" outlineLevel="0" collapsed="false">
      <c r="B23" s="7" t="s">
        <v>200</v>
      </c>
      <c r="C23" s="16" t="n">
        <f aca="false">Paramètres!C51/Paramètres!C44</f>
        <v>0.05</v>
      </c>
      <c r="D23" s="16" t="n">
        <f aca="false">Paramètres!D51/Paramètres!D44</f>
        <v>0.05</v>
      </c>
      <c r="E23" s="16" t="n">
        <f aca="false">Paramètres!E51/Paramètres!E44</f>
        <v>0.05</v>
      </c>
      <c r="F23" s="16" t="n">
        <f aca="false">Paramètres!F51/Paramètres!F44</f>
        <v>0.05</v>
      </c>
      <c r="G23" s="16" t="n">
        <f aca="false">Paramètres!G51/Paramètres!G44</f>
        <v>0.05</v>
      </c>
      <c r="H23" s="9"/>
    </row>
    <row r="24" customFormat="false" ht="15" hidden="false" customHeight="false" outlineLevel="0" collapsed="false">
      <c r="B24" s="7" t="s">
        <v>323</v>
      </c>
      <c r="C24" s="16" t="n">
        <f aca="false">Paramètres!C50/Paramètres!C44</f>
        <v>0.15</v>
      </c>
      <c r="D24" s="16" t="n">
        <f aca="false">Paramètres!D50/Paramètres!D44</f>
        <v>0.08</v>
      </c>
      <c r="E24" s="16" t="n">
        <f aca="false">Paramètres!E50/Paramètres!E44</f>
        <v>0.15</v>
      </c>
      <c r="F24" s="16" t="n">
        <f aca="false">Paramètres!F50/Paramètres!F44</f>
        <v>0.12</v>
      </c>
      <c r="G24" s="16" t="n">
        <f aca="false">Paramètres!G50/Paramètres!G44</f>
        <v>0.153</v>
      </c>
      <c r="H24" s="9"/>
    </row>
    <row r="25" customFormat="false" ht="15" hidden="false" customHeight="false" outlineLevel="0" collapsed="false">
      <c r="B25" s="7" t="s">
        <v>330</v>
      </c>
      <c r="C25" s="11" t="n">
        <f aca="false">Paramètres!C45/Paramètres!C44</f>
        <v>0.5</v>
      </c>
      <c r="D25" s="11" t="n">
        <f aca="false">Paramètres!D45/Paramètres!D44</f>
        <v>0.266666666666667</v>
      </c>
      <c r="E25" s="11" t="n">
        <f aca="false">Paramètres!E45/Paramètres!E44</f>
        <v>0.25</v>
      </c>
      <c r="F25" s="11" t="n">
        <f aca="false">Paramètres!F45/Paramètres!F44</f>
        <v>0.2</v>
      </c>
      <c r="G25" s="11" t="n">
        <f aca="false">Paramètres!G45/Paramètres!G44</f>
        <v>0.34</v>
      </c>
      <c r="H25" s="9" t="s">
        <v>331</v>
      </c>
    </row>
    <row r="26" customFormat="false" ht="15" hidden="false" customHeight="false" outlineLevel="0" collapsed="false">
      <c r="B26" s="7" t="s">
        <v>332</v>
      </c>
      <c r="C26" s="32" t="n">
        <f aca="false">(Paramètres!C44+Paramètres!C50)/Paramètres!C44</f>
        <v>1.15</v>
      </c>
      <c r="D26" s="32" t="n">
        <f aca="false">(Paramètres!D44+Paramètres!D50)/Paramètres!D44</f>
        <v>1.08</v>
      </c>
      <c r="E26" s="32" t="n">
        <f aca="false">(Paramètres!E44+Paramètres!E50)/Paramètres!E44</f>
        <v>1.15</v>
      </c>
      <c r="F26" s="32" t="n">
        <f aca="false">(Paramètres!F44+Paramètres!F50)/Paramètres!F44</f>
        <v>1.12</v>
      </c>
      <c r="G26" s="32" t="n">
        <f aca="false">(Paramètres!G44+Paramètres!G50)/Paramètres!G44</f>
        <v>1.153</v>
      </c>
      <c r="H26" s="9" t="s">
        <v>333</v>
      </c>
    </row>
    <row r="27" customFormat="false" ht="15" hidden="false" customHeight="false" outlineLevel="0" collapsed="false">
      <c r="B27" s="7" t="s">
        <v>334</v>
      </c>
      <c r="C27" s="33" t="n">
        <f aca="false">Frais_var+MAX(Fee_SGP,SGP_min/Paramètres!C44)-Fee_SGP+Frais_fixes/Paramètres!C44</f>
        <v>0.032599</v>
      </c>
      <c r="D27" s="33" t="n">
        <f aca="false">Frais_var+MAX(Fee_SGP,SGP_min/Paramètres!D44)-Fee_SGP+Frais_fixes/Paramètres!D44</f>
        <v>0.0258794666666667</v>
      </c>
      <c r="E27" s="33" t="n">
        <f aca="false">Frais_var+MAX(Fee_SGP,SGP_min/Paramètres!E44)-Fee_SGP+Frais_fixes/Paramètres!E44</f>
        <v>0.0239596</v>
      </c>
      <c r="F27" s="33" t="n">
        <f aca="false">Frais_var+MAX(Fee_SGP,SGP_min/Paramètres!F44)-Fee_SGP+Frais_fixes/Paramètres!F44</f>
        <v>0.02280768</v>
      </c>
      <c r="G27" s="33" t="n">
        <f aca="false">Frais_var+MAX(Fee_SGP,SGP_min/Paramètres!G44)-Fee_SGP+Frais_fixes/Paramètres!G44</f>
        <v>0.02110384</v>
      </c>
      <c r="H27" s="9" t="s">
        <v>335</v>
      </c>
    </row>
    <row r="29" customFormat="false" ht="18" hidden="false" customHeight="true" outlineLevel="0" collapsed="false">
      <c r="B29" s="3" t="s">
        <v>336</v>
      </c>
      <c r="C29" s="4"/>
      <c r="D29" s="4"/>
      <c r="E29" s="4"/>
      <c r="F29" s="4"/>
      <c r="G29" s="4"/>
      <c r="H29" s="4"/>
    </row>
    <row r="30" customFormat="false" ht="15.75" hidden="false" customHeight="true" outlineLevel="0" collapsed="false">
      <c r="B30" s="5" t="s">
        <v>33</v>
      </c>
      <c r="C30" s="6" t="s">
        <v>134</v>
      </c>
      <c r="D30" s="6" t="s">
        <v>135</v>
      </c>
      <c r="E30" s="6" t="s">
        <v>136</v>
      </c>
      <c r="F30" s="6" t="s">
        <v>137</v>
      </c>
      <c r="G30" s="6" t="s">
        <v>138</v>
      </c>
      <c r="H30" s="6" t="s">
        <v>4</v>
      </c>
    </row>
    <row r="31" customFormat="false" ht="15" hidden="false" customHeight="false" outlineLevel="0" collapsed="false">
      <c r="B31" s="7" t="s">
        <v>337</v>
      </c>
      <c r="C31" s="16" t="n">
        <v>0.0446372872441454</v>
      </c>
      <c r="D31" s="16" t="n">
        <v>0.0420855429889782</v>
      </c>
      <c r="E31" s="16" t="n">
        <v>0.0409169192417327</v>
      </c>
      <c r="F31" s="16" t="n">
        <v>0.0405673881614295</v>
      </c>
      <c r="G31" s="16" t="n">
        <v>0.0422167974705834</v>
      </c>
      <c r="H31" s="9"/>
    </row>
    <row r="32" customFormat="false" ht="15" hidden="false" customHeight="false" outlineLevel="0" collapsed="false">
      <c r="B32" s="7" t="s">
        <v>338</v>
      </c>
      <c r="C32" s="27" t="n">
        <v>0</v>
      </c>
      <c r="D32" s="27" t="n">
        <v>0</v>
      </c>
      <c r="E32" s="27" t="n">
        <v>0</v>
      </c>
      <c r="F32" s="27" t="n">
        <v>0</v>
      </c>
      <c r="G32" s="27" t="n">
        <v>0</v>
      </c>
      <c r="H32" s="9"/>
    </row>
    <row r="33" customFormat="false" ht="15" hidden="false" customHeight="false" outlineLevel="0" collapsed="false">
      <c r="B33" s="7" t="s">
        <v>339</v>
      </c>
      <c r="C33" s="16" t="n">
        <v>0</v>
      </c>
      <c r="D33" s="16" t="n">
        <v>0</v>
      </c>
      <c r="E33" s="16" t="n">
        <v>0</v>
      </c>
      <c r="F33" s="16" t="n">
        <v>0</v>
      </c>
      <c r="G33" s="16" t="n">
        <v>0</v>
      </c>
      <c r="H33" s="9"/>
    </row>
    <row r="34" customFormat="false" ht="15" hidden="false" customHeight="false" outlineLevel="0" collapsed="false">
      <c r="B34" s="7" t="s">
        <v>340</v>
      </c>
      <c r="C34" s="9" t="s">
        <v>57</v>
      </c>
      <c r="D34" s="9" t="s">
        <v>57</v>
      </c>
      <c r="E34" s="9" t="s">
        <v>57</v>
      </c>
      <c r="F34" s="9" t="s">
        <v>57</v>
      </c>
      <c r="G34" s="9" t="s">
        <v>57</v>
      </c>
      <c r="H34" s="9"/>
    </row>
    <row r="35" customFormat="false" ht="15" hidden="false" customHeight="false" outlineLevel="0" collapsed="false">
      <c r="B35" s="7" t="s">
        <v>341</v>
      </c>
      <c r="C35" s="16" t="n">
        <v>0.154693253587028</v>
      </c>
      <c r="D35" s="16" t="n">
        <v>0.154557423578891</v>
      </c>
      <c r="E35" s="16" t="n">
        <v>0.15439527638533</v>
      </c>
      <c r="F35" s="16" t="n">
        <v>0.154396159130379</v>
      </c>
      <c r="G35" s="16" t="n">
        <v>0.154090554002792</v>
      </c>
      <c r="H35" s="9"/>
    </row>
    <row r="36" customFormat="false" ht="15" hidden="false" customHeight="false" outlineLevel="0" collapsed="false">
      <c r="B36" s="7" t="s">
        <v>342</v>
      </c>
      <c r="C36" s="36" t="n">
        <v>1.91638327633065</v>
      </c>
      <c r="D36" s="36" t="n">
        <v>2.24316765058369</v>
      </c>
      <c r="E36" s="36" t="n">
        <v>1.93112843175843</v>
      </c>
      <c r="F36" s="36" t="n">
        <v>2.06822519889206</v>
      </c>
      <c r="G36" s="36" t="n">
        <v>1.90731941160578</v>
      </c>
      <c r="H36" s="9"/>
    </row>
    <row r="37" customFormat="false" ht="15" hidden="false" customHeight="false" outlineLevel="0" collapsed="false">
      <c r="B37" s="7" t="s">
        <v>343</v>
      </c>
      <c r="C37" s="22" t="n">
        <v>0</v>
      </c>
      <c r="D37" s="22" t="n">
        <v>0</v>
      </c>
      <c r="E37" s="22" t="n">
        <v>0</v>
      </c>
      <c r="F37" s="22" t="n">
        <v>0</v>
      </c>
      <c r="G37" s="22" t="n">
        <v>0</v>
      </c>
      <c r="H37" s="9"/>
    </row>
    <row r="38" customFormat="false" ht="15" hidden="false" customHeight="false" outlineLevel="0" collapsed="false">
      <c r="B38" s="7" t="s">
        <v>344</v>
      </c>
      <c r="C38" s="22" t="n">
        <v>0</v>
      </c>
      <c r="D38" s="22" t="n">
        <v>0</v>
      </c>
      <c r="E38" s="22" t="n">
        <v>0</v>
      </c>
      <c r="F38" s="22" t="n">
        <v>0</v>
      </c>
      <c r="G38" s="22" t="n">
        <v>0</v>
      </c>
      <c r="H38" s="9"/>
    </row>
    <row r="39" customFormat="false" ht="15" hidden="false" customHeight="false" outlineLevel="0" collapsed="false">
      <c r="B39" s="7" t="s">
        <v>345</v>
      </c>
      <c r="C39" s="16" t="n">
        <v>1.38817414982736</v>
      </c>
      <c r="D39" s="16" t="n">
        <v>1.40639437762613</v>
      </c>
      <c r="E39" s="16" t="n">
        <v>1.42020843930555</v>
      </c>
      <c r="F39" s="16" t="n">
        <v>1.42168042926726</v>
      </c>
      <c r="G39" s="16" t="n">
        <v>1.46019119189832</v>
      </c>
      <c r="H39" s="9"/>
    </row>
    <row r="40" customFormat="false" ht="15" hidden="false" customHeight="false" outlineLevel="0" collapsed="false">
      <c r="B40" s="7" t="s">
        <v>32</v>
      </c>
      <c r="C40" s="18" t="s">
        <v>346</v>
      </c>
      <c r="D40" s="18" t="s">
        <v>346</v>
      </c>
      <c r="E40" s="18" t="s">
        <v>346</v>
      </c>
      <c r="F40" s="18" t="s">
        <v>346</v>
      </c>
      <c r="G40" s="18" t="s">
        <v>346</v>
      </c>
      <c r="H40" s="9"/>
    </row>
    <row r="42" customFormat="false" ht="15.75" hidden="false" customHeight="true" outlineLevel="0" collapsed="false">
      <c r="B42" s="5" t="s">
        <v>35</v>
      </c>
      <c r="C42" s="6" t="s">
        <v>134</v>
      </c>
      <c r="D42" s="6" t="s">
        <v>135</v>
      </c>
      <c r="E42" s="6" t="s">
        <v>136</v>
      </c>
      <c r="F42" s="6" t="s">
        <v>137</v>
      </c>
      <c r="G42" s="6" t="s">
        <v>138</v>
      </c>
      <c r="H42" s="6" t="s">
        <v>4</v>
      </c>
    </row>
    <row r="43" customFormat="false" ht="15" hidden="false" customHeight="false" outlineLevel="0" collapsed="false">
      <c r="B43" s="7" t="s">
        <v>337</v>
      </c>
      <c r="C43" s="16" t="n">
        <v>-0.0149881382675641</v>
      </c>
      <c r="D43" s="16" t="n">
        <v>-0.00386003769973198</v>
      </c>
      <c r="E43" s="16" t="n">
        <v>-0.0130242422748019</v>
      </c>
      <c r="F43" s="16" t="n">
        <v>-0.00864783551571191</v>
      </c>
      <c r="G43" s="16" t="n">
        <v>-0.01412960758825</v>
      </c>
      <c r="H43" s="9"/>
    </row>
    <row r="44" customFormat="false" ht="15" hidden="false" customHeight="false" outlineLevel="0" collapsed="false">
      <c r="B44" s="7" t="s">
        <v>338</v>
      </c>
      <c r="C44" s="27" t="n">
        <v>0</v>
      </c>
      <c r="D44" s="27" t="n">
        <v>0</v>
      </c>
      <c r="E44" s="27" t="n">
        <v>0</v>
      </c>
      <c r="F44" s="27" t="n">
        <v>0</v>
      </c>
      <c r="G44" s="27" t="n">
        <v>0</v>
      </c>
      <c r="H44" s="9"/>
    </row>
    <row r="45" customFormat="false" ht="15" hidden="false" customHeight="false" outlineLevel="0" collapsed="false">
      <c r="B45" s="7" t="s">
        <v>339</v>
      </c>
      <c r="C45" s="16" t="n">
        <v>0</v>
      </c>
      <c r="D45" s="16" t="n">
        <v>0</v>
      </c>
      <c r="E45" s="16" t="n">
        <v>0</v>
      </c>
      <c r="F45" s="16" t="n">
        <v>0</v>
      </c>
      <c r="G45" s="16" t="n">
        <v>0</v>
      </c>
      <c r="H45" s="9"/>
    </row>
    <row r="46" customFormat="false" ht="15" hidden="false" customHeight="false" outlineLevel="0" collapsed="false">
      <c r="B46" s="7" t="s">
        <v>340</v>
      </c>
      <c r="C46" s="9" t="s">
        <v>57</v>
      </c>
      <c r="D46" s="9" t="s">
        <v>57</v>
      </c>
      <c r="E46" s="9" t="s">
        <v>57</v>
      </c>
      <c r="F46" s="9" t="s">
        <v>57</v>
      </c>
      <c r="G46" s="9" t="s">
        <v>57</v>
      </c>
      <c r="H46" s="9"/>
    </row>
    <row r="47" customFormat="false" ht="15" hidden="false" customHeight="false" outlineLevel="0" collapsed="false">
      <c r="B47" s="7" t="s">
        <v>341</v>
      </c>
      <c r="C47" s="16" t="n">
        <v>0.0694015679494139</v>
      </c>
      <c r="D47" s="16" t="n">
        <v>0.0953527544921591</v>
      </c>
      <c r="E47" s="16" t="n">
        <v>0.0836345359353909</v>
      </c>
      <c r="F47" s="16" t="n">
        <v>0.0951595005422423</v>
      </c>
      <c r="G47" s="16" t="n">
        <v>0.0849450707558346</v>
      </c>
      <c r="H47" s="9"/>
    </row>
    <row r="48" customFormat="false" ht="15" hidden="false" customHeight="false" outlineLevel="0" collapsed="false">
      <c r="B48" s="7" t="s">
        <v>342</v>
      </c>
      <c r="C48" s="36" t="n">
        <v>0.837512359255074</v>
      </c>
      <c r="D48" s="36" t="n">
        <v>1.42530715833556</v>
      </c>
      <c r="E48" s="36" t="n">
        <v>0.989484582542427</v>
      </c>
      <c r="F48" s="36" t="n">
        <v>1.23942613093912</v>
      </c>
      <c r="G48" s="36" t="n">
        <v>0.984605935161205</v>
      </c>
      <c r="H48" s="9"/>
    </row>
    <row r="49" customFormat="false" ht="15" hidden="false" customHeight="false" outlineLevel="0" collapsed="false">
      <c r="B49" s="7" t="s">
        <v>343</v>
      </c>
      <c r="C49" s="22" t="n">
        <v>0</v>
      </c>
      <c r="D49" s="22" t="n">
        <v>0</v>
      </c>
      <c r="E49" s="22" t="n">
        <v>0</v>
      </c>
      <c r="F49" s="22" t="n">
        <v>0</v>
      </c>
      <c r="G49" s="22" t="n">
        <v>0</v>
      </c>
      <c r="H49" s="9"/>
    </row>
    <row r="50" customFormat="false" ht="15" hidden="false" customHeight="false" outlineLevel="0" collapsed="false">
      <c r="B50" s="7" t="s">
        <v>344</v>
      </c>
      <c r="C50" s="22" t="n">
        <v>5707.81318516274</v>
      </c>
      <c r="D50" s="22" t="n">
        <v>5657.75053028748</v>
      </c>
      <c r="E50" s="22" t="n">
        <v>11496.4742763234</v>
      </c>
      <c r="F50" s="22" t="n">
        <v>11364.3767219432</v>
      </c>
      <c r="G50" s="22" t="n">
        <v>27785.0309346891</v>
      </c>
      <c r="H50" s="9"/>
    </row>
    <row r="51" customFormat="false" ht="15" hidden="false" customHeight="false" outlineLevel="0" collapsed="false">
      <c r="B51" s="7" t="s">
        <v>345</v>
      </c>
      <c r="C51" s="16" t="n">
        <v>0.704373374772576</v>
      </c>
      <c r="D51" s="16" t="n">
        <v>0.734257339361488</v>
      </c>
      <c r="E51" s="16" t="n">
        <v>0.736056670702125</v>
      </c>
      <c r="F51" s="16" t="n">
        <v>0.741974511175447</v>
      </c>
      <c r="G51" s="16" t="n">
        <v>0.761859348059039</v>
      </c>
      <c r="H51" s="9"/>
    </row>
    <row r="52" customFormat="false" ht="15" hidden="false" customHeight="false" outlineLevel="0" collapsed="false">
      <c r="B52" s="7" t="s">
        <v>32</v>
      </c>
      <c r="C52" s="37" t="s">
        <v>347</v>
      </c>
      <c r="D52" s="37" t="s">
        <v>348</v>
      </c>
      <c r="E52" s="37" t="s">
        <v>347</v>
      </c>
      <c r="F52" s="37" t="s">
        <v>348</v>
      </c>
      <c r="G52" s="37" t="s">
        <v>347</v>
      </c>
      <c r="H52" s="9"/>
    </row>
    <row r="54" customFormat="false" ht="15.75" hidden="false" customHeight="true" outlineLevel="0" collapsed="false">
      <c r="B54" s="5" t="s">
        <v>37</v>
      </c>
      <c r="C54" s="6" t="s">
        <v>134</v>
      </c>
      <c r="D54" s="6" t="s">
        <v>135</v>
      </c>
      <c r="E54" s="6" t="s">
        <v>136</v>
      </c>
      <c r="F54" s="6" t="s">
        <v>137</v>
      </c>
      <c r="G54" s="6" t="s">
        <v>138</v>
      </c>
      <c r="H54" s="6" t="s">
        <v>4</v>
      </c>
    </row>
    <row r="55" customFormat="false" ht="15" hidden="false" customHeight="false" outlineLevel="0" collapsed="false">
      <c r="B55" s="7" t="s">
        <v>337</v>
      </c>
      <c r="C55" s="16" t="n">
        <v>-0.0871963605354427</v>
      </c>
      <c r="D55" s="16" t="n">
        <v>-0.0580686595875777</v>
      </c>
      <c r="E55" s="16" t="n">
        <v>-0.0921573119672707</v>
      </c>
      <c r="F55" s="16" t="n">
        <v>-0.0787395214823485</v>
      </c>
      <c r="G55" s="16" t="n">
        <v>-0.0918126321270435</v>
      </c>
      <c r="H55" s="9"/>
    </row>
    <row r="56" customFormat="false" ht="15" hidden="false" customHeight="false" outlineLevel="0" collapsed="false">
      <c r="B56" s="7" t="s">
        <v>338</v>
      </c>
      <c r="C56" s="27" t="n">
        <v>8</v>
      </c>
      <c r="D56" s="27" t="n">
        <v>8</v>
      </c>
      <c r="E56" s="27" t="n">
        <v>8</v>
      </c>
      <c r="F56" s="27" t="n">
        <v>8</v>
      </c>
      <c r="G56" s="27" t="n">
        <v>8</v>
      </c>
      <c r="H56" s="9"/>
    </row>
    <row r="57" customFormat="false" ht="15" hidden="false" customHeight="false" outlineLevel="0" collapsed="false">
      <c r="B57" s="7" t="s">
        <v>339</v>
      </c>
      <c r="C57" s="16" t="n">
        <v>0.466690404941236</v>
      </c>
      <c r="D57" s="16" t="n">
        <v>0.446024239918507</v>
      </c>
      <c r="E57" s="16" t="n">
        <v>0.456378496391695</v>
      </c>
      <c r="F57" s="16" t="n">
        <v>0.449600291711154</v>
      </c>
      <c r="G57" s="16" t="n">
        <v>0.451363878532514</v>
      </c>
      <c r="H57" s="9"/>
    </row>
    <row r="58" customFormat="false" ht="15" hidden="false" customHeight="false" outlineLevel="0" collapsed="false">
      <c r="B58" s="7" t="s">
        <v>340</v>
      </c>
      <c r="C58" s="9" t="s">
        <v>349</v>
      </c>
      <c r="D58" s="9" t="s">
        <v>349</v>
      </c>
      <c r="E58" s="9" t="s">
        <v>349</v>
      </c>
      <c r="F58" s="9" t="s">
        <v>349</v>
      </c>
      <c r="G58" s="9" t="s">
        <v>349</v>
      </c>
      <c r="H58" s="9"/>
    </row>
    <row r="59" customFormat="false" ht="15" hidden="false" customHeight="false" outlineLevel="0" collapsed="false">
      <c r="B59" s="7" t="s">
        <v>341</v>
      </c>
      <c r="C59" s="16" t="n">
        <v>0.0100197564155146</v>
      </c>
      <c r="D59" s="16" t="n">
        <v>0.0100254177278192</v>
      </c>
      <c r="E59" s="16" t="n">
        <v>0.00997136301621534</v>
      </c>
      <c r="F59" s="16" t="n">
        <v>0.00998403961835446</v>
      </c>
      <c r="G59" s="16" t="n">
        <v>0.00995114918047219</v>
      </c>
      <c r="H59" s="9"/>
    </row>
    <row r="60" customFormat="false" ht="15" hidden="false" customHeight="false" outlineLevel="0" collapsed="false">
      <c r="B60" s="7" t="s">
        <v>342</v>
      </c>
      <c r="C60" s="36" t="n">
        <v>-0.44291011583829</v>
      </c>
      <c r="D60" s="36" t="n">
        <v>-0.136795248399133</v>
      </c>
      <c r="E60" s="36" t="n">
        <v>-0.435305956489723</v>
      </c>
      <c r="F60" s="36" t="n">
        <v>-0.302166629954858</v>
      </c>
      <c r="G60" s="36" t="n">
        <v>-0.447090495274784</v>
      </c>
      <c r="H60" s="9"/>
    </row>
    <row r="61" customFormat="false" ht="15" hidden="false" customHeight="false" outlineLevel="0" collapsed="false">
      <c r="B61" s="7" t="s">
        <v>343</v>
      </c>
      <c r="C61" s="22" t="n">
        <v>1656335.09575765</v>
      </c>
      <c r="D61" s="22" t="n">
        <v>1840230.27858483</v>
      </c>
      <c r="E61" s="22" t="n">
        <v>3839655.2137468</v>
      </c>
      <c r="F61" s="22" t="n">
        <v>3968501.52177889</v>
      </c>
      <c r="G61" s="22" t="n">
        <v>9581192.9955125</v>
      </c>
      <c r="H61" s="9"/>
    </row>
    <row r="62" customFormat="false" ht="15" hidden="false" customHeight="false" outlineLevel="0" collapsed="false">
      <c r="B62" s="7" t="s">
        <v>344</v>
      </c>
      <c r="C62" s="22" t="n">
        <v>438615.876870057</v>
      </c>
      <c r="D62" s="22" t="n">
        <v>505975.932818905</v>
      </c>
      <c r="E62" s="22" t="n">
        <v>1021219.41743828</v>
      </c>
      <c r="F62" s="22" t="n">
        <v>1068706.89461919</v>
      </c>
      <c r="G62" s="22" t="n">
        <v>2548554.35634863</v>
      </c>
      <c r="H62" s="9"/>
    </row>
    <row r="63" customFormat="false" ht="15" hidden="false" customHeight="false" outlineLevel="0" collapsed="false">
      <c r="B63" s="7" t="s">
        <v>345</v>
      </c>
      <c r="C63" s="16" t="n">
        <v>0.0470966224459484</v>
      </c>
      <c r="D63" s="16" t="n">
        <v>0.122503997835265</v>
      </c>
      <c r="E63" s="16" t="n">
        <v>0.078264831475372</v>
      </c>
      <c r="F63" s="16" t="n">
        <v>0.104496070966003</v>
      </c>
      <c r="G63" s="16" t="n">
        <v>0.0950212032167781</v>
      </c>
      <c r="H63" s="9"/>
    </row>
    <row r="64" customFormat="false" ht="15" hidden="false" customHeight="false" outlineLevel="0" collapsed="false">
      <c r="B64" s="7" t="s">
        <v>32</v>
      </c>
      <c r="C64" s="37" t="s">
        <v>347</v>
      </c>
      <c r="D64" s="37" t="s">
        <v>347</v>
      </c>
      <c r="E64" s="37" t="s">
        <v>347</v>
      </c>
      <c r="F64" s="37" t="s">
        <v>347</v>
      </c>
      <c r="G64" s="37" t="s">
        <v>347</v>
      </c>
      <c r="H64" s="9"/>
    </row>
    <row r="66" customFormat="false" ht="15.75" hidden="false" customHeight="true" outlineLevel="0" collapsed="false">
      <c r="B66" s="5" t="s">
        <v>39</v>
      </c>
      <c r="C66" s="6" t="s">
        <v>134</v>
      </c>
      <c r="D66" s="6" t="s">
        <v>135</v>
      </c>
      <c r="E66" s="6" t="s">
        <v>136</v>
      </c>
      <c r="F66" s="6" t="s">
        <v>137</v>
      </c>
      <c r="G66" s="6" t="s">
        <v>138</v>
      </c>
      <c r="H66" s="6" t="s">
        <v>4</v>
      </c>
    </row>
    <row r="67" customFormat="false" ht="15" hidden="false" customHeight="false" outlineLevel="0" collapsed="false">
      <c r="B67" s="7" t="s">
        <v>337</v>
      </c>
      <c r="C67" s="16" t="n">
        <v>-0.172820854616555</v>
      </c>
      <c r="D67" s="16" t="n">
        <v>-0.122436006127871</v>
      </c>
      <c r="E67" s="16" t="n">
        <v>-0.184417972141489</v>
      </c>
      <c r="F67" s="16" t="n">
        <v>-0.160766849583963</v>
      </c>
      <c r="G67" s="16" t="n">
        <v>-0.182841647344672</v>
      </c>
      <c r="H67" s="9"/>
    </row>
    <row r="68" customFormat="false" ht="15" hidden="false" customHeight="false" outlineLevel="0" collapsed="false">
      <c r="B68" s="7" t="s">
        <v>338</v>
      </c>
      <c r="C68" s="27" t="n">
        <v>8</v>
      </c>
      <c r="D68" s="27" t="n">
        <v>8</v>
      </c>
      <c r="E68" s="27" t="n">
        <v>8</v>
      </c>
      <c r="F68" s="27" t="n">
        <v>8</v>
      </c>
      <c r="G68" s="27" t="n">
        <v>8</v>
      </c>
      <c r="H68" s="9"/>
    </row>
    <row r="69" customFormat="false" ht="15" hidden="false" customHeight="false" outlineLevel="0" collapsed="false">
      <c r="B69" s="7" t="s">
        <v>339</v>
      </c>
      <c r="C69" s="16" t="n">
        <v>0.924759266806859</v>
      </c>
      <c r="D69" s="16" t="n">
        <v>0.854909498036057</v>
      </c>
      <c r="E69" s="16" t="n">
        <v>0.909971773107336</v>
      </c>
      <c r="F69" s="16" t="n">
        <v>0.881624243739483</v>
      </c>
      <c r="G69" s="16" t="n">
        <v>0.895905698510495</v>
      </c>
      <c r="H69" s="9"/>
    </row>
    <row r="70" customFormat="false" ht="15" hidden="false" customHeight="false" outlineLevel="0" collapsed="false">
      <c r="B70" s="7" t="s">
        <v>340</v>
      </c>
      <c r="C70" s="9" t="s">
        <v>349</v>
      </c>
      <c r="D70" s="9" t="s">
        <v>349</v>
      </c>
      <c r="E70" s="9" t="s">
        <v>349</v>
      </c>
      <c r="F70" s="9" t="s">
        <v>349</v>
      </c>
      <c r="G70" s="9" t="s">
        <v>349</v>
      </c>
      <c r="H70" s="9"/>
    </row>
    <row r="71" customFormat="false" ht="15" hidden="false" customHeight="false" outlineLevel="0" collapsed="false">
      <c r="B71" s="7" t="s">
        <v>341</v>
      </c>
      <c r="C71" s="16" t="n">
        <v>0.0103881622075077</v>
      </c>
      <c r="D71" s="16" t="n">
        <v>0.0103528410138031</v>
      </c>
      <c r="E71" s="16" t="n">
        <v>0.0103288220427843</v>
      </c>
      <c r="F71" s="16" t="n">
        <v>0.0103192728679978</v>
      </c>
      <c r="G71" s="16" t="n">
        <v>0.0102976398663794</v>
      </c>
      <c r="H71" s="9"/>
    </row>
    <row r="72" customFormat="false" ht="15" hidden="false" customHeight="false" outlineLevel="0" collapsed="false">
      <c r="B72" s="7" t="s">
        <v>342</v>
      </c>
      <c r="C72" s="36" t="n">
        <v>-0.690865904905111</v>
      </c>
      <c r="D72" s="36" t="n">
        <v>-0.201792606800462</v>
      </c>
      <c r="E72" s="36" t="n">
        <v>-0.630565511440617</v>
      </c>
      <c r="F72" s="36" t="n">
        <v>-0.39009448559735</v>
      </c>
      <c r="G72" s="36" t="n">
        <v>-0.650673220837653</v>
      </c>
      <c r="H72" s="9"/>
    </row>
    <row r="73" customFormat="false" ht="15" hidden="false" customHeight="false" outlineLevel="0" collapsed="false">
      <c r="B73" s="7" t="s">
        <v>343</v>
      </c>
      <c r="C73" s="22" t="n">
        <v>1970793.58512373</v>
      </c>
      <c r="D73" s="22" t="n">
        <v>2527630.95649996</v>
      </c>
      <c r="E73" s="22" t="n">
        <v>4568027.30571215</v>
      </c>
      <c r="F73" s="22" t="n">
        <v>4958533.31580575</v>
      </c>
      <c r="G73" s="22" t="n">
        <v>11391668.3014835</v>
      </c>
      <c r="H73" s="9"/>
    </row>
    <row r="74" customFormat="false" ht="15" hidden="false" customHeight="false" outlineLevel="0" collapsed="false">
      <c r="B74" s="7" t="s">
        <v>344</v>
      </c>
      <c r="C74" s="22" t="n">
        <v>728824.356503338</v>
      </c>
      <c r="D74" s="22" t="n">
        <v>957327.424106533</v>
      </c>
      <c r="E74" s="22" t="n">
        <v>1696299.34127274</v>
      </c>
      <c r="F74" s="22" t="n">
        <v>1856983.57882087</v>
      </c>
      <c r="G74" s="22" t="n">
        <v>4230780.92152688</v>
      </c>
      <c r="H74" s="9"/>
    </row>
    <row r="75" customFormat="false" ht="15" hidden="false" customHeight="false" outlineLevel="0" collapsed="false">
      <c r="B75" s="7" t="s">
        <v>345</v>
      </c>
      <c r="C75" s="16" t="n">
        <v>-0.253185159888321</v>
      </c>
      <c r="D75" s="16" t="n">
        <v>-0.154713566863604</v>
      </c>
      <c r="E75" s="16" t="n">
        <v>-0.236649077713938</v>
      </c>
      <c r="F75" s="16" t="n">
        <v>-0.197492755057488</v>
      </c>
      <c r="G75" s="16" t="n">
        <v>-0.221076944206601</v>
      </c>
      <c r="H75" s="9"/>
    </row>
    <row r="76" customFormat="false" ht="15" hidden="false" customHeight="false" outlineLevel="0" collapsed="false">
      <c r="B76" s="7" t="s">
        <v>32</v>
      </c>
      <c r="C76" s="37" t="s">
        <v>347</v>
      </c>
      <c r="D76" s="37" t="s">
        <v>347</v>
      </c>
      <c r="E76" s="37" t="s">
        <v>347</v>
      </c>
      <c r="F76" s="37" t="s">
        <v>347</v>
      </c>
      <c r="G76" s="37" t="s">
        <v>347</v>
      </c>
      <c r="H76" s="9"/>
    </row>
    <row r="78" customFormat="false" ht="30" hidden="false" customHeight="true" outlineLevel="0" collapsed="false">
      <c r="B78" s="20" t="s">
        <v>350</v>
      </c>
      <c r="C78" s="20"/>
      <c r="D78" s="20"/>
      <c r="E78" s="20"/>
      <c r="F78" s="20"/>
      <c r="G78" s="20"/>
      <c r="H78" s="20"/>
    </row>
  </sheetData>
  <mergeCells count="2">
    <mergeCell ref="B3:H3"/>
    <mergeCell ref="B78:H78"/>
  </mergeCells>
  <conditionalFormatting sqref="C40:G40">
    <cfRule type="expression" priority="2" aboveAverage="0" equalAverage="0" bottom="0" percent="0" rank="0" text="" dxfId="0">
      <formula>LEFT(C40,4)="Vert"</formula>
    </cfRule>
    <cfRule type="expression" priority="3" aboveAverage="0" equalAverage="0" bottom="0" percent="0" rank="0" text="" dxfId="1">
      <formula>LEFT(C40,6)="Orange"</formula>
    </cfRule>
    <cfRule type="expression" priority="4" aboveAverage="0" equalAverage="0" bottom="0" percent="0" rank="0" text="" dxfId="2">
      <formula>LEFT(C40,5)="Rouge"</formula>
    </cfRule>
  </conditionalFormatting>
  <conditionalFormatting sqref="C52:G52">
    <cfRule type="expression" priority="5" aboveAverage="0" equalAverage="0" bottom="0" percent="0" rank="0" text="" dxfId="0">
      <formula>LEFT(C52,4)="Vert"</formula>
    </cfRule>
    <cfRule type="expression" priority="6" aboveAverage="0" equalAverage="0" bottom="0" percent="0" rank="0" text="" dxfId="1">
      <formula>LEFT(C52,6)="Orange"</formula>
    </cfRule>
    <cfRule type="expression" priority="7" aboveAverage="0" equalAverage="0" bottom="0" percent="0" rank="0" text="" dxfId="2">
      <formula>LEFT(C52,5)="Rouge"</formula>
    </cfRule>
  </conditionalFormatting>
  <conditionalFormatting sqref="C64:G64">
    <cfRule type="expression" priority="8" aboveAverage="0" equalAverage="0" bottom="0" percent="0" rank="0" text="" dxfId="0">
      <formula>LEFT(C64,4)="Vert"</formula>
    </cfRule>
    <cfRule type="expression" priority="9" aboveAverage="0" equalAverage="0" bottom="0" percent="0" rank="0" text="" dxfId="1">
      <formula>LEFT(C64,6)="Orange"</formula>
    </cfRule>
    <cfRule type="expression" priority="10" aboveAverage="0" equalAverage="0" bottom="0" percent="0" rank="0" text="" dxfId="2">
      <formula>LEFT(C64,5)="Rouge"</formula>
    </cfRule>
  </conditionalFormatting>
  <conditionalFormatting sqref="C76:G76">
    <cfRule type="expression" priority="11" aboveAverage="0" equalAverage="0" bottom="0" percent="0" rank="0" text="" dxfId="0">
      <formula>LEFT(C76,4)="Vert"</formula>
    </cfRule>
    <cfRule type="expression" priority="12" aboveAverage="0" equalAverage="0" bottom="0" percent="0" rank="0" text="" dxfId="1">
      <formula>LEFT(C76,6)="Orange"</formula>
    </cfRule>
    <cfRule type="expression" priority="13" aboveAverage="0" equalAverage="0" bottom="0" percent="0" rank="0" text="" dxfId="2">
      <formula>LEFT(C76,5)="Rouge"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N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4"/>
    <col collapsed="false" customWidth="true" hidden="false" outlineLevel="0" max="14" min="4" style="0" width="10"/>
  </cols>
  <sheetData>
    <row r="2" customFormat="false" ht="15" hidden="false" customHeight="false" outlineLevel="0" collapsed="false">
      <c r="B2" s="1" t="s">
        <v>351</v>
      </c>
    </row>
    <row r="3" customFormat="false" ht="42" hidden="false" customHeight="true" outlineLevel="0" collapsed="false">
      <c r="B3" s="20" t="s">
        <v>352</v>
      </c>
      <c r="C3" s="20"/>
      <c r="D3" s="20"/>
      <c r="E3" s="20"/>
      <c r="F3" s="20"/>
      <c r="G3" s="20"/>
      <c r="H3" s="20"/>
      <c r="I3" s="20"/>
      <c r="J3" s="20"/>
      <c r="K3" s="20"/>
      <c r="L3" s="20"/>
      <c r="M3" s="20"/>
      <c r="N3" s="20"/>
    </row>
    <row r="5" customFormat="false" ht="18" hidden="false" customHeight="true" outlineLevel="0" collapsed="false">
      <c r="B5" s="3" t="s">
        <v>353</v>
      </c>
      <c r="C5" s="4"/>
      <c r="D5" s="4"/>
      <c r="E5" s="4"/>
      <c r="F5" s="4"/>
      <c r="G5" s="4"/>
      <c r="H5" s="4"/>
      <c r="I5" s="4"/>
      <c r="J5" s="4"/>
      <c r="K5" s="4"/>
      <c r="L5" s="4"/>
      <c r="M5" s="4"/>
      <c r="N5" s="4"/>
    </row>
    <row r="6" customFormat="false" ht="39.75" hidden="false" customHeight="true" outlineLevel="0" collapsed="false">
      <c r="B6" s="5" t="s">
        <v>177</v>
      </c>
      <c r="C6" s="6" t="s">
        <v>354</v>
      </c>
      <c r="D6" s="6" t="s">
        <v>103</v>
      </c>
      <c r="E6" s="6" t="s">
        <v>183</v>
      </c>
      <c r="F6" s="6" t="s">
        <v>184</v>
      </c>
      <c r="G6" s="6" t="s">
        <v>185</v>
      </c>
      <c r="H6" s="6" t="s">
        <v>186</v>
      </c>
      <c r="I6" s="6" t="s">
        <v>355</v>
      </c>
      <c r="J6" s="6" t="s">
        <v>356</v>
      </c>
      <c r="K6" s="6" t="s">
        <v>357</v>
      </c>
      <c r="L6" s="6" t="s">
        <v>358</v>
      </c>
      <c r="M6" s="6" t="s">
        <v>359</v>
      </c>
      <c r="N6" s="6"/>
    </row>
    <row r="7" customFormat="false" ht="15" hidden="false" customHeight="false" outlineLevel="0" collapsed="false">
      <c r="B7" s="7" t="s">
        <v>187</v>
      </c>
      <c r="C7" s="22" t="n">
        <f aca="false">Paramètres!$D$68*AN_depart</f>
        <v>2800000</v>
      </c>
      <c r="D7" s="16" t="n">
        <f aca="false">C7/AN_depart</f>
        <v>0.35</v>
      </c>
      <c r="E7" s="27" t="n">
        <f aca="false">Paramètres!$H$68</f>
        <v>365</v>
      </c>
      <c r="F7" s="27" t="n">
        <f aca="false">Paramètres!$I$68</f>
        <v>540</v>
      </c>
      <c r="G7" s="27" t="n">
        <f aca="false">Paramètres!$J$68</f>
        <v>730</v>
      </c>
      <c r="H7" s="27" t="n">
        <f aca="false">Paramètres!$K$68</f>
        <v>1095</v>
      </c>
      <c r="I7" s="22" t="n">
        <f aca="false">C7*Paramètres!$E$68</f>
        <v>1200000</v>
      </c>
      <c r="J7" s="22" t="n">
        <f aca="false">0</f>
        <v>0</v>
      </c>
      <c r="K7" s="32" t="n">
        <f aca="false">Paramètres!$J$79</f>
        <v>0.15</v>
      </c>
      <c r="L7" s="32" t="n">
        <f aca="false">Paramètres!$K$79</f>
        <v>0.25</v>
      </c>
      <c r="M7" s="32" t="n">
        <f aca="false">Paramètres!$L$79</f>
        <v>0.35</v>
      </c>
    </row>
    <row r="8" customFormat="false" ht="15" hidden="false" customHeight="false" outlineLevel="0" collapsed="false">
      <c r="B8" s="7" t="s">
        <v>190</v>
      </c>
      <c r="C8" s="22" t="n">
        <f aca="false">Paramètres!$D$69*AN_depart</f>
        <v>0</v>
      </c>
      <c r="D8" s="16" t="n">
        <f aca="false">C8/AN_depart</f>
        <v>0</v>
      </c>
      <c r="E8" s="27" t="n">
        <f aca="false">Paramètres!$H$69</f>
        <v>365</v>
      </c>
      <c r="F8" s="27" t="n">
        <f aca="false">Paramètres!$I$69</f>
        <v>540</v>
      </c>
      <c r="G8" s="27" t="n">
        <f aca="false">Paramètres!$J$69</f>
        <v>730</v>
      </c>
      <c r="H8" s="27" t="n">
        <f aca="false">Paramètres!$K$69</f>
        <v>1095</v>
      </c>
      <c r="I8" s="22" t="n">
        <f aca="false">C8*Paramètres!$E$69</f>
        <v>0</v>
      </c>
      <c r="J8" s="22" t="n">
        <f aca="false">0</f>
        <v>0</v>
      </c>
      <c r="K8" s="32" t="n">
        <f aca="false">Paramètres!$J$80</f>
        <v>0.15</v>
      </c>
      <c r="L8" s="32" t="n">
        <f aca="false">Paramètres!$K$80</f>
        <v>0.25</v>
      </c>
      <c r="M8" s="32" t="n">
        <f aca="false">Paramètres!$L$80</f>
        <v>0.35</v>
      </c>
    </row>
    <row r="9" customFormat="false" ht="15" hidden="false" customHeight="false" outlineLevel="0" collapsed="false">
      <c r="B9" s="7" t="s">
        <v>192</v>
      </c>
      <c r="C9" s="22" t="n">
        <f aca="false">Paramètres!$D$70*AN_depart</f>
        <v>1960000</v>
      </c>
      <c r="D9" s="16" t="n">
        <f aca="false">C9/AN_depart</f>
        <v>0.245</v>
      </c>
      <c r="E9" s="27" t="n">
        <f aca="false">Paramètres!$H$70</f>
        <v>180</v>
      </c>
      <c r="F9" s="27" t="n">
        <f aca="false">Paramètres!$I$70</f>
        <v>270</v>
      </c>
      <c r="G9" s="27" t="n">
        <f aca="false">Paramètres!$J$70</f>
        <v>365</v>
      </c>
      <c r="H9" s="27" t="n">
        <f aca="false">Paramètres!$K$70</f>
        <v>540</v>
      </c>
      <c r="I9" s="22" t="n">
        <f aca="false">C9*Paramètres!$E$70</f>
        <v>0</v>
      </c>
      <c r="J9" s="22" t="n">
        <f aca="false">C9*Paramètres!$F$70*2*(1-Paramètres!$C$148)</f>
        <v>137200</v>
      </c>
      <c r="K9" s="32" t="n">
        <f aca="false">Paramètres!$J$81</f>
        <v>0.05</v>
      </c>
      <c r="L9" s="32" t="n">
        <f aca="false">Paramètres!$K$81</f>
        <v>0.15</v>
      </c>
      <c r="M9" s="32" t="n">
        <f aca="false">Paramètres!$L$81</f>
        <v>0.25</v>
      </c>
    </row>
    <row r="10" customFormat="false" ht="15" hidden="false" customHeight="false" outlineLevel="0" collapsed="false">
      <c r="B10" s="7" t="s">
        <v>195</v>
      </c>
      <c r="C10" s="22" t="n">
        <f aca="false">Paramètres!$D$71*AN_depart</f>
        <v>1960000</v>
      </c>
      <c r="D10" s="16" t="n">
        <f aca="false">C10/AN_depart</f>
        <v>0.245</v>
      </c>
      <c r="E10" s="27" t="n">
        <f aca="false">Paramètres!$H$71</f>
        <v>120</v>
      </c>
      <c r="F10" s="27" t="n">
        <f aca="false">Paramètres!$I$71</f>
        <v>180</v>
      </c>
      <c r="G10" s="27" t="n">
        <f aca="false">Paramètres!$J$71</f>
        <v>365</v>
      </c>
      <c r="H10" s="27" t="n">
        <f aca="false">Paramètres!$K$71</f>
        <v>540</v>
      </c>
      <c r="I10" s="22" t="n">
        <f aca="false">C10*Paramètres!$E$71</f>
        <v>0</v>
      </c>
      <c r="J10" s="22" t="n">
        <f aca="false">C10*Paramètres!$F$71*2*(1-Paramètres!$C$148)</f>
        <v>137200</v>
      </c>
      <c r="K10" s="32" t="n">
        <f aca="false">Paramètres!$J$82</f>
        <v>0.05</v>
      </c>
      <c r="L10" s="32" t="n">
        <f aca="false">Paramètres!$K$82</f>
        <v>0.15</v>
      </c>
      <c r="M10" s="32" t="n">
        <f aca="false">Paramètres!$L$82</f>
        <v>0.25</v>
      </c>
    </row>
    <row r="11" customFormat="false" ht="15" hidden="false" customHeight="false" outlineLevel="0" collapsed="false">
      <c r="B11" s="7" t="s">
        <v>197</v>
      </c>
      <c r="C11" s="22" t="n">
        <f aca="false">Paramètres!$D$72*AN_depart</f>
        <v>880000</v>
      </c>
      <c r="D11" s="16" t="n">
        <f aca="false">C11/AN_depart</f>
        <v>0.11</v>
      </c>
      <c r="E11" s="27" t="n">
        <f aca="false">Paramètres!$H$72</f>
        <v>7</v>
      </c>
      <c r="F11" s="27" t="n">
        <f aca="false">Paramètres!$I$72</f>
        <v>14</v>
      </c>
      <c r="G11" s="27" t="n">
        <f aca="false">Paramètres!$J$72</f>
        <v>30</v>
      </c>
      <c r="H11" s="27" t="n">
        <f aca="false">Paramètres!$K$72</f>
        <v>30</v>
      </c>
      <c r="I11" s="22" t="n">
        <f aca="false">C11*Paramètres!$E$72</f>
        <v>0</v>
      </c>
      <c r="J11" s="22" t="n">
        <f aca="false">C11</f>
        <v>880000</v>
      </c>
      <c r="K11" s="32" t="n">
        <f aca="false">Paramètres!$J$83</f>
        <v>0.01</v>
      </c>
      <c r="L11" s="32" t="n">
        <f aca="false">Paramètres!$K$83</f>
        <v>0.03</v>
      </c>
      <c r="M11" s="32" t="n">
        <f aca="false">Paramètres!$L$83</f>
        <v>0.05</v>
      </c>
    </row>
    <row r="12" customFormat="false" ht="15" hidden="false" customHeight="false" outlineLevel="0" collapsed="false">
      <c r="B12" s="7" t="s">
        <v>200</v>
      </c>
      <c r="C12" s="22" t="n">
        <f aca="false">Paramètres!$D$73*AN_depart</f>
        <v>400000</v>
      </c>
      <c r="D12" s="16" t="n">
        <f aca="false">C12/AN_depart</f>
        <v>0.05</v>
      </c>
      <c r="E12" s="27" t="n">
        <f aca="false">Paramètres!$H$73</f>
        <v>1</v>
      </c>
      <c r="F12" s="27" t="n">
        <f aca="false">Paramètres!$I$73</f>
        <v>1</v>
      </c>
      <c r="G12" s="27" t="n">
        <f aca="false">Paramètres!$J$73</f>
        <v>1</v>
      </c>
      <c r="H12" s="27" t="n">
        <f aca="false">Paramètres!$K$73</f>
        <v>1</v>
      </c>
      <c r="I12" s="22" t="n">
        <f aca="false">C12*Paramètres!$E$73</f>
        <v>0</v>
      </c>
      <c r="J12" s="22" t="n">
        <f aca="false">C12</f>
        <v>400000</v>
      </c>
      <c r="K12" s="32" t="n">
        <f aca="false">Paramètres!$J$84</f>
        <v>0</v>
      </c>
      <c r="L12" s="32" t="n">
        <f aca="false">Paramètres!$K$84</f>
        <v>0</v>
      </c>
      <c r="M12" s="32" t="n">
        <f aca="false">Paramètres!$L$84</f>
        <v>0</v>
      </c>
    </row>
    <row r="13" customFormat="false" ht="15" hidden="false" customHeight="false" outlineLevel="0" collapsed="false">
      <c r="B13" s="7" t="s">
        <v>202</v>
      </c>
      <c r="C13" s="8" t="n">
        <f aca="false">SUM(C7:C12)</f>
        <v>8000000</v>
      </c>
      <c r="D13" s="11" t="n">
        <f aca="false">SUM(D7:D12)</f>
        <v>1</v>
      </c>
      <c r="I13" s="8" t="n">
        <f aca="false">SUM(I7:I12)</f>
        <v>1200000</v>
      </c>
      <c r="J13" s="8" t="n">
        <f aca="false">SUM(J7:J12)</f>
        <v>1554400</v>
      </c>
    </row>
    <row r="14" customFormat="false" ht="22.35" hidden="false" customHeight="false" outlineLevel="0" collapsed="false">
      <c r="B14" s="7" t="s">
        <v>360</v>
      </c>
      <c r="C14" s="32" t="n">
        <f aca="false">(C13+I13)/C13</f>
        <v>1.15</v>
      </c>
      <c r="J14" s="23" t="str">
        <f aca="false">IF((C13+I13)/C13&gt;Surengagement_max,"Rouge : plafond de l'art. 23 dépassé","Vert : sous le plafond de l'art. 23")</f>
        <v>Vert : sous le plafond de l'art. 23</v>
      </c>
      <c r="K14" s="23"/>
      <c r="L14" s="23"/>
      <c r="M14" s="23"/>
      <c r="N14" s="23"/>
    </row>
    <row r="16" customFormat="false" ht="18" hidden="false" customHeight="true" outlineLevel="0" collapsed="false">
      <c r="B16" s="3" t="s">
        <v>361</v>
      </c>
      <c r="C16" s="4"/>
      <c r="D16" s="4"/>
      <c r="E16" s="4"/>
      <c r="F16" s="4"/>
      <c r="G16" s="4"/>
      <c r="H16" s="4"/>
      <c r="I16" s="4"/>
      <c r="J16" s="4"/>
      <c r="K16" s="4"/>
      <c r="L16" s="4"/>
      <c r="M16" s="4"/>
      <c r="N16" s="4"/>
    </row>
    <row r="17" customFormat="false" ht="15" hidden="false" customHeight="true" outlineLevel="0" collapsed="false">
      <c r="B17" s="30" t="s">
        <v>362</v>
      </c>
      <c r="C17" s="30"/>
      <c r="D17" s="30"/>
      <c r="E17" s="30"/>
      <c r="F17" s="30"/>
      <c r="G17" s="30"/>
      <c r="H17" s="30"/>
      <c r="I17" s="30"/>
      <c r="J17" s="30"/>
      <c r="K17" s="30"/>
      <c r="L17" s="30"/>
      <c r="M17" s="30"/>
      <c r="N17" s="30"/>
    </row>
    <row r="18" customFormat="false" ht="15.75" hidden="false" customHeight="true" outlineLevel="0" collapsed="false">
      <c r="B18" s="5" t="s">
        <v>363</v>
      </c>
      <c r="C18" s="6" t="s">
        <v>364</v>
      </c>
      <c r="D18" s="6" t="s">
        <v>301</v>
      </c>
      <c r="E18" s="6" t="s">
        <v>302</v>
      </c>
      <c r="F18" s="6" t="s">
        <v>303</v>
      </c>
      <c r="G18" s="6"/>
      <c r="H18" s="6"/>
      <c r="I18" s="6"/>
      <c r="J18" s="6"/>
      <c r="K18" s="6"/>
      <c r="L18" s="6"/>
      <c r="M18" s="6"/>
      <c r="N18" s="6"/>
    </row>
    <row r="19" customFormat="false" ht="15" hidden="false" customHeight="false" outlineLevel="0" collapsed="false">
      <c r="B19" s="7" t="s">
        <v>365</v>
      </c>
      <c r="C19" s="10" t="n">
        <f aca="false">SUMPRODUCT(C7:C12,E7:E12)/C13</f>
        <v>202.07</v>
      </c>
      <c r="D19" s="10" t="n">
        <f aca="false">SUMPRODUCT(C7:C12,F7:F12)/C13</f>
        <v>300.84</v>
      </c>
      <c r="E19" s="10" t="n">
        <f aca="false">SUMPRODUCT(C7:C12,G7:G12)/C13</f>
        <v>437.7</v>
      </c>
      <c r="F19" s="10" t="n">
        <f aca="false">SUMPRODUCT(C7:C12,H7:H12)/C13</f>
        <v>651.2</v>
      </c>
    </row>
    <row r="20" customFormat="false" ht="15" hidden="false" customHeight="false" outlineLevel="0" collapsed="false">
      <c r="B20" s="7" t="s">
        <v>366</v>
      </c>
      <c r="C20" s="27" t="n">
        <f aca="false" t="array" ref="C20:C20">MIN(IF(SUMIF(E7:E12,"&lt;="&amp;E7:E12,C7:C12)&gt;=0.9*C13,E7:E12,100000))</f>
        <v>365</v>
      </c>
      <c r="D20" s="27" t="n">
        <f aca="false" t="array" ref="D20:D20">MIN(IF(SUMIF(F7:F12,"&lt;="&amp;F7:F12,C7:C12)&gt;=0.9*C13,F7:F12,100000))</f>
        <v>540</v>
      </c>
      <c r="E20" s="27" t="n">
        <f aca="false" t="array" ref="E20:E20">MIN(IF(SUMIF(G7:G12,"&lt;="&amp;G7:G12,C7:C12)&gt;=0.9*C13,G7:G12,100000))</f>
        <v>730</v>
      </c>
      <c r="F20" s="27" t="n">
        <f aca="false" t="array" ref="F20:F20">MIN(IF(SUMIF(H7:H12,"&lt;="&amp;H7:H12,C7:C12)&gt;=0.9*C13,H7:H12,100000))</f>
        <v>1095</v>
      </c>
    </row>
    <row r="21" customFormat="false" ht="15" hidden="false" customHeight="false" outlineLevel="0" collapsed="false">
      <c r="B21" s="7" t="s">
        <v>367</v>
      </c>
      <c r="C21" s="16" t="n">
        <f aca="false">SUMIF(E7:E12,"&lt;=30",C7:C12)/C13</f>
        <v>0.16</v>
      </c>
      <c r="D21" s="16" t="n">
        <f aca="false">SUMIF(F7:F12,"&lt;=30",C7:C12)/C13</f>
        <v>0.16</v>
      </c>
      <c r="E21" s="16" t="n">
        <f aca="false">SUMIF(G7:G12,"&lt;=30",C7:C12)/C13</f>
        <v>0.16</v>
      </c>
      <c r="F21" s="16" t="n">
        <f aca="false">SUMIF(H7:H12,"&lt;=30",C7:C12)/C13</f>
        <v>0.16</v>
      </c>
    </row>
    <row r="22" customFormat="false" ht="15" hidden="false" customHeight="false" outlineLevel="0" collapsed="false">
      <c r="B22" s="7" t="s">
        <v>368</v>
      </c>
      <c r="C22" s="11" t="n">
        <f aca="false">SUMIF(E7:E12,"&lt;=30",C7:C12)/C13</f>
        <v>0.16</v>
      </c>
      <c r="D22" s="11" t="n">
        <f aca="false">SUMPRODUCT((F7:F12&lt;=30)*C7:C12*(1-K7:K12))/C13</f>
        <v>0.1589</v>
      </c>
      <c r="E22" s="11" t="n">
        <f aca="false">SUMPRODUCT((G7:G12&lt;=30)*C7:C12*(1-L7:L12))/C13</f>
        <v>0.1567</v>
      </c>
      <c r="F22" s="11" t="n">
        <f aca="false">SUMPRODUCT((H7:H12&lt;=30)*C7:C12*(1-M7:M12))/C13</f>
        <v>0.1545</v>
      </c>
    </row>
    <row r="23" customFormat="false" ht="22.35" hidden="false" customHeight="false" outlineLevel="0" collapsed="false">
      <c r="B23" s="7" t="s">
        <v>369</v>
      </c>
      <c r="C23" s="16" t="n">
        <f aca="false">Cap_normal*2/AN_depart</f>
        <v>0.3886</v>
      </c>
      <c r="D23" s="16" t="n">
        <f aca="false">Cap_normal*2*(1-Paramètres!$C$149)/(1-Paramètres!$C$148)/AN_depart</f>
        <v>0.277571428571429</v>
      </c>
      <c r="E23" s="16" t="n">
        <f aca="false">Cap_normal*2*(1-Paramètres!$C$150)/(1-Paramètres!$C$148)/AN_depart</f>
        <v>0</v>
      </c>
      <c r="F23" s="16" t="n">
        <f aca="false">Cap_normal*2*(1-Paramètres!$C$151)/(1-Paramètres!$C$148)/AN_depart</f>
        <v>0</v>
      </c>
    </row>
    <row r="25" customFormat="false" ht="18" hidden="false" customHeight="true" outlineLevel="0" collapsed="false">
      <c r="B25" s="3" t="s">
        <v>370</v>
      </c>
      <c r="C25" s="4"/>
      <c r="D25" s="4"/>
      <c r="E25" s="4"/>
      <c r="F25" s="4"/>
      <c r="G25" s="4"/>
      <c r="H25" s="4"/>
      <c r="I25" s="4"/>
      <c r="J25" s="4"/>
      <c r="K25" s="4"/>
      <c r="L25" s="4"/>
      <c r="M25" s="4"/>
      <c r="N25" s="4"/>
    </row>
    <row r="26" customFormat="false" ht="15.75" hidden="false" customHeight="true" outlineLevel="0" collapsed="false">
      <c r="B26" s="5" t="s">
        <v>371</v>
      </c>
      <c r="C26" s="6" t="s">
        <v>364</v>
      </c>
      <c r="D26" s="6" t="s">
        <v>301</v>
      </c>
      <c r="E26" s="6" t="s">
        <v>302</v>
      </c>
      <c r="F26" s="6" t="s">
        <v>303</v>
      </c>
      <c r="G26" s="6" t="s">
        <v>372</v>
      </c>
      <c r="H26" s="6"/>
      <c r="I26" s="6"/>
      <c r="J26" s="6"/>
      <c r="K26" s="6"/>
      <c r="L26" s="6"/>
      <c r="M26" s="6"/>
      <c r="N26" s="6"/>
    </row>
    <row r="27" customFormat="false" ht="15" hidden="false" customHeight="false" outlineLevel="0" collapsed="false">
      <c r="B27" s="7" t="s">
        <v>373</v>
      </c>
      <c r="C27" s="16" t="n">
        <f aca="false">SUMPRODUCT((E7:E12&gt;0)*(E7:E12&lt;=1)*C7:C12)/C13</f>
        <v>0.05</v>
      </c>
      <c r="D27" s="16" t="n">
        <f aca="false">SUMPRODUCT((F7:F12&gt;0)*(F7:F12&lt;=1)*C7:C12)/C13</f>
        <v>0.05</v>
      </c>
      <c r="E27" s="16" t="n">
        <f aca="false">SUMPRODUCT((G7:G12&gt;0)*(G7:G12&lt;=1)*C7:C12)/C13</f>
        <v>0.05</v>
      </c>
      <c r="F27" s="16" t="n">
        <f aca="false">SUMPRODUCT((H7:H12&gt;0)*(H7:H12&lt;=1)*C7:C12)/C13</f>
        <v>0.05</v>
      </c>
      <c r="G27" s="9" t="s">
        <v>374</v>
      </c>
    </row>
    <row r="28" customFormat="false" ht="15" hidden="false" customHeight="false" outlineLevel="0" collapsed="false">
      <c r="B28" s="7" t="s">
        <v>375</v>
      </c>
      <c r="C28" s="16" t="n">
        <f aca="false">SUMPRODUCT((E7:E12&gt;1)*(E7:E12&lt;=7)*C7:C12)/C13</f>
        <v>0.11</v>
      </c>
      <c r="D28" s="16" t="n">
        <f aca="false">SUMPRODUCT((F7:F12&gt;1)*(F7:F12&lt;=7)*C7:C12)/C13</f>
        <v>0</v>
      </c>
      <c r="E28" s="16" t="n">
        <f aca="false">SUMPRODUCT((G7:G12&gt;1)*(G7:G12&lt;=7)*C7:C12)/C13</f>
        <v>0</v>
      </c>
      <c r="F28" s="16" t="n">
        <f aca="false">SUMPRODUCT((H7:H12&gt;1)*(H7:H12&lt;=7)*C7:C12)/C13</f>
        <v>0</v>
      </c>
      <c r="G28" s="9" t="s">
        <v>376</v>
      </c>
    </row>
    <row r="29" customFormat="false" ht="15" hidden="false" customHeight="false" outlineLevel="0" collapsed="false">
      <c r="B29" s="7" t="s">
        <v>377</v>
      </c>
      <c r="C29" s="16" t="n">
        <f aca="false">SUMPRODUCT((E7:E12&gt;7)*(E7:E12&lt;=30)*C7:C12)/C13</f>
        <v>0</v>
      </c>
      <c r="D29" s="16" t="n">
        <f aca="false">SUMPRODUCT((F7:F12&gt;7)*(F7:F12&lt;=30)*C7:C12)/C13</f>
        <v>0.11</v>
      </c>
      <c r="E29" s="16" t="n">
        <f aca="false">SUMPRODUCT((G7:G12&gt;7)*(G7:G12&lt;=30)*C7:C12)/C13</f>
        <v>0.11</v>
      </c>
      <c r="F29" s="16" t="n">
        <f aca="false">SUMPRODUCT((H7:H12&gt;7)*(H7:H12&lt;=30)*C7:C12)/C13</f>
        <v>0.11</v>
      </c>
      <c r="G29" s="9" t="s">
        <v>378</v>
      </c>
    </row>
    <row r="30" customFormat="false" ht="15" hidden="false" customHeight="false" outlineLevel="0" collapsed="false">
      <c r="B30" s="7" t="s">
        <v>379</v>
      </c>
      <c r="C30" s="16" t="n">
        <f aca="false">SUMPRODUCT((E7:E12&gt;30)*(E7:E12&lt;=90)*C7:C12)/C13</f>
        <v>0</v>
      </c>
      <c r="D30" s="16" t="n">
        <f aca="false">SUMPRODUCT((F7:F12&gt;30)*(F7:F12&lt;=90)*C7:C12)/C13</f>
        <v>0</v>
      </c>
      <c r="E30" s="16" t="n">
        <f aca="false">SUMPRODUCT((G7:G12&gt;30)*(G7:G12&lt;=90)*C7:C12)/C13</f>
        <v>0</v>
      </c>
      <c r="F30" s="16" t="n">
        <f aca="false">SUMPRODUCT((H7:H12&gt;30)*(H7:H12&lt;=90)*C7:C12)/C13</f>
        <v>0</v>
      </c>
      <c r="G30" s="9" t="s">
        <v>380</v>
      </c>
    </row>
    <row r="31" customFormat="false" ht="15" hidden="false" customHeight="false" outlineLevel="0" collapsed="false">
      <c r="B31" s="7" t="s">
        <v>381</v>
      </c>
      <c r="C31" s="16" t="n">
        <f aca="false">SUMPRODUCT((E7:E12&gt;90)*(E7:E12&lt;=180)*C7:C12)/C13</f>
        <v>0.49</v>
      </c>
      <c r="D31" s="16" t="n">
        <f aca="false">SUMPRODUCT((F7:F12&gt;90)*(F7:F12&lt;=180)*C7:C12)/C13</f>
        <v>0.245</v>
      </c>
      <c r="E31" s="16" t="n">
        <f aca="false">SUMPRODUCT((G7:G12&gt;90)*(G7:G12&lt;=180)*C7:C12)/C13</f>
        <v>0</v>
      </c>
      <c r="F31" s="16" t="n">
        <f aca="false">SUMPRODUCT((H7:H12&gt;90)*(H7:H12&lt;=180)*C7:C12)/C13</f>
        <v>0</v>
      </c>
      <c r="G31" s="9" t="s">
        <v>382</v>
      </c>
    </row>
    <row r="32" customFormat="false" ht="15" hidden="false" customHeight="false" outlineLevel="0" collapsed="false">
      <c r="B32" s="7" t="s">
        <v>383</v>
      </c>
      <c r="C32" s="16" t="n">
        <f aca="false">SUMPRODUCT((E7:E12&gt;180)*(E7:E12&lt;=365)*C7:C12)/C13</f>
        <v>0.35</v>
      </c>
      <c r="D32" s="16" t="n">
        <f aca="false">SUMPRODUCT((F7:F12&gt;180)*(F7:F12&lt;=365)*C7:C12)/C13</f>
        <v>0.245</v>
      </c>
      <c r="E32" s="16" t="n">
        <f aca="false">SUMPRODUCT((G7:G12&gt;180)*(G7:G12&lt;=365)*C7:C12)/C13</f>
        <v>0.49</v>
      </c>
      <c r="F32" s="16" t="n">
        <f aca="false">SUMPRODUCT((H7:H12&gt;180)*(H7:H12&lt;=365)*C7:C12)/C13</f>
        <v>0</v>
      </c>
      <c r="G32" s="9" t="s">
        <v>384</v>
      </c>
    </row>
    <row r="33" customFormat="false" ht="22.35" hidden="false" customHeight="false" outlineLevel="0" collapsed="false">
      <c r="B33" s="7" t="s">
        <v>385</v>
      </c>
      <c r="C33" s="16" t="n">
        <f aca="false">SUMPRODUCT((E7:E12&gt;365)*(E7:E12&lt;=100000)*C7:C12)/C13</f>
        <v>0</v>
      </c>
      <c r="D33" s="16" t="n">
        <f aca="false">SUMPRODUCT((F7:F12&gt;365)*(F7:F12&lt;=100000)*C7:C12)/C13</f>
        <v>0.35</v>
      </c>
      <c r="E33" s="16" t="n">
        <f aca="false">SUMPRODUCT((G7:G12&gt;365)*(G7:G12&lt;=100000)*C7:C12)/C13</f>
        <v>0.35</v>
      </c>
      <c r="F33" s="16" t="n">
        <f aca="false">SUMPRODUCT((H7:H12&gt;365)*(H7:H12&lt;=100000)*C7:C12)/C13</f>
        <v>0.84</v>
      </c>
      <c r="G33" s="9" t="s">
        <v>386</v>
      </c>
    </row>
    <row r="34" customFormat="false" ht="22.35" hidden="false" customHeight="false" outlineLevel="0" collapsed="false">
      <c r="B34" s="7" t="s">
        <v>202</v>
      </c>
      <c r="C34" s="11" t="n">
        <f aca="false">SUM(C27:C33)</f>
        <v>1</v>
      </c>
      <c r="D34" s="11" t="n">
        <f aca="false">SUM(D27:D33)</f>
        <v>1</v>
      </c>
      <c r="E34" s="11" t="n">
        <f aca="false">SUM(E27:E33)</f>
        <v>1</v>
      </c>
      <c r="F34" s="11" t="n">
        <f aca="false">SUM(F27:F33)</f>
        <v>1</v>
      </c>
      <c r="G34" s="9" t="s">
        <v>203</v>
      </c>
    </row>
    <row r="36" customFormat="false" ht="43.5" hidden="false" customHeight="true" outlineLevel="0" collapsed="false">
      <c r="B36" s="20" t="s">
        <v>387</v>
      </c>
      <c r="C36" s="20"/>
      <c r="D36" s="20"/>
      <c r="E36" s="20"/>
      <c r="F36" s="20"/>
      <c r="G36" s="20"/>
      <c r="H36" s="20"/>
      <c r="I36" s="20"/>
      <c r="J36" s="20"/>
      <c r="K36" s="20"/>
      <c r="L36" s="20"/>
      <c r="M36" s="20"/>
      <c r="N36" s="20"/>
    </row>
  </sheetData>
  <mergeCells count="4">
    <mergeCell ref="B3:N3"/>
    <mergeCell ref="J14:N14"/>
    <mergeCell ref="B17:N17"/>
    <mergeCell ref="B36:N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6" min="3" style="0" width="14"/>
    <col collapsed="false" customWidth="true" hidden="false" outlineLevel="0" max="7" min="7" style="0" width="40"/>
  </cols>
  <sheetData>
    <row r="2" customFormat="false" ht="15" hidden="false" customHeight="false" outlineLevel="0" collapsed="false">
      <c r="B2" s="1" t="s">
        <v>388</v>
      </c>
    </row>
    <row r="3" customFormat="false" ht="42" hidden="false" customHeight="true" outlineLevel="0" collapsed="false">
      <c r="B3" s="2" t="s">
        <v>389</v>
      </c>
      <c r="C3" s="2"/>
      <c r="D3" s="2"/>
      <c r="E3" s="2"/>
      <c r="F3" s="2"/>
      <c r="G3" s="2"/>
    </row>
    <row r="5" customFormat="false" ht="18" hidden="false" customHeight="true" outlineLevel="0" collapsed="false">
      <c r="B5" s="3" t="s">
        <v>390</v>
      </c>
      <c r="C5" s="4"/>
      <c r="D5" s="4"/>
      <c r="E5" s="4"/>
      <c r="F5" s="4"/>
      <c r="G5" s="4"/>
    </row>
    <row r="6" customFormat="false" ht="15.75" hidden="false" customHeight="true" outlineLevel="0" collapsed="false">
      <c r="B6" s="5" t="s">
        <v>391</v>
      </c>
      <c r="C6" s="6" t="s">
        <v>392</v>
      </c>
      <c r="D6" s="6" t="s">
        <v>393</v>
      </c>
      <c r="E6" s="6" t="s">
        <v>394</v>
      </c>
      <c r="F6" s="6" t="s">
        <v>395</v>
      </c>
      <c r="G6" s="6" t="s">
        <v>53</v>
      </c>
    </row>
    <row r="7" customFormat="false" ht="15" hidden="false" customHeight="false" outlineLevel="0" collapsed="false">
      <c r="B7" s="7" t="s">
        <v>396</v>
      </c>
      <c r="C7" s="27" t="n">
        <f aca="false">Preavis_j</f>
        <v>91</v>
      </c>
      <c r="D7" s="27" t="n">
        <f aca="false">Preavis_j</f>
        <v>91</v>
      </c>
      <c r="E7" s="27" t="n">
        <f aca="false">Preavis_j</f>
        <v>91</v>
      </c>
      <c r="F7" s="27" t="n">
        <f aca="false">Preavis_max_j</f>
        <v>180</v>
      </c>
      <c r="G7" s="9" t="s">
        <v>397</v>
      </c>
    </row>
    <row r="8" customFormat="false" ht="15" hidden="false" customHeight="false" outlineLevel="0" collapsed="false">
      <c r="B8" s="7" t="s">
        <v>398</v>
      </c>
      <c r="C8" s="27" t="n">
        <v>0</v>
      </c>
      <c r="D8" s="27" t="n">
        <f aca="false">ROUND(365/Rachats_par_an/2,0)</f>
        <v>91</v>
      </c>
      <c r="E8" s="27" t="n">
        <f aca="false">ROUND(365/Rachats_par_an,0)</f>
        <v>183</v>
      </c>
      <c r="F8" s="27" t="n">
        <f aca="false">ROUND(365/Rachats_par_an/2,0)</f>
        <v>91</v>
      </c>
      <c r="G8" s="9" t="s">
        <v>399</v>
      </c>
    </row>
    <row r="9" customFormat="false" ht="15" hidden="false" customHeight="false" outlineLevel="0" collapsed="false">
      <c r="B9" s="7" t="s">
        <v>400</v>
      </c>
      <c r="C9" s="27" t="n">
        <f aca="false">Reglement_cal</f>
        <v>49</v>
      </c>
      <c r="D9" s="27" t="n">
        <f aca="false">Reglement_cal</f>
        <v>49</v>
      </c>
      <c r="E9" s="27" t="n">
        <f aca="false">Reglement_cal</f>
        <v>49</v>
      </c>
      <c r="F9" s="27" t="n">
        <f aca="false">Reglement_cal</f>
        <v>49</v>
      </c>
      <c r="G9" s="9" t="s">
        <v>401</v>
      </c>
    </row>
    <row r="10" customFormat="false" ht="15" hidden="false" customHeight="false" outlineLevel="0" collapsed="false">
      <c r="B10" s="7" t="s">
        <v>402</v>
      </c>
      <c r="C10" s="10" t="n">
        <f aca="false">SUM(C7:C9)</f>
        <v>140</v>
      </c>
      <c r="D10" s="10" t="n">
        <f aca="false">SUM(D7:D9)</f>
        <v>231</v>
      </c>
      <c r="E10" s="10" t="n">
        <f aca="false">SUM(E7:E9)</f>
        <v>323</v>
      </c>
      <c r="F10" s="10" t="n">
        <f aca="false">SUM(F7:F9)</f>
        <v>320</v>
      </c>
      <c r="G10" s="9" t="s">
        <v>403</v>
      </c>
    </row>
    <row r="11" customFormat="false" ht="22.35" hidden="false" customHeight="false" outlineLevel="0" collapsed="false">
      <c r="B11" s="7" t="s">
        <v>404</v>
      </c>
      <c r="C11" s="16" t="n">
        <f aca="false">Part_bloquee</f>
        <v>0.5</v>
      </c>
      <c r="G11" s="9" t="s">
        <v>405</v>
      </c>
    </row>
    <row r="12" customFormat="false" ht="22.35" hidden="false" customHeight="false" outlineLevel="0" collapsed="false">
      <c r="B12" s="7" t="s">
        <v>406</v>
      </c>
      <c r="C12" s="10" t="n">
        <f aca="false">(1-Part_bloquee)*LTTL_moy+Part_bloquee*(365+LTTL_moy)</f>
        <v>413.5</v>
      </c>
      <c r="G12" s="9" t="s">
        <v>75</v>
      </c>
    </row>
    <row r="14" customFormat="false" ht="18" hidden="false" customHeight="true" outlineLevel="0" collapsed="false">
      <c r="B14" s="3" t="s">
        <v>407</v>
      </c>
      <c r="C14" s="4"/>
      <c r="D14" s="4"/>
      <c r="E14" s="4"/>
      <c r="F14" s="4"/>
      <c r="G14" s="4"/>
    </row>
    <row r="15" customFormat="false" ht="15.75" hidden="false" customHeight="true" outlineLevel="0" collapsed="false">
      <c r="B15" s="5" t="s">
        <v>363</v>
      </c>
      <c r="C15" s="6" t="s">
        <v>364</v>
      </c>
      <c r="D15" s="6" t="s">
        <v>301</v>
      </c>
      <c r="E15" s="6" t="s">
        <v>302</v>
      </c>
      <c r="F15" s="6" t="s">
        <v>303</v>
      </c>
      <c r="G15" s="6" t="s">
        <v>4</v>
      </c>
    </row>
    <row r="16" customFormat="false" ht="15" hidden="false" customHeight="false" outlineLevel="0" collapsed="false">
      <c r="B16" s="7" t="s">
        <v>408</v>
      </c>
      <c r="C16" s="27" t="n">
        <f aca="false">WATTL_N</f>
        <v>202.07</v>
      </c>
      <c r="D16" s="27" t="n">
        <f aca="false">WATTL_S2</f>
        <v>300.84</v>
      </c>
      <c r="E16" s="27" t="n">
        <f aca="false">WATTL_S3</f>
        <v>437.7</v>
      </c>
      <c r="F16" s="27" t="n">
        <f aca="false">WATTL_S4</f>
        <v>651.2</v>
      </c>
      <c r="G16" s="9" t="s">
        <v>409</v>
      </c>
    </row>
    <row r="17" customFormat="false" ht="15" hidden="false" customHeight="false" outlineLevel="0" collapsed="false">
      <c r="B17" s="7" t="s">
        <v>410</v>
      </c>
      <c r="C17" s="27" t="n">
        <f aca="false">LTTL_moy</f>
        <v>231</v>
      </c>
      <c r="D17" s="27" t="n">
        <f aca="false">LTTL_moy</f>
        <v>231</v>
      </c>
      <c r="E17" s="27" t="n">
        <f aca="false">LTTL_moy</f>
        <v>231</v>
      </c>
      <c r="F17" s="27" t="n">
        <f aca="false">LTTL_prol</f>
        <v>320</v>
      </c>
      <c r="G17" s="9" t="s">
        <v>411</v>
      </c>
    </row>
    <row r="18" customFormat="false" ht="15" hidden="false" customHeight="false" outlineLevel="0" collapsed="false">
      <c r="B18" s="7" t="s">
        <v>412</v>
      </c>
      <c r="C18" s="10" t="n">
        <f aca="false">C16-C17</f>
        <v>-28.93</v>
      </c>
      <c r="D18" s="10" t="n">
        <f aca="false">D16-D17</f>
        <v>69.84</v>
      </c>
      <c r="E18" s="10" t="n">
        <f aca="false">E16-E17</f>
        <v>206.7</v>
      </c>
      <c r="F18" s="10" t="n">
        <f aca="false">F16-F17</f>
        <v>331.2</v>
      </c>
      <c r="G18" s="9" t="s">
        <v>413</v>
      </c>
    </row>
    <row r="19" customFormat="false" ht="22.35" hidden="false" customHeight="false" outlineLevel="0" collapsed="false">
      <c r="B19" s="7" t="s">
        <v>414</v>
      </c>
      <c r="C19" s="38" t="str">
        <f aca="false">IF(C18&gt;250,"Rouge",IF(C18&gt;100,"Orange","Vert"))</f>
        <v>Vert</v>
      </c>
      <c r="D19" s="38" t="str">
        <f aca="false">IF(D18&gt;250,"Rouge",IF(D18&gt;100,"Orange","Vert"))</f>
        <v>Vert</v>
      </c>
      <c r="E19" s="38" t="str">
        <f aca="false">IF(E18&gt;250,"Rouge",IF(E18&gt;100,"Orange","Vert"))</f>
        <v>Orange</v>
      </c>
      <c r="F19" s="38" t="str">
        <f aca="false">IF(F18&gt;250,"Rouge",IF(F18&gt;100,"Orange","Vert"))</f>
        <v>Rouge</v>
      </c>
      <c r="G19" s="9" t="s">
        <v>415</v>
      </c>
    </row>
    <row r="20" customFormat="false" ht="22.35" hidden="false" customHeight="false" outlineLevel="0" collapsed="false">
      <c r="B20" s="7" t="s">
        <v>416</v>
      </c>
      <c r="C20" s="39" t="n">
        <f aca="false">SUMPRODUCT((ALP!G7:G12&lt;=LTTL_max)*ALP!C7:C12*(1-ALP!L7:L12))/(2*Gate*AN_depart)</f>
        <v>1.567</v>
      </c>
      <c r="G20" s="9" t="s">
        <v>417</v>
      </c>
    </row>
    <row r="22" customFormat="false" ht="18" hidden="false" customHeight="true" outlineLevel="0" collapsed="false">
      <c r="B22" s="3" t="s">
        <v>418</v>
      </c>
      <c r="C22" s="4"/>
      <c r="D22" s="4"/>
      <c r="E22" s="4"/>
      <c r="F22" s="4"/>
      <c r="G22" s="4"/>
    </row>
    <row r="23" customFormat="false" ht="15.75" hidden="false" customHeight="true" outlineLevel="0" collapsed="false">
      <c r="B23" s="5" t="s">
        <v>371</v>
      </c>
      <c r="C23" s="6" t="s">
        <v>364</v>
      </c>
      <c r="D23" s="6" t="s">
        <v>419</v>
      </c>
      <c r="E23" s="6" t="s">
        <v>420</v>
      </c>
      <c r="F23" s="6" t="s">
        <v>395</v>
      </c>
      <c r="G23" s="6" t="s">
        <v>372</v>
      </c>
    </row>
    <row r="24" customFormat="false" ht="15" hidden="false" customHeight="false" outlineLevel="0" collapsed="false">
      <c r="B24" s="7" t="s">
        <v>373</v>
      </c>
      <c r="C24" s="16" t="n">
        <v>0</v>
      </c>
      <c r="D24" s="16" t="n">
        <v>0</v>
      </c>
      <c r="E24" s="16" t="n">
        <v>0</v>
      </c>
      <c r="F24" s="16" t="n">
        <v>0</v>
      </c>
      <c r="G24" s="9" t="s">
        <v>374</v>
      </c>
    </row>
    <row r="25" customFormat="false" ht="15" hidden="false" customHeight="false" outlineLevel="0" collapsed="false">
      <c r="B25" s="7" t="s">
        <v>375</v>
      </c>
      <c r="C25" s="16" t="n">
        <v>0</v>
      </c>
      <c r="D25" s="16" t="n">
        <v>0</v>
      </c>
      <c r="E25" s="16" t="n">
        <v>0</v>
      </c>
      <c r="F25" s="16" t="n">
        <v>0</v>
      </c>
      <c r="G25" s="9" t="s">
        <v>376</v>
      </c>
    </row>
    <row r="26" customFormat="false" ht="15" hidden="false" customHeight="false" outlineLevel="0" collapsed="false">
      <c r="B26" s="7" t="s">
        <v>377</v>
      </c>
      <c r="C26" s="16" t="n">
        <v>0</v>
      </c>
      <c r="D26" s="16" t="n">
        <v>0</v>
      </c>
      <c r="E26" s="16" t="n">
        <v>0</v>
      </c>
      <c r="F26" s="16" t="n">
        <v>0</v>
      </c>
      <c r="G26" s="9" t="s">
        <v>378</v>
      </c>
    </row>
    <row r="27" customFormat="false" ht="15" hidden="false" customHeight="false" outlineLevel="0" collapsed="false">
      <c r="B27" s="7" t="s">
        <v>379</v>
      </c>
      <c r="C27" s="16" t="n">
        <v>0</v>
      </c>
      <c r="D27" s="16" t="n">
        <v>0</v>
      </c>
      <c r="E27" s="16" t="n">
        <v>0</v>
      </c>
      <c r="F27" s="16" t="n">
        <v>0</v>
      </c>
      <c r="G27" s="9" t="s">
        <v>380</v>
      </c>
    </row>
    <row r="28" customFormat="false" ht="15" hidden="false" customHeight="false" outlineLevel="0" collapsed="false">
      <c r="B28" s="7" t="s">
        <v>381</v>
      </c>
      <c r="C28" s="16" t="n">
        <f aca="false">(1-Part_bloquee)*0.5</f>
        <v>0.25</v>
      </c>
      <c r="D28" s="16" t="n">
        <f aca="false">MIN(Gate,(1-Part_bloquee)*0.5)</f>
        <v>0.05</v>
      </c>
      <c r="E28" s="16" t="n">
        <v>0</v>
      </c>
      <c r="F28" s="16" t="n">
        <v>0</v>
      </c>
      <c r="G28" s="9" t="s">
        <v>421</v>
      </c>
    </row>
    <row r="29" customFormat="false" ht="15" hidden="false" customHeight="false" outlineLevel="0" collapsed="false">
      <c r="B29" s="7" t="s">
        <v>383</v>
      </c>
      <c r="C29" s="16" t="n">
        <f aca="false">(1-Part_bloquee)*0.5</f>
        <v>0.25</v>
      </c>
      <c r="D29" s="16" t="n">
        <f aca="false">MIN(Gate,(1-Part_bloquee)*0.5)</f>
        <v>0.05</v>
      </c>
      <c r="E29" s="16" t="n">
        <f aca="false">MIN(Gate,(1-Part_bloquee))</f>
        <v>0.05</v>
      </c>
      <c r="F29" s="16" t="n">
        <f aca="false">MIN(2*Gate,(1-Part_bloquee))</f>
        <v>0.1</v>
      </c>
      <c r="G29" s="9" t="s">
        <v>422</v>
      </c>
    </row>
    <row r="30" customFormat="false" ht="22.35" hidden="false" customHeight="false" outlineLevel="0" collapsed="false">
      <c r="B30" s="7" t="s">
        <v>385</v>
      </c>
      <c r="C30" s="16" t="n">
        <f aca="false">1-SUM(C24:C29)</f>
        <v>0.5</v>
      </c>
      <c r="D30" s="16" t="n">
        <f aca="false">1-SUM(D24:D29)</f>
        <v>0.9</v>
      </c>
      <c r="E30" s="16" t="n">
        <f aca="false">1-SUM(E24:E29)</f>
        <v>0.95</v>
      </c>
      <c r="F30" s="16" t="n">
        <f aca="false">1-SUM(F24:F29)</f>
        <v>0.9</v>
      </c>
      <c r="G30" s="9" t="s">
        <v>423</v>
      </c>
    </row>
    <row r="31" customFormat="false" ht="15" hidden="false" customHeight="false" outlineLevel="0" collapsed="false">
      <c r="B31" s="7" t="s">
        <v>202</v>
      </c>
      <c r="C31" s="11" t="n">
        <f aca="false">SUM(C24:C30)</f>
        <v>1</v>
      </c>
      <c r="D31" s="11" t="n">
        <f aca="false">SUM(D24:D30)</f>
        <v>1</v>
      </c>
      <c r="E31" s="11" t="n">
        <f aca="false">SUM(E24:E30)</f>
        <v>1</v>
      </c>
      <c r="F31" s="11" t="n">
        <f aca="false">SUM(F24:F30)</f>
        <v>1</v>
      </c>
      <c r="G31" s="9"/>
    </row>
    <row r="32" customFormat="false" ht="30" hidden="false" customHeight="true" outlineLevel="0" collapsed="false">
      <c r="B32" s="2" t="s">
        <v>424</v>
      </c>
      <c r="C32" s="2"/>
      <c r="D32" s="2"/>
      <c r="E32" s="2"/>
      <c r="F32" s="2"/>
      <c r="G32" s="2"/>
    </row>
  </sheetData>
  <mergeCells count="2">
    <mergeCell ref="B3:G3"/>
    <mergeCell ref="B32:G32"/>
  </mergeCells>
  <conditionalFormatting sqref="C19:F19">
    <cfRule type="expression" priority="2" aboveAverage="0" equalAverage="0" bottom="0" percent="0" rank="0" text="" dxfId="0">
      <formula>LEFT(C19,4)="Vert"</formula>
    </cfRule>
    <cfRule type="expression" priority="3" aboveAverage="0" equalAverage="0" bottom="0" percent="0" rank="0" text="" dxfId="1">
      <formula>LEFT(C19,6)="Orange"</formula>
    </cfRule>
    <cfRule type="expression" priority="4" aboveAverage="0" equalAverage="0" bottom="0" percent="0" rank="0" text="" dxfId="2">
      <formula>LEFT(C19,5)="Rouge"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K3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10" min="3" style="0" width="13"/>
    <col collapsed="false" customWidth="true" hidden="false" outlineLevel="0" max="11" min="11" style="0" width="40"/>
  </cols>
  <sheetData>
    <row r="2" customFormat="false" ht="15" hidden="false" customHeight="false" outlineLevel="0" collapsed="false">
      <c r="B2" s="1" t="s">
        <v>425</v>
      </c>
    </row>
    <row r="3" customFormat="false" ht="42" hidden="false" customHeight="true" outlineLevel="0" collapsed="false">
      <c r="B3" s="20" t="s">
        <v>426</v>
      </c>
      <c r="C3" s="20"/>
      <c r="D3" s="20"/>
      <c r="E3" s="20"/>
      <c r="F3" s="20"/>
      <c r="G3" s="20"/>
      <c r="H3" s="20"/>
      <c r="I3" s="20"/>
      <c r="J3" s="20"/>
      <c r="K3" s="20"/>
    </row>
    <row r="5" customFormat="false" ht="18" hidden="false" customHeight="true" outlineLevel="0" collapsed="false">
      <c r="B5" s="3" t="s">
        <v>427</v>
      </c>
      <c r="C5" s="4"/>
      <c r="D5" s="4"/>
      <c r="E5" s="4"/>
      <c r="F5" s="4"/>
      <c r="G5" s="4"/>
      <c r="H5" s="4"/>
      <c r="I5" s="4"/>
      <c r="J5" s="4"/>
      <c r="K5" s="4"/>
    </row>
    <row r="6" customFormat="false" ht="15.75" hidden="false" customHeight="true" outlineLevel="0" collapsed="false">
      <c r="B6" s="5" t="s">
        <v>428</v>
      </c>
      <c r="C6" s="6" t="s">
        <v>429</v>
      </c>
      <c r="D6" s="6" t="s">
        <v>430</v>
      </c>
      <c r="E6" s="6" t="s">
        <v>431</v>
      </c>
      <c r="F6" s="6" t="s">
        <v>432</v>
      </c>
      <c r="G6" s="6" t="s">
        <v>433</v>
      </c>
      <c r="H6" s="6" t="s">
        <v>434</v>
      </c>
      <c r="I6" s="6" t="s">
        <v>435</v>
      </c>
      <c r="J6" s="6" t="s">
        <v>436</v>
      </c>
      <c r="K6" s="6" t="s">
        <v>437</v>
      </c>
    </row>
    <row r="7" customFormat="false" ht="15" hidden="false" customHeight="false" outlineLevel="0" collapsed="false">
      <c r="B7" s="7" t="s">
        <v>438</v>
      </c>
      <c r="C7" s="17" t="n">
        <f aca="false">EDATE(Date_depart,0)</f>
        <v>47118</v>
      </c>
      <c r="D7" s="17" t="n">
        <f aca="false">EDATE(Date_depart,6)</f>
        <v>47299</v>
      </c>
      <c r="E7" s="17" t="n">
        <f aca="false">EDATE(Date_depart,12)</f>
        <v>47483</v>
      </c>
      <c r="F7" s="17" t="n">
        <f aca="false">EDATE(Date_depart,18)</f>
        <v>47664</v>
      </c>
      <c r="G7" s="17" t="n">
        <f aca="false">EDATE(Date_depart,24)</f>
        <v>47848</v>
      </c>
      <c r="H7" s="17" t="n">
        <f aca="false">EDATE(Date_depart,30)</f>
        <v>48029</v>
      </c>
      <c r="I7" s="17" t="n">
        <f aca="false">EDATE(Date_depart,36)</f>
        <v>48213</v>
      </c>
      <c r="J7" s="17" t="n">
        <f aca="false">EDATE(Date_depart,42)</f>
        <v>48395</v>
      </c>
      <c r="K7" s="9"/>
    </row>
    <row r="8" customFormat="false" ht="15" hidden="false" customHeight="false" outlineLevel="0" collapsed="false">
      <c r="B8" s="7" t="s">
        <v>439</v>
      </c>
      <c r="C8" s="22" t="n">
        <f aca="false">AN_depart</f>
        <v>8000000</v>
      </c>
      <c r="D8" s="22" t="n">
        <f aca="false">C59</f>
        <v>8866702.29795316</v>
      </c>
      <c r="E8" s="22" t="n">
        <f aca="false">D59</f>
        <v>9846937.05644421</v>
      </c>
      <c r="F8" s="22" t="n">
        <f aca="false">E59</f>
        <v>10999514.7422269</v>
      </c>
      <c r="G8" s="22" t="n">
        <f aca="false">F59</f>
        <v>12286512.6996908</v>
      </c>
      <c r="H8" s="22" t="n">
        <f aca="false">G59</f>
        <v>13722953.9491569</v>
      </c>
      <c r="I8" s="22" t="n">
        <f aca="false">H59</f>
        <v>15325804.9761277</v>
      </c>
      <c r="J8" s="22" t="n">
        <f aca="false">I59</f>
        <v>17113947.5210691</v>
      </c>
      <c r="K8" s="9" t="s">
        <v>440</v>
      </c>
    </row>
    <row r="9" customFormat="false" ht="15" hidden="false" customHeight="false" outlineLevel="0" collapsed="false">
      <c r="B9" s="7" t="s">
        <v>441</v>
      </c>
      <c r="C9" s="22" t="n">
        <f aca="false">Collecte_norm*Paramètres!$C$133*C8</f>
        <v>800000</v>
      </c>
      <c r="D9" s="22" t="n">
        <f aca="false">Collecte_norm*Paramètres!$D$133*D8</f>
        <v>886670.229795316</v>
      </c>
      <c r="E9" s="22" t="n">
        <f aca="false">Collecte_norm*Paramètres!$E$133*E8</f>
        <v>984693.705644421</v>
      </c>
      <c r="F9" s="22" t="n">
        <f aca="false">Collecte_norm*Paramètres!$F$133*F8</f>
        <v>1099951.47422269</v>
      </c>
      <c r="G9" s="22" t="n">
        <f aca="false">Collecte_norm*Paramètres!$G$133*G8</f>
        <v>1228651.26996908</v>
      </c>
      <c r="H9" s="22" t="n">
        <f aca="false">Collecte_norm*Paramètres!$H$133*H8</f>
        <v>1372295.39491569</v>
      </c>
      <c r="I9" s="22" t="n">
        <f aca="false">Collecte_norm*Paramètres!$I$133*I8</f>
        <v>1532580.49761277</v>
      </c>
      <c r="J9" s="22" t="n">
        <f aca="false">Collecte_norm*Paramètres!$J$133*J8</f>
        <v>1711394.75210691</v>
      </c>
      <c r="K9" s="9" t="s">
        <v>442</v>
      </c>
    </row>
    <row r="10" customFormat="false" ht="22.35" hidden="false" customHeight="false" outlineLevel="0" collapsed="false">
      <c r="B10" s="7" t="s">
        <v>443</v>
      </c>
      <c r="C10" s="22" t="n">
        <f aca="false">(Paramètres!$C$128+Paramètres!$C$153*Top1)*C8</f>
        <v>160000</v>
      </c>
      <c r="D10" s="22" t="n">
        <f aca="false">(Paramètres!$D$128+Paramètres!$D$153*Top1)*D8</f>
        <v>177334.045959063</v>
      </c>
      <c r="E10" s="22" t="n">
        <f aca="false">(Paramètres!$E$128+Paramètres!$E$153*Top1)*E8</f>
        <v>196938.741128884</v>
      </c>
      <c r="F10" s="22" t="n">
        <f aca="false">(Paramètres!$F$128+Paramètres!$F$153*Top1)*F8</f>
        <v>219990.294844538</v>
      </c>
      <c r="G10" s="22" t="n">
        <f aca="false">(Paramètres!$G$128+Paramètres!$G$153*Top1)*G8</f>
        <v>245730.253993816</v>
      </c>
      <c r="H10" s="22" t="n">
        <f aca="false">(Paramètres!$H$128+Paramètres!$H$153*Top1)*H8</f>
        <v>274459.078983138</v>
      </c>
      <c r="I10" s="22" t="n">
        <f aca="false">(Paramètres!$I$128+Paramètres!$I$153*Top1)*I8</f>
        <v>306516.099522554</v>
      </c>
      <c r="J10" s="22" t="n">
        <f aca="false">(Paramètres!$J$128+Paramètres!$J$153*Top1)*J8</f>
        <v>342278.950421381</v>
      </c>
      <c r="K10" s="9" t="s">
        <v>444</v>
      </c>
    </row>
    <row r="11" customFormat="false" ht="15" hidden="false" customHeight="false" outlineLevel="0" collapsed="false">
      <c r="B11" s="7" t="s">
        <v>445</v>
      </c>
      <c r="C11" s="22" t="n">
        <f aca="false">0</f>
        <v>0</v>
      </c>
      <c r="D11" s="22" t="n">
        <f aca="false">C16</f>
        <v>0</v>
      </c>
      <c r="E11" s="22" t="n">
        <f aca="false">D16</f>
        <v>0</v>
      </c>
      <c r="F11" s="22" t="n">
        <f aca="false">E16</f>
        <v>0</v>
      </c>
      <c r="G11" s="22" t="n">
        <f aca="false">F16</f>
        <v>0</v>
      </c>
      <c r="H11" s="22" t="n">
        <f aca="false">G16</f>
        <v>0</v>
      </c>
      <c r="I11" s="22" t="n">
        <f aca="false">H16</f>
        <v>0</v>
      </c>
      <c r="J11" s="22" t="n">
        <f aca="false">I16</f>
        <v>0</v>
      </c>
      <c r="K11" s="9" t="s">
        <v>446</v>
      </c>
    </row>
    <row r="12" customFormat="false" ht="15" hidden="false" customHeight="false" outlineLevel="0" collapsed="false">
      <c r="B12" s="7" t="s">
        <v>447</v>
      </c>
      <c r="C12" s="22" t="n">
        <f aca="false">C10+C11</f>
        <v>160000</v>
      </c>
      <c r="D12" s="22" t="n">
        <f aca="false">D10+D11</f>
        <v>177334.045959063</v>
      </c>
      <c r="E12" s="22" t="n">
        <f aca="false">E10+E11</f>
        <v>196938.741128884</v>
      </c>
      <c r="F12" s="22" t="n">
        <f aca="false">F10+F11</f>
        <v>219990.294844538</v>
      </c>
      <c r="G12" s="22" t="n">
        <f aca="false">G10+G11</f>
        <v>245730.253993816</v>
      </c>
      <c r="H12" s="22" t="n">
        <f aca="false">H10+H11</f>
        <v>274459.078983138</v>
      </c>
      <c r="I12" s="22" t="n">
        <f aca="false">I10+I11</f>
        <v>306516.099522554</v>
      </c>
      <c r="J12" s="22" t="n">
        <f aca="false">J10+J11</f>
        <v>342278.950421381</v>
      </c>
      <c r="K12" s="9"/>
    </row>
    <row r="13" customFormat="false" ht="22.35" hidden="false" customHeight="false" outlineLevel="0" collapsed="false">
      <c r="B13" s="7" t="s">
        <v>448</v>
      </c>
      <c r="C13" s="22" t="n">
        <f aca="false">IF(Gate_actif=1,Gate*C8+C9,C12)</f>
        <v>1200000</v>
      </c>
      <c r="D13" s="22" t="n">
        <f aca="false">IF(Gate_actif=1,Gate*D8+D9,D12)</f>
        <v>1330005.34469297</v>
      </c>
      <c r="E13" s="22" t="n">
        <f aca="false">IF(Gate_actif=1,Gate*E8+E9,E12)</f>
        <v>1477040.55846663</v>
      </c>
      <c r="F13" s="22" t="n">
        <f aca="false">IF(Gate_actif=1,Gate*F8+F9,F12)</f>
        <v>1649927.21133403</v>
      </c>
      <c r="G13" s="22" t="n">
        <f aca="false">IF(Gate_actif=1,Gate*G8+G9,G12)</f>
        <v>1842976.90495362</v>
      </c>
      <c r="H13" s="22" t="n">
        <f aca="false">IF(Gate_actif=1,Gate*H8+H9,H12)</f>
        <v>2058443.09237353</v>
      </c>
      <c r="I13" s="22" t="n">
        <f aca="false">IF(Gate_actif=1,Gate*I8+I9,I12)</f>
        <v>2298870.74641916</v>
      </c>
      <c r="J13" s="22" t="n">
        <f aca="false">IF(Gate_actif=1,Gate*J8+J9,J12)</f>
        <v>2567092.12816036</v>
      </c>
      <c r="K13" s="9" t="s">
        <v>449</v>
      </c>
    </row>
    <row r="14" customFormat="false" ht="22.35" hidden="false" customHeight="false" outlineLevel="0" collapsed="false">
      <c r="B14" s="7" t="s">
        <v>450</v>
      </c>
      <c r="C14" s="27" t="n">
        <f aca="false">0</f>
        <v>0</v>
      </c>
      <c r="D14" s="27" t="n">
        <f aca="false">IF(OR(C14=1,AND(Suspension_auto=1,C18&gt;=Reports_max)),1,0)</f>
        <v>0</v>
      </c>
      <c r="E14" s="27" t="n">
        <f aca="false">IF(OR(D14=1,AND(Suspension_auto=1,D18&gt;=Reports_max)),1,0)</f>
        <v>0</v>
      </c>
      <c r="F14" s="27" t="n">
        <f aca="false">IF(OR(E14=1,AND(Suspension_auto=1,E18&gt;=Reports_max)),1,0)</f>
        <v>0</v>
      </c>
      <c r="G14" s="27" t="n">
        <f aca="false">IF(OR(F14=1,AND(Suspension_auto=1,F18&gt;=Reports_max)),1,0)</f>
        <v>0</v>
      </c>
      <c r="H14" s="27" t="n">
        <f aca="false">IF(OR(G14=1,AND(Suspension_auto=1,G18&gt;=Reports_max)),1,0)</f>
        <v>0</v>
      </c>
      <c r="I14" s="27" t="n">
        <f aca="false">IF(OR(H14=1,AND(Suspension_auto=1,H18&gt;=Reports_max)),1,0)</f>
        <v>0</v>
      </c>
      <c r="J14" s="27" t="n">
        <f aca="false">IF(OR(I14=1,AND(Suspension_auto=1,I18&gt;=Reports_max)),1,0)</f>
        <v>0</v>
      </c>
      <c r="K14" s="9" t="s">
        <v>451</v>
      </c>
    </row>
    <row r="15" customFormat="false" ht="15" hidden="false" customHeight="false" outlineLevel="0" collapsed="false">
      <c r="B15" s="7" t="s">
        <v>452</v>
      </c>
      <c r="C15" s="22" t="n">
        <f aca="false">IF(C14=1,0,MIN(C12,C13))</f>
        <v>160000</v>
      </c>
      <c r="D15" s="22" t="n">
        <f aca="false">IF(D14=1,0,MIN(D12,D13))</f>
        <v>177334.045959063</v>
      </c>
      <c r="E15" s="22" t="n">
        <f aca="false">IF(E14=1,0,MIN(E12,E13))</f>
        <v>196938.741128884</v>
      </c>
      <c r="F15" s="22" t="n">
        <f aca="false">IF(F14=1,0,MIN(F12,F13))</f>
        <v>219990.294844538</v>
      </c>
      <c r="G15" s="22" t="n">
        <f aca="false">IF(G14=1,0,MIN(G12,G13))</f>
        <v>245730.253993816</v>
      </c>
      <c r="H15" s="22" t="n">
        <f aca="false">IF(H14=1,0,MIN(H12,H13))</f>
        <v>274459.078983138</v>
      </c>
      <c r="I15" s="22" t="n">
        <f aca="false">IF(I14=1,0,MIN(I12,I13))</f>
        <v>306516.099522554</v>
      </c>
      <c r="J15" s="22" t="n">
        <f aca="false">IF(J14=1,0,MIN(J12,J13))</f>
        <v>342278.950421381</v>
      </c>
      <c r="K15" s="9" t="s">
        <v>453</v>
      </c>
    </row>
    <row r="16" customFormat="false" ht="15" hidden="false" customHeight="false" outlineLevel="0" collapsed="false">
      <c r="B16" s="7" t="s">
        <v>454</v>
      </c>
      <c r="C16" s="22" t="n">
        <f aca="false">C12-C15</f>
        <v>0</v>
      </c>
      <c r="D16" s="22" t="n">
        <f aca="false">D12-D15</f>
        <v>0</v>
      </c>
      <c r="E16" s="22" t="n">
        <f aca="false">E12-E15</f>
        <v>0</v>
      </c>
      <c r="F16" s="22" t="n">
        <f aca="false">F12-F15</f>
        <v>0</v>
      </c>
      <c r="G16" s="22" t="n">
        <f aca="false">G12-G15</f>
        <v>0</v>
      </c>
      <c r="H16" s="22" t="n">
        <f aca="false">H12-H15</f>
        <v>0</v>
      </c>
      <c r="I16" s="22" t="n">
        <f aca="false">I12-I15</f>
        <v>0</v>
      </c>
      <c r="J16" s="22" t="n">
        <f aca="false">J12-J15</f>
        <v>0</v>
      </c>
      <c r="K16" s="9"/>
    </row>
    <row r="17" customFormat="false" ht="15" hidden="false" customHeight="false" outlineLevel="0" collapsed="false">
      <c r="B17" s="7" t="s">
        <v>455</v>
      </c>
      <c r="C17" s="27" t="n">
        <f aca="false">IF(C16&gt;1,1,0)</f>
        <v>0</v>
      </c>
      <c r="D17" s="27" t="n">
        <f aca="false">IF(D16&gt;1,1,0)</f>
        <v>0</v>
      </c>
      <c r="E17" s="27" t="n">
        <f aca="false">IF(E16&gt;1,1,0)</f>
        <v>0</v>
      </c>
      <c r="F17" s="27" t="n">
        <f aca="false">IF(F16&gt;1,1,0)</f>
        <v>0</v>
      </c>
      <c r="G17" s="27" t="n">
        <f aca="false">IF(G16&gt;1,1,0)</f>
        <v>0</v>
      </c>
      <c r="H17" s="27" t="n">
        <f aca="false">IF(H16&gt;1,1,0)</f>
        <v>0</v>
      </c>
      <c r="I17" s="27" t="n">
        <f aca="false">IF(I16&gt;1,1,0)</f>
        <v>0</v>
      </c>
      <c r="J17" s="27" t="n">
        <f aca="false">IF(J16&gt;1,1,0)</f>
        <v>0</v>
      </c>
      <c r="K17" s="9"/>
    </row>
    <row r="18" customFormat="false" ht="15" hidden="false" customHeight="false" outlineLevel="0" collapsed="false">
      <c r="B18" s="7" t="s">
        <v>456</v>
      </c>
      <c r="C18" s="27" t="n">
        <f aca="false">C17</f>
        <v>0</v>
      </c>
      <c r="D18" s="27" t="n">
        <f aca="false">IF(D17=1,C18+1,0)</f>
        <v>0</v>
      </c>
      <c r="E18" s="27" t="n">
        <f aca="false">IF(E17=1,D18+1,0)</f>
        <v>0</v>
      </c>
      <c r="F18" s="27" t="n">
        <f aca="false">IF(F17=1,E18+1,0)</f>
        <v>0</v>
      </c>
      <c r="G18" s="27" t="n">
        <f aca="false">IF(G17=1,F18+1,0)</f>
        <v>0</v>
      </c>
      <c r="H18" s="27" t="n">
        <f aca="false">IF(H17=1,G18+1,0)</f>
        <v>0</v>
      </c>
      <c r="I18" s="27" t="n">
        <f aca="false">IF(I17=1,H18+1,0)</f>
        <v>0</v>
      </c>
      <c r="J18" s="27" t="n">
        <f aca="false">IF(J17=1,I18+1,0)</f>
        <v>0</v>
      </c>
      <c r="K18" s="9"/>
    </row>
    <row r="19" customFormat="false" ht="15" hidden="false" customHeight="false" outlineLevel="0" collapsed="false">
      <c r="B19" s="7" t="s">
        <v>457</v>
      </c>
      <c r="C19" s="16" t="n">
        <f aca="false">C16/C8</f>
        <v>0</v>
      </c>
      <c r="D19" s="16" t="n">
        <f aca="false">D16/D8</f>
        <v>0</v>
      </c>
      <c r="E19" s="16" t="n">
        <f aca="false">E16/E8</f>
        <v>0</v>
      </c>
      <c r="F19" s="16" t="n">
        <f aca="false">F16/F8</f>
        <v>0</v>
      </c>
      <c r="G19" s="16" t="n">
        <f aca="false">G16/G8</f>
        <v>0</v>
      </c>
      <c r="H19" s="16" t="n">
        <f aca="false">H16/H8</f>
        <v>0</v>
      </c>
      <c r="I19" s="16" t="n">
        <f aca="false">I16/I8</f>
        <v>0</v>
      </c>
      <c r="J19" s="16" t="n">
        <f aca="false">J16/J8</f>
        <v>0</v>
      </c>
      <c r="K19" s="9"/>
    </row>
    <row r="21" customFormat="false" ht="15" hidden="false" customHeight="false" outlineLevel="0" collapsed="false">
      <c r="B21" s="7" t="s">
        <v>458</v>
      </c>
      <c r="C21" s="22" t="n">
        <f aca="false">Paramètres!$D$68*AN_depart</f>
        <v>2800000</v>
      </c>
      <c r="D21" s="22" t="n">
        <f aca="false">C53</f>
        <v>3084337.56961589</v>
      </c>
      <c r="E21" s="22" t="n">
        <f aca="false">D53</f>
        <v>3377239.54622175</v>
      </c>
      <c r="F21" s="22" t="n">
        <f aca="false">E53</f>
        <v>3703886.02920506</v>
      </c>
      <c r="G21" s="22" t="n">
        <f aca="false">F53</f>
        <v>4042781.75530025</v>
      </c>
      <c r="H21" s="22" t="n">
        <f aca="false">G53</f>
        <v>4394386.07112401</v>
      </c>
      <c r="I21" s="22" t="n">
        <f aca="false">H53</f>
        <v>4759175.54879116</v>
      </c>
      <c r="J21" s="22" t="n">
        <f aca="false">I53</f>
        <v>4937644.63187083</v>
      </c>
      <c r="K21" s="9"/>
    </row>
    <row r="22" customFormat="false" ht="15" hidden="false" customHeight="false" outlineLevel="0" collapsed="false">
      <c r="B22" s="7" t="s">
        <v>459</v>
      </c>
      <c r="C22" s="22" t="n">
        <f aca="false">Paramètres!$D$69*AN_depart</f>
        <v>0</v>
      </c>
      <c r="D22" s="22" t="n">
        <f aca="false">C54</f>
        <v>0</v>
      </c>
      <c r="E22" s="22" t="n">
        <f aca="false">D54</f>
        <v>0</v>
      </c>
      <c r="F22" s="22" t="n">
        <f aca="false">E54</f>
        <v>0</v>
      </c>
      <c r="G22" s="22" t="n">
        <f aca="false">F54</f>
        <v>0</v>
      </c>
      <c r="H22" s="22" t="n">
        <f aca="false">G54</f>
        <v>0</v>
      </c>
      <c r="I22" s="22" t="n">
        <f aca="false">H54</f>
        <v>0</v>
      </c>
      <c r="J22" s="22" t="n">
        <f aca="false">I54</f>
        <v>0</v>
      </c>
      <c r="K22" s="9"/>
    </row>
    <row r="23" customFormat="false" ht="15" hidden="false" customHeight="false" outlineLevel="0" collapsed="false">
      <c r="B23" s="7" t="s">
        <v>460</v>
      </c>
      <c r="C23" s="22" t="n">
        <f aca="false">Paramètres!$D$70*AN_depart</f>
        <v>1960000</v>
      </c>
      <c r="D23" s="22" t="n">
        <f aca="false">C55</f>
        <v>2225703.29523064</v>
      </c>
      <c r="E23" s="22" t="n">
        <f aca="false">D55</f>
        <v>2524051.21337006</v>
      </c>
      <c r="F23" s="22" t="n">
        <f aca="false">E55</f>
        <v>2885119.09638128</v>
      </c>
      <c r="G23" s="22" t="n">
        <f aca="false">F55</f>
        <v>3297633.29100359</v>
      </c>
      <c r="H23" s="22" t="n">
        <f aca="false">G55</f>
        <v>3772913.3830195</v>
      </c>
      <c r="I23" s="22" t="n">
        <f aca="false">H55</f>
        <v>4318826.19418348</v>
      </c>
      <c r="J23" s="22" t="n">
        <f aca="false">I55</f>
        <v>5044138.35460009</v>
      </c>
      <c r="K23" s="9"/>
    </row>
    <row r="24" customFormat="false" ht="15" hidden="false" customHeight="false" outlineLevel="0" collapsed="false">
      <c r="B24" s="7" t="s">
        <v>461</v>
      </c>
      <c r="C24" s="22" t="n">
        <f aca="false">Paramètres!$D$71*AN_depart</f>
        <v>1960000</v>
      </c>
      <c r="D24" s="22" t="n">
        <f aca="false">C56</f>
        <v>2174261.43310663</v>
      </c>
      <c r="E24" s="22" t="n">
        <f aca="false">D56</f>
        <v>2413480.1397661</v>
      </c>
      <c r="F24" s="22" t="n">
        <f aca="false">E56</f>
        <v>2708958.89328699</v>
      </c>
      <c r="G24" s="22" t="n">
        <f aca="false">F56</f>
        <v>3045381.50593014</v>
      </c>
      <c r="H24" s="22" t="n">
        <f aca="false">G56</f>
        <v>3432545.10050681</v>
      </c>
      <c r="I24" s="22" t="n">
        <f aca="false">H56</f>
        <v>3876476.79073876</v>
      </c>
      <c r="J24" s="22" t="n">
        <f aca="false">I56</f>
        <v>4483865.43472328</v>
      </c>
      <c r="K24" s="9"/>
    </row>
    <row r="25" customFormat="false" ht="15" hidden="false" customHeight="false" outlineLevel="0" collapsed="false">
      <c r="B25" s="7" t="s">
        <v>462</v>
      </c>
      <c r="C25" s="22" t="n">
        <f aca="false">Paramètres!$D$72*AN_depart</f>
        <v>880000</v>
      </c>
      <c r="D25" s="22" t="n">
        <f aca="false">C57</f>
        <v>950400</v>
      </c>
      <c r="E25" s="22" t="n">
        <f aca="false">D57</f>
        <v>1053364.23299684</v>
      </c>
      <c r="F25" s="22" t="n">
        <f aca="false">E57</f>
        <v>1169816.12230557</v>
      </c>
      <c r="G25" s="22" t="n">
        <f aca="false">F57</f>
        <v>1306742.35137656</v>
      </c>
      <c r="H25" s="22" t="n">
        <f aca="false">G57</f>
        <v>1459637.70872327</v>
      </c>
      <c r="I25" s="22" t="n">
        <f aca="false">H57</f>
        <v>1630286.92915984</v>
      </c>
      <c r="J25" s="22" t="n">
        <f aca="false">I57</f>
        <v>1820705.63116397</v>
      </c>
      <c r="K25" s="9"/>
    </row>
    <row r="26" customFormat="false" ht="15" hidden="false" customHeight="false" outlineLevel="0" collapsed="false">
      <c r="B26" s="7" t="s">
        <v>463</v>
      </c>
      <c r="C26" s="22" t="n">
        <f aca="false">W_cash*AN_depart</f>
        <v>400000</v>
      </c>
      <c r="D26" s="22" t="n">
        <f aca="false">C51</f>
        <v>432000</v>
      </c>
      <c r="E26" s="22" t="n">
        <f aca="false">D51</f>
        <v>478801.924089471</v>
      </c>
      <c r="F26" s="22" t="n">
        <f aca="false">E51</f>
        <v>531734.601047987</v>
      </c>
      <c r="G26" s="22" t="n">
        <f aca="false">F51</f>
        <v>593973.796080252</v>
      </c>
      <c r="H26" s="22" t="n">
        <f aca="false">G51</f>
        <v>663471.685783302</v>
      </c>
      <c r="I26" s="22" t="n">
        <f aca="false">H51</f>
        <v>741039.513254472</v>
      </c>
      <c r="J26" s="22" t="n">
        <f aca="false">I51</f>
        <v>827593.468710897</v>
      </c>
      <c r="K26" s="9"/>
    </row>
    <row r="27" customFormat="false" ht="15" hidden="false" customHeight="false" outlineLevel="0" collapsed="false">
      <c r="B27" s="7" t="s">
        <v>464</v>
      </c>
      <c r="C27" s="22" t="n">
        <f aca="false">NA_total</f>
        <v>1200000</v>
      </c>
      <c r="D27" s="22" t="n">
        <f aca="false">C58</f>
        <v>1000000</v>
      </c>
      <c r="E27" s="22" t="n">
        <f aca="false">D58</f>
        <v>800000</v>
      </c>
      <c r="F27" s="22" t="n">
        <f aca="false">E58</f>
        <v>600000</v>
      </c>
      <c r="G27" s="22" t="n">
        <f aca="false">F58</f>
        <v>400000</v>
      </c>
      <c r="H27" s="22" t="n">
        <f aca="false">G58</f>
        <v>200000</v>
      </c>
      <c r="I27" s="22" t="n">
        <f aca="false">H58</f>
        <v>0</v>
      </c>
      <c r="J27" s="22" t="n">
        <f aca="false">I58</f>
        <v>0</v>
      </c>
      <c r="K27" s="9" t="s">
        <v>465</v>
      </c>
    </row>
    <row r="29" customFormat="false" ht="22.35" hidden="false" customHeight="false" outlineLevel="0" collapsed="false">
      <c r="B29" s="7" t="s">
        <v>466</v>
      </c>
      <c r="C29" s="22" t="n">
        <f aca="false">MIN(C27,NA_total*Appels_base*Paramètres!$C$143)</f>
        <v>200000</v>
      </c>
      <c r="D29" s="22" t="n">
        <f aca="false">MIN(D27,NA_total*Appels_base*Paramètres!$D$143)</f>
        <v>200000</v>
      </c>
      <c r="E29" s="22" t="n">
        <f aca="false">MIN(E27,NA_total*Appels_base*Paramètres!$E$143)</f>
        <v>200000</v>
      </c>
      <c r="F29" s="22" t="n">
        <f aca="false">MIN(F27,NA_total*Appels_base*Paramètres!$F$143)</f>
        <v>200000</v>
      </c>
      <c r="G29" s="22" t="n">
        <f aca="false">MIN(G27,NA_total*Appels_base*Paramètres!$G$143)</f>
        <v>200000</v>
      </c>
      <c r="H29" s="22" t="n">
        <f aca="false">MIN(H27,NA_total*Appels_base*Paramètres!$H$143)</f>
        <v>200000</v>
      </c>
      <c r="I29" s="22" t="n">
        <f aca="false">MIN(I27,NA_total*Appels_base*Paramètres!$I$143)</f>
        <v>0</v>
      </c>
      <c r="J29" s="22" t="n">
        <f aca="false">MIN(J27,NA_total*Appels_base*Paramètres!$J$143)</f>
        <v>0</v>
      </c>
      <c r="K29" s="9" t="s">
        <v>467</v>
      </c>
    </row>
    <row r="30" customFormat="false" ht="15" hidden="false" customHeight="false" outlineLevel="0" collapsed="false">
      <c r="B30" s="7" t="s">
        <v>468</v>
      </c>
      <c r="C30" s="22" t="n">
        <f aca="false">(C21*Paramètres!$D$79+C22*Paramètres!$D$80)/2*Paramètres!$C$138</f>
        <v>84000</v>
      </c>
      <c r="D30" s="22" t="n">
        <f aca="false">(D21*Paramètres!$D$79+D22*Paramètres!$D$80)/2*Paramètres!$D$138</f>
        <v>92530.1270884767</v>
      </c>
      <c r="E30" s="22" t="n">
        <f aca="false">(E21*Paramètres!$D$79+E22*Paramètres!$D$80)/2*Paramètres!$E$138</f>
        <v>101317.186386652</v>
      </c>
      <c r="F30" s="22" t="n">
        <f aca="false">(F21*Paramètres!$D$79+F22*Paramètres!$D$80)/2*Paramètres!$F$138</f>
        <v>111116.580876152</v>
      </c>
      <c r="G30" s="22" t="n">
        <f aca="false">(G21*Paramètres!$D$79+G22*Paramètres!$D$80)/2*Paramètres!$G$138</f>
        <v>121283.452659008</v>
      </c>
      <c r="H30" s="22" t="n">
        <f aca="false">(H21*Paramètres!$D$79+H22*Paramètres!$D$80)/2*Paramètres!$H$138</f>
        <v>131831.58213372</v>
      </c>
      <c r="I30" s="22" t="n">
        <f aca="false">(I21*Paramètres!$D$79+I22*Paramètres!$D$80)/2*Paramètres!$I$138</f>
        <v>142775.266463735</v>
      </c>
      <c r="J30" s="22" t="n">
        <f aca="false">(J21*Paramètres!$D$79+J22*Paramètres!$D$80)/2*Paramètres!$J$138</f>
        <v>148129.338956125</v>
      </c>
      <c r="K30" s="9" t="s">
        <v>469</v>
      </c>
    </row>
    <row r="31" customFormat="false" ht="15" hidden="false" customHeight="false" outlineLevel="0" collapsed="false">
      <c r="B31" s="7" t="s">
        <v>470</v>
      </c>
      <c r="C31" s="22" t="n">
        <f aca="false">(C23*Paramètres!$D$81+C24*Paramètres!$D$82)/2*Paramètres!$C$138</f>
        <v>68600</v>
      </c>
      <c r="D31" s="22" t="n">
        <f aca="false">(D23*Paramètres!$D$81+D24*Paramètres!$D$82)/2*Paramètres!$D$138</f>
        <v>76613.5687799722</v>
      </c>
      <c r="E31" s="22" t="n">
        <f aca="false">(E23*Paramètres!$D$81+E24*Paramètres!$D$82)/2*Paramètres!$E$138</f>
        <v>85577.5156278531</v>
      </c>
      <c r="F31" s="22" t="n">
        <f aca="false">(F23*Paramètres!$D$81+F24*Paramètres!$D$82)/2*Paramètres!$F$138</f>
        <v>96575.1632959876</v>
      </c>
      <c r="G31" s="22" t="n">
        <f aca="false">(G23*Paramètres!$D$81+G24*Paramètres!$D$82)/2*Paramètres!$G$138</f>
        <v>109110.870558289</v>
      </c>
      <c r="H31" s="22" t="n">
        <f aca="false">(H23*Paramètres!$D$81+H24*Paramètres!$D$82)/2*Paramètres!$H$138</f>
        <v>123542.761342865</v>
      </c>
      <c r="I31" s="22" t="n">
        <f aca="false">(I23*Paramètres!$D$81+I24*Paramètres!$D$82)/2*Paramètres!$I$138</f>
        <v>140100.181710304</v>
      </c>
      <c r="J31" s="22" t="n">
        <f aca="false">(J23*Paramètres!$D$81+J24*Paramètres!$D$82)/2*Paramètres!$J$138</f>
        <v>162538.019414083</v>
      </c>
      <c r="K31" s="9" t="s">
        <v>471</v>
      </c>
    </row>
    <row r="32" customFormat="false" ht="15" hidden="false" customHeight="false" outlineLevel="0" collapsed="false">
      <c r="B32" s="7" t="s">
        <v>472</v>
      </c>
      <c r="C32" s="22" t="n">
        <f aca="false">Frais_an/2*C8</f>
        <v>130396</v>
      </c>
      <c r="D32" s="22" t="n">
        <f aca="false">Frais_an/2*D8</f>
        <v>144522.814105488</v>
      </c>
      <c r="E32" s="22" t="n">
        <f aca="false">Frais_an/2*E8</f>
        <v>160500.150551512</v>
      </c>
      <c r="F32" s="22" t="n">
        <f aca="false">Frais_an/2*F8</f>
        <v>179286.590540927</v>
      </c>
      <c r="G32" s="22" t="n">
        <f aca="false">Frais_an/2*G8</f>
        <v>200264.01374861</v>
      </c>
      <c r="H32" s="22" t="n">
        <f aca="false">Frais_an/2*H8</f>
        <v>223677.287894283</v>
      </c>
      <c r="I32" s="22" t="n">
        <f aca="false">Frais_an/2*I8</f>
        <v>249802.958208394</v>
      </c>
      <c r="J32" s="22" t="n">
        <f aca="false">Frais_an/2*J8</f>
        <v>278948.787619665</v>
      </c>
      <c r="K32" s="9"/>
    </row>
    <row r="33" customFormat="false" ht="15" hidden="false" customHeight="false" outlineLevel="0" collapsed="false">
      <c r="B33" s="7" t="s">
        <v>473</v>
      </c>
      <c r="C33" s="22" t="n">
        <f aca="false">C26*Paramètres!$C$84/2</f>
        <v>5000</v>
      </c>
      <c r="D33" s="22" t="n">
        <f aca="false">D26*Paramètres!$C$84/2</f>
        <v>5400</v>
      </c>
      <c r="E33" s="22" t="n">
        <f aca="false">E26*Paramètres!$C$84/2</f>
        <v>5985.02405111839</v>
      </c>
      <c r="F33" s="22" t="n">
        <f aca="false">F26*Paramètres!$C$84/2</f>
        <v>6646.68251309984</v>
      </c>
      <c r="G33" s="22" t="n">
        <f aca="false">G26*Paramètres!$C$84/2</f>
        <v>7424.67245100315</v>
      </c>
      <c r="H33" s="22" t="n">
        <f aca="false">H26*Paramètres!$C$84/2</f>
        <v>8293.39607229128</v>
      </c>
      <c r="I33" s="22" t="n">
        <f aca="false">I26*Paramètres!$C$84/2</f>
        <v>9262.9939156809</v>
      </c>
      <c r="J33" s="22" t="n">
        <f aca="false">J26*Paramètres!$C$84/2</f>
        <v>10344.9183588862</v>
      </c>
      <c r="K33" s="9"/>
    </row>
    <row r="34" customFormat="false" ht="15" hidden="false" customHeight="false" outlineLevel="0" collapsed="false">
      <c r="B34" s="7" t="s">
        <v>474</v>
      </c>
      <c r="C34" s="22" t="n">
        <f aca="false">C15+C29+C32-C9-C30-C31-C33</f>
        <v>-467204</v>
      </c>
      <c r="D34" s="22" t="n">
        <f aca="false">D15+D29+D32-D9-D30-D31-D33</f>
        <v>-539357.065599214</v>
      </c>
      <c r="E34" s="22" t="n">
        <f aca="false">E15+E29+E32-E9-E30-E31-E33</f>
        <v>-620134.540029648</v>
      </c>
      <c r="F34" s="22" t="n">
        <f aca="false">F15+F29+F32-F9-F30-F31-F33</f>
        <v>-715013.015522464</v>
      </c>
      <c r="G34" s="22" t="n">
        <f aca="false">G15+G29+G32-G9-G30-G31-G33</f>
        <v>-820475.997894953</v>
      </c>
      <c r="H34" s="22" t="n">
        <f aca="false">H15+H29+H32-H9-H30-H31-H33</f>
        <v>-937826.767587145</v>
      </c>
      <c r="I34" s="22" t="n">
        <f aca="false">I15+I29+I32-I9-I30-I31-I33</f>
        <v>-1268399.88197154</v>
      </c>
      <c r="J34" s="22" t="n">
        <f aca="false">J15+J29+J32-J9-J30-J31-J33</f>
        <v>-1411179.29079495</v>
      </c>
      <c r="K34" s="9" t="s">
        <v>475</v>
      </c>
    </row>
    <row r="35" customFormat="false" ht="15" hidden="false" customHeight="false" outlineLevel="0" collapsed="false">
      <c r="B35" s="7" t="s">
        <v>476</v>
      </c>
      <c r="C35" s="22" t="n">
        <f aca="false">MAX(0,C26-Cash_min*C8)</f>
        <v>320000</v>
      </c>
      <c r="D35" s="22" t="n">
        <f aca="false">MAX(0,D26-Cash_min*D8)</f>
        <v>343332.977020468</v>
      </c>
      <c r="E35" s="22" t="n">
        <f aca="false">MAX(0,E26-Cash_min*E8)</f>
        <v>380332.553525029</v>
      </c>
      <c r="F35" s="22" t="n">
        <f aca="false">MAX(0,F26-Cash_min*F8)</f>
        <v>421739.453625718</v>
      </c>
      <c r="G35" s="22" t="n">
        <f aca="false">MAX(0,G26-Cash_min*G8)</f>
        <v>471108.669083344</v>
      </c>
      <c r="H35" s="22" t="n">
        <f aca="false">MAX(0,H26-Cash_min*H8)</f>
        <v>526242.146291734</v>
      </c>
      <c r="I35" s="22" t="n">
        <f aca="false">MAX(0,I26-Cash_min*I8)</f>
        <v>587781.463493195</v>
      </c>
      <c r="J35" s="22" t="n">
        <f aca="false">MAX(0,J26-Cash_min*J8)</f>
        <v>656453.993500206</v>
      </c>
      <c r="K35" s="9" t="s">
        <v>477</v>
      </c>
    </row>
    <row r="36" customFormat="false" ht="15" hidden="false" customHeight="false" outlineLevel="0" collapsed="false">
      <c r="B36" s="7" t="s">
        <v>478</v>
      </c>
      <c r="C36" s="22" t="n">
        <f aca="false">MAX(0,C34-C35)</f>
        <v>0</v>
      </c>
      <c r="D36" s="22" t="n">
        <f aca="false">MAX(0,D34-D35)</f>
        <v>0</v>
      </c>
      <c r="E36" s="22" t="n">
        <f aca="false">MAX(0,E34-E35)</f>
        <v>0</v>
      </c>
      <c r="F36" s="22" t="n">
        <f aca="false">MAX(0,F34-F35)</f>
        <v>0</v>
      </c>
      <c r="G36" s="22" t="n">
        <f aca="false">MAX(0,G34-G35)</f>
        <v>0</v>
      </c>
      <c r="H36" s="22" t="n">
        <f aca="false">MAX(0,H34-H35)</f>
        <v>0</v>
      </c>
      <c r="I36" s="22" t="n">
        <f aca="false">MAX(0,I34-I35)</f>
        <v>0</v>
      </c>
      <c r="J36" s="22" t="n">
        <f aca="false">MAX(0,J34-J35)</f>
        <v>0</v>
      </c>
      <c r="K36" s="9"/>
    </row>
    <row r="37" customFormat="false" ht="15" hidden="false" customHeight="false" outlineLevel="0" collapsed="false">
      <c r="B37" s="7" t="s">
        <v>479</v>
      </c>
      <c r="C37" s="22" t="n">
        <f aca="false">MIN(C36,C25*(1+'MST Scénarios'!C20))</f>
        <v>0</v>
      </c>
      <c r="D37" s="22" t="n">
        <f aca="false">MIN(D36,D25*(1+'MST Scénarios'!D20))</f>
        <v>0</v>
      </c>
      <c r="E37" s="22" t="n">
        <f aca="false">MIN(E36,E25*(1+'MST Scénarios'!E20))</f>
        <v>0</v>
      </c>
      <c r="F37" s="22" t="n">
        <f aca="false">MIN(F36,F25*(1+'MST Scénarios'!F20))</f>
        <v>0</v>
      </c>
      <c r="G37" s="22" t="n">
        <f aca="false">MIN(G36,G25*(1+'MST Scénarios'!G20))</f>
        <v>0</v>
      </c>
      <c r="H37" s="22" t="n">
        <f aca="false">MIN(H36,H25*(1+'MST Scénarios'!H20))</f>
        <v>0</v>
      </c>
      <c r="I37" s="22" t="n">
        <f aca="false">MIN(I36,I25*(1+'MST Scénarios'!I20))</f>
        <v>0</v>
      </c>
      <c r="J37" s="22" t="n">
        <f aca="false">MIN(J36,J25*(1+'MST Scénarios'!J20))</f>
        <v>0</v>
      </c>
      <c r="K37" s="9" t="s">
        <v>480</v>
      </c>
    </row>
    <row r="38" customFormat="false" ht="15" hidden="false" customHeight="false" outlineLevel="0" collapsed="false">
      <c r="B38" s="7" t="s">
        <v>481</v>
      </c>
      <c r="C38" s="22" t="n">
        <f aca="false">C37*0</f>
        <v>0</v>
      </c>
      <c r="D38" s="22" t="n">
        <f aca="false">D37*0</f>
        <v>0</v>
      </c>
      <c r="E38" s="22" t="n">
        <f aca="false">E37*0</f>
        <v>0</v>
      </c>
      <c r="F38" s="22" t="n">
        <f aca="false">F37*0</f>
        <v>0</v>
      </c>
      <c r="G38" s="22" t="n">
        <f aca="false">G37*0</f>
        <v>0</v>
      </c>
      <c r="H38" s="22" t="n">
        <f aca="false">H37*0</f>
        <v>0</v>
      </c>
      <c r="I38" s="22" t="n">
        <f aca="false">I37*0</f>
        <v>0</v>
      </c>
      <c r="J38" s="22" t="n">
        <f aca="false">J37*0</f>
        <v>0</v>
      </c>
      <c r="K38" s="9" t="s">
        <v>482</v>
      </c>
    </row>
    <row r="39" customFormat="false" ht="15" hidden="false" customHeight="false" outlineLevel="0" collapsed="false">
      <c r="B39" s="7" t="s">
        <v>483</v>
      </c>
      <c r="C39" s="22" t="n">
        <f aca="false">MAX(0,C36-C37*(1-0))</f>
        <v>0</v>
      </c>
      <c r="D39" s="22" t="n">
        <f aca="false">MAX(0,D36-D37*(1-0))</f>
        <v>0</v>
      </c>
      <c r="E39" s="22" t="n">
        <f aca="false">MAX(0,E36-E37*(1-0))</f>
        <v>0</v>
      </c>
      <c r="F39" s="22" t="n">
        <f aca="false">MAX(0,F36-F37*(1-0))</f>
        <v>0</v>
      </c>
      <c r="G39" s="22" t="n">
        <f aca="false">MAX(0,G36-G37*(1-0))</f>
        <v>0</v>
      </c>
      <c r="H39" s="22" t="n">
        <f aca="false">MAX(0,H36-H37*(1-0))</f>
        <v>0</v>
      </c>
      <c r="I39" s="22" t="n">
        <f aca="false">MAX(0,I36-I37*(1-0))</f>
        <v>0</v>
      </c>
      <c r="J39" s="22" t="n">
        <f aca="false">MAX(0,J36-J37*(1-0))</f>
        <v>0</v>
      </c>
      <c r="K39" s="9"/>
    </row>
    <row r="40" customFormat="false" ht="15" hidden="false" customHeight="false" outlineLevel="0" collapsed="false">
      <c r="B40" s="7" t="s">
        <v>484</v>
      </c>
      <c r="C40" s="22" t="n">
        <f aca="false">MAX(0,(C23*Paramètres!$F$70+C24*Paramètres!$F$71)*2*(1-Paramètres!$C$148)-C31)</f>
        <v>205800</v>
      </c>
      <c r="D40" s="22" t="n">
        <f aca="false">MAX(0,(D23*Paramètres!$F$70+D24*Paramètres!$F$71)*2*(1-Paramètres!$D$148)-D31)</f>
        <v>231383.962203637</v>
      </c>
      <c r="E40" s="22" t="n">
        <f aca="false">MAX(0,(E23*Paramètres!$F$70+E24*Paramètres!$F$71)*2*(1-Paramètres!$E$148)-E31)</f>
        <v>260049.679091678</v>
      </c>
      <c r="F40" s="22" t="n">
        <f aca="false">MAX(0,(F23*Paramètres!$F$70+F24*Paramètres!$F$71)*2*(1-Paramètres!$F$148)-F31)</f>
        <v>295010.295980792</v>
      </c>
      <c r="G40" s="22" t="n">
        <f aca="false">MAX(0,(G23*Paramètres!$F$70+G24*Paramètres!$F$71)*2*(1-Paramètres!$G$148)-G31)</f>
        <v>334900.165227071</v>
      </c>
      <c r="H40" s="22" t="n">
        <f aca="false">MAX(0,(H23*Paramètres!$F$70+H24*Paramètres!$F$71)*2*(1-Paramètres!$H$148)-H31)</f>
        <v>380839.332503977</v>
      </c>
      <c r="I40" s="22" t="n">
        <f aca="false">MAX(0,(I23*Paramètres!$F$70+I24*Paramètres!$F$71)*2*(1-Paramètres!$I$148)-I31)</f>
        <v>433571.027234253</v>
      </c>
      <c r="J40" s="22" t="n">
        <f aca="false">MAX(0,(J23*Paramètres!$F$70+J24*Paramètres!$F$71)*2*(1-Paramètres!$J$148)-J31)</f>
        <v>504422.245838553</v>
      </c>
      <c r="K40" s="9" t="s">
        <v>485</v>
      </c>
    </row>
    <row r="41" customFormat="false" ht="22.35" hidden="false" customHeight="false" outlineLevel="0" collapsed="false">
      <c r="B41" s="7" t="s">
        <v>486</v>
      </c>
      <c r="C41" s="22" t="n">
        <f aca="false">MAX(C39,Poche_min_exec*C8-(C26-C34+C37*(1-0)+C25*(1+'MST Scénarios'!C20)-C37))</f>
        <v>0</v>
      </c>
      <c r="D41" s="22" t="n">
        <f aca="false">MAX(D39,Poche_min_exec*D8-(D26-D34+D37*(1-0)+D25*(1+'MST Scénarios'!D20)-D37))</f>
        <v>0</v>
      </c>
      <c r="E41" s="22" t="n">
        <f aca="false">MAX(E39,Poche_min_exec*E8-(E26-E34+E37*(1-0)+E25*(1+'MST Scénarios'!E20)-E37))</f>
        <v>0</v>
      </c>
      <c r="F41" s="22" t="n">
        <f aca="false">MAX(F39,Poche_min_exec*F8-(F26-F34+F37*(1-0)+F25*(1+'MST Scénarios'!F20)-F37))</f>
        <v>0</v>
      </c>
      <c r="G41" s="22" t="n">
        <f aca="false">MAX(G39,Poche_min_exec*G8-(G26-G34+G37*(1-0)+G25*(1+'MST Scénarios'!G20)-G37))</f>
        <v>0</v>
      </c>
      <c r="H41" s="22" t="n">
        <f aca="false">MAX(H39,Poche_min_exec*H8-(H26-H34+H37*(1-0)+H25*(1+'MST Scénarios'!H20)-H37))</f>
        <v>0</v>
      </c>
      <c r="I41" s="22" t="n">
        <f aca="false">MAX(I39,Poche_min_exec*I8-(I26-I34+I37*(1-0)+I25*(1+'MST Scénarios'!I20)-I37))</f>
        <v>0</v>
      </c>
      <c r="J41" s="22" t="n">
        <f aca="false">MAX(J39,Poche_min_exec*J8-(J26-J34+J37*(1-0)+J25*(1+'MST Scénarios'!J20)-J37))</f>
        <v>0</v>
      </c>
      <c r="K41" s="9" t="s">
        <v>487</v>
      </c>
    </row>
    <row r="42" customFormat="false" ht="22.35" hidden="false" customHeight="false" outlineLevel="0" collapsed="false">
      <c r="B42" s="7" t="s">
        <v>488</v>
      </c>
      <c r="C42" s="22" t="n">
        <f aca="false">MAX(0,MIN(C41,C40))</f>
        <v>0</v>
      </c>
      <c r="D42" s="22" t="n">
        <f aca="false">MAX(0,MIN(D41,D40))</f>
        <v>0</v>
      </c>
      <c r="E42" s="22" t="n">
        <f aca="false">MAX(0,MIN(E41,E40))</f>
        <v>0</v>
      </c>
      <c r="F42" s="22" t="n">
        <f aca="false">MAX(0,MIN(F41,F40))</f>
        <v>0</v>
      </c>
      <c r="G42" s="22" t="n">
        <f aca="false">MAX(0,MIN(G41,G40))</f>
        <v>0</v>
      </c>
      <c r="H42" s="22" t="n">
        <f aca="false">MAX(0,MIN(H41,H40))</f>
        <v>0</v>
      </c>
      <c r="I42" s="22" t="n">
        <f aca="false">MAX(0,MIN(I41,I40))</f>
        <v>0</v>
      </c>
      <c r="J42" s="22" t="n">
        <f aca="false">MAX(0,MIN(J41,J40))</f>
        <v>0</v>
      </c>
      <c r="K42" s="9" t="s">
        <v>489</v>
      </c>
    </row>
    <row r="43" customFormat="false" ht="15" hidden="false" customHeight="false" outlineLevel="0" collapsed="false">
      <c r="B43" s="7" t="s">
        <v>490</v>
      </c>
      <c r="C43" s="22" t="n">
        <f aca="false">MAX(0,C39-C42)</f>
        <v>0</v>
      </c>
      <c r="D43" s="22" t="n">
        <f aca="false">MAX(0,D39-D42)</f>
        <v>0</v>
      </c>
      <c r="E43" s="22" t="n">
        <f aca="false">MAX(0,E39-E42)</f>
        <v>0</v>
      </c>
      <c r="F43" s="22" t="n">
        <f aca="false">MAX(0,F39-F42)</f>
        <v>0</v>
      </c>
      <c r="G43" s="22" t="n">
        <f aca="false">MAX(0,G39-G42)</f>
        <v>0</v>
      </c>
      <c r="H43" s="22" t="n">
        <f aca="false">MAX(0,H39-H42)</f>
        <v>0</v>
      </c>
      <c r="I43" s="22" t="n">
        <f aca="false">MAX(0,I39-I42)</f>
        <v>0</v>
      </c>
      <c r="J43" s="22" t="n">
        <f aca="false">MAX(0,J39-J42)</f>
        <v>0</v>
      </c>
      <c r="K43" s="9"/>
    </row>
    <row r="44" customFormat="false" ht="15" hidden="false" customHeight="false" outlineLevel="0" collapsed="false">
      <c r="B44" s="7" t="s">
        <v>491</v>
      </c>
      <c r="C44" s="22" t="n">
        <f aca="false">IF(Cession_autorisee=1,MIN(C43/(1-0),C21+C22),0)</f>
        <v>0</v>
      </c>
      <c r="D44" s="22" t="n">
        <f aca="false">IF(Cession_autorisee=1,MIN(D43/(1-0),D21+D22),0)</f>
        <v>0</v>
      </c>
      <c r="E44" s="22" t="n">
        <f aca="false">IF(Cession_autorisee=1,MIN(E43/(1-0),E21+E22),0)</f>
        <v>0</v>
      </c>
      <c r="F44" s="22" t="n">
        <f aca="false">IF(Cession_autorisee=1,MIN(F43/(1-0),F21+F22),0)</f>
        <v>0</v>
      </c>
      <c r="G44" s="22" t="n">
        <f aca="false">IF(Cession_autorisee=1,MIN(G43/(1-0),G21+G22),0)</f>
        <v>0</v>
      </c>
      <c r="H44" s="22" t="n">
        <f aca="false">IF(Cession_autorisee=1,MIN(H43/(1-0),H21+H22),0)</f>
        <v>0</v>
      </c>
      <c r="I44" s="22" t="n">
        <f aca="false">IF(Cession_autorisee=1,MIN(I43/(1-0),I21+I22),0)</f>
        <v>0</v>
      </c>
      <c r="J44" s="22" t="n">
        <f aca="false">IF(Cession_autorisee=1,MIN(J43/(1-0),J21+J22),0)</f>
        <v>0</v>
      </c>
      <c r="K44" s="9" t="s">
        <v>492</v>
      </c>
    </row>
    <row r="45" customFormat="false" ht="15" hidden="false" customHeight="false" outlineLevel="0" collapsed="false">
      <c r="B45" s="7" t="s">
        <v>493</v>
      </c>
      <c r="C45" s="22" t="n">
        <f aca="false">C44*0</f>
        <v>0</v>
      </c>
      <c r="D45" s="22" t="n">
        <f aca="false">D44*0</f>
        <v>0</v>
      </c>
      <c r="E45" s="22" t="n">
        <f aca="false">E44*0</f>
        <v>0</v>
      </c>
      <c r="F45" s="22" t="n">
        <f aca="false">F44*0</f>
        <v>0</v>
      </c>
      <c r="G45" s="22" t="n">
        <f aca="false">G44*0</f>
        <v>0</v>
      </c>
      <c r="H45" s="22" t="n">
        <f aca="false">H44*0</f>
        <v>0</v>
      </c>
      <c r="I45" s="22" t="n">
        <f aca="false">I44*0</f>
        <v>0</v>
      </c>
      <c r="J45" s="22" t="n">
        <f aca="false">J44*0</f>
        <v>0</v>
      </c>
      <c r="K45" s="9"/>
    </row>
    <row r="46" customFormat="false" ht="15" hidden="false" customHeight="false" outlineLevel="0" collapsed="false">
      <c r="B46" s="7" t="s">
        <v>494</v>
      </c>
      <c r="C46" s="22" t="n">
        <f aca="false">MAX(0,C43-C44*(1-0))</f>
        <v>0</v>
      </c>
      <c r="D46" s="22" t="n">
        <f aca="false">MAX(0,D43-D44*(1-0))</f>
        <v>0</v>
      </c>
      <c r="E46" s="22" t="n">
        <f aca="false">MAX(0,E43-E44*(1-0))</f>
        <v>0</v>
      </c>
      <c r="F46" s="22" t="n">
        <f aca="false">MAX(0,F43-F44*(1-0))</f>
        <v>0</v>
      </c>
      <c r="G46" s="22" t="n">
        <f aca="false">MAX(0,G43-G44*(1-0))</f>
        <v>0</v>
      </c>
      <c r="H46" s="22" t="n">
        <f aca="false">MAX(0,H43-H44*(1-0))</f>
        <v>0</v>
      </c>
      <c r="I46" s="22" t="n">
        <f aca="false">MAX(0,I43-I44*(1-0))</f>
        <v>0</v>
      </c>
      <c r="J46" s="22" t="n">
        <f aca="false">MAX(0,J43-J44*(1-0))</f>
        <v>0</v>
      </c>
      <c r="K46" s="9" t="s">
        <v>495</v>
      </c>
    </row>
    <row r="47" customFormat="false" ht="22.35" hidden="false" customHeight="false" outlineLevel="0" collapsed="false">
      <c r="B47" s="7" t="s">
        <v>496</v>
      </c>
      <c r="C47" s="22" t="n">
        <f aca="false">C26-C34+C37*(1-0)+C42+C44*(1-0)+C46</f>
        <v>867204</v>
      </c>
      <c r="D47" s="22" t="n">
        <f aca="false">D26-D34+D37*(1-0)+D42+D44*(1-0)+D46</f>
        <v>971357.065599214</v>
      </c>
      <c r="E47" s="22" t="n">
        <f aca="false">E26-E34+E37*(1-0)+E42+E44*(1-0)+E46</f>
        <v>1098936.46411912</v>
      </c>
      <c r="F47" s="22" t="n">
        <f aca="false">F26-F34+F37*(1-0)+F42+F44*(1-0)+F46</f>
        <v>1246747.61657045</v>
      </c>
      <c r="G47" s="22" t="n">
        <f aca="false">G26-G34+G37*(1-0)+G42+G44*(1-0)+G46</f>
        <v>1414449.79397521</v>
      </c>
      <c r="H47" s="22" t="n">
        <f aca="false">H26-H34+H37*(1-0)+H42+H44*(1-0)+H46</f>
        <v>1601298.45337045</v>
      </c>
      <c r="I47" s="22" t="n">
        <f aca="false">I26-I34+I37*(1-0)+I42+I44*(1-0)+I46</f>
        <v>2009439.39522602</v>
      </c>
      <c r="J47" s="22" t="n">
        <f aca="false">J26-J34+J37*(1-0)+J42+J44*(1-0)+J46</f>
        <v>2238772.75950585</v>
      </c>
      <c r="K47" s="9" t="s">
        <v>497</v>
      </c>
    </row>
    <row r="48" customFormat="false" ht="15" hidden="false" customHeight="false" outlineLevel="0" collapsed="false">
      <c r="B48" s="7" t="s">
        <v>498</v>
      </c>
      <c r="C48" s="22" t="n">
        <f aca="false">MAX(0,C47-Cash_cible*(C8+C9-C15))*Reinvest_actif</f>
        <v>435204</v>
      </c>
      <c r="D48" s="22" t="n">
        <f aca="false">MAX(0,D47-Cash_cible*(D8+D9-D15))*Reinvest_actif</f>
        <v>492555.141509743</v>
      </c>
      <c r="E48" s="22" t="n">
        <f aca="false">MAX(0,E47-Cash_cible*(E8+E9-E15))*Reinvest_actif</f>
        <v>567201.863071132</v>
      </c>
      <c r="F48" s="22" t="n">
        <f aca="false">MAX(0,F47-Cash_cible*(F8+F9-F15))*Reinvest_actif</f>
        <v>652773.820490199</v>
      </c>
      <c r="G48" s="22" t="n">
        <f aca="false">MAX(0,G47-Cash_cible*(G8+G9-G15))*Reinvest_actif</f>
        <v>750978.108191903</v>
      </c>
      <c r="H48" s="22" t="n">
        <f aca="false">MAX(0,H47-Cash_cible*(H8+H9-H15))*Reinvest_actif</f>
        <v>860258.940115976</v>
      </c>
      <c r="I48" s="22" t="n">
        <f aca="false">MAX(0,I47-Cash_cible*(I8+I9-I15))*Reinvest_actif</f>
        <v>1181845.92651512</v>
      </c>
      <c r="J48" s="22" t="n">
        <f aca="false">MAX(0,J47-Cash_cible*(J8+J9-J15))*Reinvest_actif</f>
        <v>1314619.59336812</v>
      </c>
      <c r="K48" s="9" t="s">
        <v>499</v>
      </c>
    </row>
    <row r="49" customFormat="false" ht="15" hidden="false" customHeight="false" outlineLevel="0" collapsed="false">
      <c r="B49" s="7" t="s">
        <v>500</v>
      </c>
      <c r="C49" s="22" t="n">
        <f aca="false">MIN(C48,MAX(0,(Liq_cible-Cash_cible)*(C8+C9-C15)-(C25*(1+'MST Scénarios'!C20)-C37)))</f>
        <v>61070.0070009682</v>
      </c>
      <c r="D49" s="22" t="n">
        <f aca="false">MIN(D48,MAX(0,(Liq_cible-Cash_cible)*(D8+D9-D15)-(D25*(1+'MST Scénarios'!D20)-D37)))</f>
        <v>74452.2329968358</v>
      </c>
      <c r="E49" s="22" t="n">
        <f aca="false">MIN(E48,MAX(0,(Liq_cible-Cash_cible)*(E8+E9-E15)-(E25*(1+'MST Scénarios'!E20)-E37)))</f>
        <v>84850.9623188311</v>
      </c>
      <c r="F49" s="22" t="n">
        <f aca="false">MIN(F48,MAX(0,(Liq_cible-Cash_cible)*(F8+F9-F15)-(F25*(1+'MST Scénarios'!F20)-F37)))</f>
        <v>101831.745401816</v>
      </c>
      <c r="G49" s="22" t="n">
        <f aca="false">MIN(G48,MAX(0,(Liq_cible-Cash_cible)*(G8+G9-G15)-(G25*(1+'MST Scénarios'!G20)-G37)))</f>
        <v>113693.086805414</v>
      </c>
      <c r="H49" s="22" t="n">
        <f aca="false">MIN(H48,MAX(0,(Liq_cible-Cash_cible)*(H8+H9-H15)-(H25*(1+'MST Scénarios'!H20)-H37)))</f>
        <v>126860.089174875</v>
      </c>
      <c r="I49" s="22" t="n">
        <f aca="false">MIN(I48,MAX(0,(Liq_cible-Cash_cible)*(I8+I9-I15)-(I25*(1+'MST Scénarios'!I20)-I37)))</f>
        <v>141510.094129339</v>
      </c>
      <c r="J49" s="22" t="n">
        <f aca="false">MIN(J48,MAX(0,(Liq_cible-Cash_cible)*(J8+J9-J15)-(J25*(1+'MST Scénarios'!J20)-J37)))</f>
        <v>157810.165404112</v>
      </c>
      <c r="K49" s="9"/>
    </row>
    <row r="50" customFormat="false" ht="22.35" hidden="false" customHeight="false" outlineLevel="0" collapsed="false">
      <c r="B50" s="7" t="s">
        <v>501</v>
      </c>
      <c r="C50" s="22" t="n">
        <f aca="false">C48-C49</f>
        <v>374133.992999032</v>
      </c>
      <c r="D50" s="22" t="n">
        <f aca="false">D48-D49</f>
        <v>418102.908512908</v>
      </c>
      <c r="E50" s="22" t="n">
        <f aca="false">E48-E49</f>
        <v>482350.900752301</v>
      </c>
      <c r="F50" s="22" t="n">
        <f aca="false">F48-F49</f>
        <v>550942.075088383</v>
      </c>
      <c r="G50" s="22" t="n">
        <f aca="false">G48-G49</f>
        <v>637285.021386489</v>
      </c>
      <c r="H50" s="22" t="n">
        <f aca="false">H48-H49</f>
        <v>733398.8509411</v>
      </c>
      <c r="I50" s="22" t="n">
        <f aca="false">I48-I49</f>
        <v>1040335.83238578</v>
      </c>
      <c r="J50" s="22" t="n">
        <f aca="false">J48-J49</f>
        <v>1156809.42796401</v>
      </c>
      <c r="K50" s="9" t="s">
        <v>502</v>
      </c>
    </row>
    <row r="51" customFormat="false" ht="15" hidden="false" customHeight="false" outlineLevel="0" collapsed="false">
      <c r="B51" s="7" t="s">
        <v>503</v>
      </c>
      <c r="C51" s="22" t="n">
        <f aca="false">C47-C49-C50</f>
        <v>432000</v>
      </c>
      <c r="D51" s="22" t="n">
        <f aca="false">D47-D49-D50</f>
        <v>478801.924089471</v>
      </c>
      <c r="E51" s="22" t="n">
        <f aca="false">E47-E49-E50</f>
        <v>531734.601047987</v>
      </c>
      <c r="F51" s="22" t="n">
        <f aca="false">F47-F49-F50</f>
        <v>593973.796080252</v>
      </c>
      <c r="G51" s="22" t="n">
        <f aca="false">G47-G49-G50</f>
        <v>663471.685783302</v>
      </c>
      <c r="H51" s="22" t="n">
        <f aca="false">H47-H49-H50</f>
        <v>741039.513254472</v>
      </c>
      <c r="I51" s="22" t="n">
        <f aca="false">I47-I49-I50</f>
        <v>827593.468710897</v>
      </c>
      <c r="J51" s="22" t="n">
        <f aca="false">J47-J49-J50</f>
        <v>924153.166137729</v>
      </c>
      <c r="K51" s="9"/>
    </row>
    <row r="53" customFormat="false" ht="22.35" hidden="false" customHeight="false" outlineLevel="0" collapsed="false">
      <c r="B53" s="7" t="s">
        <v>504</v>
      </c>
      <c r="C53" s="22" t="n">
        <f aca="false">C21*(1+'MST Scénarios'!C16)+C29*Paramètres!$E$68*Paramètres!$D$68/(Paramètres!$E$68*Paramètres!$D$68+Paramètres!$E$69*Paramètres!$D$69)-C21*Paramètres!$D$79/2*Paramètres!$C$138-C44*C21/(C21+C22)</f>
        <v>3084337.56961589</v>
      </c>
      <c r="D53" s="22" t="n">
        <f aca="false">D21*(1+'MST Scénarios'!D16)+D29*Paramètres!$E$68*Paramètres!$D$68/(Paramètres!$E$68*Paramètres!$D$68+Paramètres!$E$69*Paramètres!$D$69)-D21*Paramètres!$D$79/2*Paramètres!$D$138-D44*D21/(D21+D22)</f>
        <v>3377239.54622175</v>
      </c>
      <c r="E53" s="22" t="n">
        <f aca="false">E21*(1+'MST Scénarios'!E16)+E29*Paramètres!$E$68*Paramètres!$D$68/(Paramètres!$E$68*Paramètres!$D$68+Paramètres!$E$69*Paramètres!$D$69)-E21*Paramètres!$D$79/2*Paramètres!$E$138-E44*E21/(E21+E22)</f>
        <v>3703886.02920506</v>
      </c>
      <c r="F53" s="22" t="n">
        <f aca="false">F21*(1+'MST Scénarios'!F16)+F29*Paramètres!$E$68*Paramètres!$D$68/(Paramètres!$E$68*Paramètres!$D$68+Paramètres!$E$69*Paramètres!$D$69)-F21*Paramètres!$D$79/2*Paramètres!$F$138-F44*F21/(F21+F22)</f>
        <v>4042781.75530025</v>
      </c>
      <c r="G53" s="22" t="n">
        <f aca="false">G21*(1+'MST Scénarios'!G16)+G29*Paramètres!$E$68*Paramètres!$D$68/(Paramètres!$E$68*Paramètres!$D$68+Paramètres!$E$69*Paramètres!$D$69)-G21*Paramètres!$D$79/2*Paramètres!$G$138-G44*G21/(G21+G22)</f>
        <v>4394386.07112401</v>
      </c>
      <c r="H53" s="22" t="n">
        <f aca="false">H21*(1+'MST Scénarios'!H16)+H29*Paramètres!$E$68*Paramètres!$D$68/(Paramètres!$E$68*Paramètres!$D$68+Paramètres!$E$69*Paramètres!$D$69)-H21*Paramètres!$D$79/2*Paramètres!$H$138-H44*H21/(H21+H22)</f>
        <v>4759175.54879116</v>
      </c>
      <c r="I53" s="22" t="n">
        <f aca="false">I21*(1+'MST Scénarios'!I16)+I29*Paramètres!$E$68*Paramètres!$D$68/(Paramètres!$E$68*Paramètres!$D$68+Paramètres!$E$69*Paramètres!$D$69)-I21*Paramètres!$D$79/2*Paramètres!$I$138-I44*I21/(I21+I22)</f>
        <v>4937644.63187083</v>
      </c>
      <c r="J53" s="22" t="n">
        <f aca="false">J21*(1+'MST Scénarios'!J16)+J29*Paramètres!$E$68*Paramètres!$D$68/(Paramètres!$E$68*Paramètres!$D$68+Paramètres!$E$69*Paramètres!$D$69)-J21*Paramètres!$D$79/2*Paramètres!$J$138-J44*J21/(J21+J22)</f>
        <v>5122806.30556598</v>
      </c>
      <c r="K53" s="9" t="s">
        <v>505</v>
      </c>
    </row>
    <row r="54" customFormat="false" ht="15" hidden="false" customHeight="false" outlineLevel="0" collapsed="false">
      <c r="B54" s="7" t="s">
        <v>506</v>
      </c>
      <c r="C54" s="22" t="n">
        <f aca="false">C22*(1+'MST Scénarios'!C17)+C29*Paramètres!$E$69*Paramètres!$D$69/(Paramètres!$E$68*Paramètres!$D$68+Paramètres!$E$69*Paramètres!$D$69)-C22*Paramètres!$D$80/2*Paramètres!$C$138-C44*C22/(C21+C22)</f>
        <v>0</v>
      </c>
      <c r="D54" s="22" t="n">
        <f aca="false">D22*(1+'MST Scénarios'!D17)+D29*Paramètres!$E$69*Paramètres!$D$69/(Paramètres!$E$68*Paramètres!$D$68+Paramètres!$E$69*Paramètres!$D$69)-D22*Paramètres!$D$80/2*Paramètres!$D$138-D44*D22/(D21+D22)</f>
        <v>0</v>
      </c>
      <c r="E54" s="22" t="n">
        <f aca="false">E22*(1+'MST Scénarios'!E17)+E29*Paramètres!$E$69*Paramètres!$D$69/(Paramètres!$E$68*Paramètres!$D$68+Paramètres!$E$69*Paramètres!$D$69)-E22*Paramètres!$D$80/2*Paramètres!$E$138-E44*E22/(E21+E22)</f>
        <v>0</v>
      </c>
      <c r="F54" s="22" t="n">
        <f aca="false">F22*(1+'MST Scénarios'!F17)+F29*Paramètres!$E$69*Paramètres!$D$69/(Paramètres!$E$68*Paramètres!$D$68+Paramètres!$E$69*Paramètres!$D$69)-F22*Paramètres!$D$80/2*Paramètres!$F$138-F44*F22/(F21+F22)</f>
        <v>0</v>
      </c>
      <c r="G54" s="22" t="n">
        <f aca="false">G22*(1+'MST Scénarios'!G17)+G29*Paramètres!$E$69*Paramètres!$D$69/(Paramètres!$E$68*Paramètres!$D$68+Paramètres!$E$69*Paramètres!$D$69)-G22*Paramètres!$D$80/2*Paramètres!$G$138-G44*G22/(G21+G22)</f>
        <v>0</v>
      </c>
      <c r="H54" s="22" t="n">
        <f aca="false">H22*(1+'MST Scénarios'!H17)+H29*Paramètres!$E$69*Paramètres!$D$69/(Paramètres!$E$68*Paramètres!$D$68+Paramètres!$E$69*Paramètres!$D$69)-H22*Paramètres!$D$80/2*Paramètres!$H$138-H44*H22/(H21+H22)</f>
        <v>0</v>
      </c>
      <c r="I54" s="22" t="n">
        <f aca="false">I22*(1+'MST Scénarios'!I17)+I29*Paramètres!$E$69*Paramètres!$D$69/(Paramètres!$E$68*Paramètres!$D$68+Paramètres!$E$69*Paramètres!$D$69)-I22*Paramètres!$D$80/2*Paramètres!$I$138-I44*I22/(I21+I22)</f>
        <v>0</v>
      </c>
      <c r="J54" s="22" t="n">
        <f aca="false">J22*(1+'MST Scénarios'!J17)+J29*Paramètres!$E$69*Paramètres!$D$69/(Paramètres!$E$68*Paramètres!$D$68+Paramètres!$E$69*Paramètres!$D$69)-J22*Paramètres!$D$80/2*Paramètres!$J$138-J44*J22/(J21+J22)</f>
        <v>0</v>
      </c>
      <c r="K54" s="9"/>
    </row>
    <row r="55" customFormat="false" ht="22.35" hidden="false" customHeight="false" outlineLevel="0" collapsed="false">
      <c r="B55" s="7" t="s">
        <v>507</v>
      </c>
      <c r="C55" s="22" t="n">
        <f aca="false">C23*(1+'MST Scénarios'!C18)-C23*Paramètres!$D$81/2*Paramètres!$C$138-C42*C23/(C23+C24)+C50/2</f>
        <v>2225703.29523064</v>
      </c>
      <c r="D55" s="22" t="n">
        <f aca="false">D23*(1+'MST Scénarios'!D18)-D23*Paramètres!$D$81/2*Paramètres!$D$138-D42*D23/(D23+D24)+D50/2</f>
        <v>2524051.21337006</v>
      </c>
      <c r="E55" s="22" t="n">
        <f aca="false">E23*(1+'MST Scénarios'!E18)-E23*Paramètres!$D$81/2*Paramètres!$E$138-E42*E23/(E23+E24)+E50/2</f>
        <v>2885119.09638128</v>
      </c>
      <c r="F55" s="22" t="n">
        <f aca="false">F23*(1+'MST Scénarios'!F18)-F23*Paramètres!$D$81/2*Paramètres!$F$138-F42*F23/(F23+F24)+F50/2</f>
        <v>3297633.29100359</v>
      </c>
      <c r="G55" s="22" t="n">
        <f aca="false">G23*(1+'MST Scénarios'!G18)-G23*Paramètres!$D$81/2*Paramètres!$G$138-G42*G23/(G23+G24)+G50/2</f>
        <v>3772913.3830195</v>
      </c>
      <c r="H55" s="22" t="n">
        <f aca="false">H23*(1+'MST Scénarios'!H18)-H23*Paramètres!$D$81/2*Paramètres!$H$138-H42*H23/(H23+H24)+H50/2</f>
        <v>4318826.19418348</v>
      </c>
      <c r="I55" s="22" t="n">
        <f aca="false">I23*(1+'MST Scénarios'!I18)-I23*Paramètres!$D$81/2*Paramètres!$I$138-I42*I23/(I23+I24)+I50/2</f>
        <v>5044138.35460009</v>
      </c>
      <c r="J55" s="22" t="n">
        <f aca="false">J23*(1+'MST Scénarios'!J18)-J23*Paramètres!$D$81/2*Paramètres!$J$138-J42*J23/(J23+J24)+J50/2</f>
        <v>5862139.64042559</v>
      </c>
      <c r="K55" s="9" t="s">
        <v>508</v>
      </c>
    </row>
    <row r="56" customFormat="false" ht="15" hidden="false" customHeight="false" outlineLevel="0" collapsed="false">
      <c r="B56" s="7" t="s">
        <v>509</v>
      </c>
      <c r="C56" s="22" t="n">
        <f aca="false">C24*(1+'MST Scénarios'!C19)-C24*Paramètres!$D$82/2*Paramètres!$C$138-C42*C24/(C23+C24)+C50/2</f>
        <v>2174261.43310663</v>
      </c>
      <c r="D56" s="22" t="n">
        <f aca="false">D24*(1+'MST Scénarios'!D19)-D24*Paramètres!$D$82/2*Paramètres!$D$138-D42*D24/(D23+D24)+D50/2</f>
        <v>2413480.1397661</v>
      </c>
      <c r="E56" s="22" t="n">
        <f aca="false">E24*(1+'MST Scénarios'!E19)-E24*Paramètres!$D$82/2*Paramètres!$E$138-E42*E24/(E23+E24)+E50/2</f>
        <v>2708958.89328699</v>
      </c>
      <c r="F56" s="22" t="n">
        <f aca="false">F24*(1+'MST Scénarios'!F19)-F24*Paramètres!$D$82/2*Paramètres!$F$138-F42*F24/(F23+F24)+F50/2</f>
        <v>3045381.50593014</v>
      </c>
      <c r="G56" s="22" t="n">
        <f aca="false">G24*(1+'MST Scénarios'!G19)-G24*Paramètres!$D$82/2*Paramètres!$G$138-G42*G24/(G23+G24)+G50/2</f>
        <v>3432545.10050681</v>
      </c>
      <c r="H56" s="22" t="n">
        <f aca="false">H24*(1+'MST Scénarios'!H19)-H24*Paramètres!$D$82/2*Paramètres!$H$138-H42*H24/(H23+H24)+H50/2</f>
        <v>3876476.79073876</v>
      </c>
      <c r="I56" s="22" t="n">
        <f aca="false">I24*(1+'MST Scénarios'!I19)-I24*Paramètres!$D$82/2*Paramètres!$I$138-I42*I24/(I23+I24)+I50/2</f>
        <v>4483865.43472328</v>
      </c>
      <c r="J56" s="22" t="n">
        <f aca="false">J24*(1+'MST Scénarios'!J19)-J24*Paramètres!$D$82/2*Paramètres!$J$138-J42*J24/(J23+J24)+J50/2</f>
        <v>5163157.12098656</v>
      </c>
      <c r="K56" s="9"/>
    </row>
    <row r="57" customFormat="false" ht="15" hidden="false" customHeight="false" outlineLevel="0" collapsed="false">
      <c r="B57" s="7" t="s">
        <v>510</v>
      </c>
      <c r="C57" s="22" t="n">
        <f aca="false">C25*(1+'MST Scénarios'!C20)-C37+C49</f>
        <v>950400</v>
      </c>
      <c r="D57" s="22" t="n">
        <f aca="false">D25*(1+'MST Scénarios'!D20)-D37+D49</f>
        <v>1053364.23299684</v>
      </c>
      <c r="E57" s="22" t="n">
        <f aca="false">E25*(1+'MST Scénarios'!E20)-E37+E49</f>
        <v>1169816.12230557</v>
      </c>
      <c r="F57" s="22" t="n">
        <f aca="false">F25*(1+'MST Scénarios'!F20)-F37+F49</f>
        <v>1306742.35137656</v>
      </c>
      <c r="G57" s="22" t="n">
        <f aca="false">G25*(1+'MST Scénarios'!G20)-G37+G49</f>
        <v>1459637.70872327</v>
      </c>
      <c r="H57" s="22" t="n">
        <f aca="false">H25*(1+'MST Scénarios'!H20)-H37+H49</f>
        <v>1630286.92915984</v>
      </c>
      <c r="I57" s="22" t="n">
        <f aca="false">I25*(1+'MST Scénarios'!I20)-I37+I49</f>
        <v>1820705.63116397</v>
      </c>
      <c r="J57" s="22" t="n">
        <f aca="false">J25*(1+'MST Scénarios'!J20)-J37+J49</f>
        <v>2033136.965503</v>
      </c>
      <c r="K57" s="9"/>
    </row>
    <row r="58" customFormat="false" ht="15" hidden="false" customHeight="false" outlineLevel="0" collapsed="false">
      <c r="B58" s="7" t="s">
        <v>511</v>
      </c>
      <c r="C58" s="22" t="n">
        <f aca="false">C27-C29-C44*C27/(C21+C22+C27)</f>
        <v>1000000</v>
      </c>
      <c r="D58" s="22" t="n">
        <f aca="false">D27-D29-D44*D27/(D21+D22+D27)</f>
        <v>800000</v>
      </c>
      <c r="E58" s="22" t="n">
        <f aca="false">E27-E29-E44*E27/(E21+E22+E27)</f>
        <v>600000</v>
      </c>
      <c r="F58" s="22" t="n">
        <f aca="false">F27-F29-F44*F27/(F21+F22+F27)</f>
        <v>400000</v>
      </c>
      <c r="G58" s="22" t="n">
        <f aca="false">G27-G29-G44*G27/(G21+G22+G27)</f>
        <v>200000</v>
      </c>
      <c r="H58" s="22" t="n">
        <f aca="false">H27-H29-H44*H27/(H21+H22+H27)</f>
        <v>0</v>
      </c>
      <c r="I58" s="22" t="n">
        <f aca="false">I27-I29-I44*I27/(I21+I22+I27)</f>
        <v>0</v>
      </c>
      <c r="J58" s="22" t="n">
        <f aca="false">J27-J29-J44*J27/(J21+J22+J27)</f>
        <v>0</v>
      </c>
      <c r="K58" s="9" t="s">
        <v>512</v>
      </c>
    </row>
    <row r="59" customFormat="false" ht="15" hidden="false" customHeight="false" outlineLevel="0" collapsed="false">
      <c r="B59" s="7" t="s">
        <v>513</v>
      </c>
      <c r="C59" s="22" t="n">
        <f aca="false">C53+C54+C55+C56+C57+C51</f>
        <v>8866702.29795316</v>
      </c>
      <c r="D59" s="22" t="n">
        <f aca="false">D53+D54+D55+D56+D57+D51</f>
        <v>9846937.05644421</v>
      </c>
      <c r="E59" s="22" t="n">
        <f aca="false">E53+E54+E55+E56+E57+E51</f>
        <v>10999514.7422269</v>
      </c>
      <c r="F59" s="22" t="n">
        <f aca="false">F53+F54+F55+F56+F57+F51</f>
        <v>12286512.6996908</v>
      </c>
      <c r="G59" s="22" t="n">
        <f aca="false">G53+G54+G55+G56+G57+G51</f>
        <v>13722953.9491569</v>
      </c>
      <c r="H59" s="22" t="n">
        <f aca="false">H53+H54+H55+H56+H57+H51</f>
        <v>15325804.9761277</v>
      </c>
      <c r="I59" s="22" t="n">
        <f aca="false">I53+I54+I55+I56+I57+I51</f>
        <v>17113947.5210691</v>
      </c>
      <c r="J59" s="22" t="n">
        <f aca="false">J53+J54+J55+J56+J57+J51</f>
        <v>19105393.1986189</v>
      </c>
      <c r="K59" s="9" t="s">
        <v>514</v>
      </c>
    </row>
    <row r="60" customFormat="false" ht="22.35" hidden="false" customHeight="false" outlineLevel="0" collapsed="false">
      <c r="B60" s="7" t="s">
        <v>515</v>
      </c>
      <c r="C60" s="22" t="n">
        <f aca="false">ROUND(C59-(C8+C9-C15+C46-C32+C33+C21*'MST Scénarios'!C16+C22*'MST Scénarios'!C17+C23*'MST Scénarios'!C18+C24*'MST Scénarios'!C19+C25*'MST Scénarios'!C20-C38-C45),0)</f>
        <v>0</v>
      </c>
      <c r="D60" s="22" t="n">
        <f aca="false">ROUND(D59-(D8+D9-D15+D46-D32+D33+D21*'MST Scénarios'!D16+D22*'MST Scénarios'!D17+D23*'MST Scénarios'!D18+D24*'MST Scénarios'!D19+D25*'MST Scénarios'!D20-D38-D45),0)</f>
        <v>0</v>
      </c>
      <c r="E60" s="22" t="n">
        <f aca="false">ROUND(E59-(E8+E9-E15+E46-E32+E33+E21*'MST Scénarios'!E16+E22*'MST Scénarios'!E17+E23*'MST Scénarios'!E18+E24*'MST Scénarios'!E19+E25*'MST Scénarios'!E20-E38-E45),0)</f>
        <v>0</v>
      </c>
      <c r="F60" s="22" t="n">
        <f aca="false">ROUND(F59-(F8+F9-F15+F46-F32+F33+F21*'MST Scénarios'!F16+F22*'MST Scénarios'!F17+F23*'MST Scénarios'!F18+F24*'MST Scénarios'!F19+F25*'MST Scénarios'!F20-F38-F45),0)</f>
        <v>0</v>
      </c>
      <c r="G60" s="22" t="n">
        <f aca="false">ROUND(G59-(G8+G9-G15+G46-G32+G33+G21*'MST Scénarios'!G16+G22*'MST Scénarios'!G17+G23*'MST Scénarios'!G18+G24*'MST Scénarios'!G19+G25*'MST Scénarios'!G20-G38-G45),0)</f>
        <v>0</v>
      </c>
      <c r="H60" s="22" t="n">
        <f aca="false">ROUND(H59-(H8+H9-H15+H46-H32+H33+H21*'MST Scénarios'!H16+H22*'MST Scénarios'!H17+H23*'MST Scénarios'!H18+H24*'MST Scénarios'!H19+H25*'MST Scénarios'!H20-H38-H45),0)</f>
        <v>0</v>
      </c>
      <c r="I60" s="22" t="n">
        <f aca="false">ROUND(I59-(I8+I9-I15+I46-I32+I33+I21*'MST Scénarios'!I16+I22*'MST Scénarios'!I17+I23*'MST Scénarios'!I18+I24*'MST Scénarios'!I19+I25*'MST Scénarios'!I20-I38-I45),0)</f>
        <v>0</v>
      </c>
      <c r="J60" s="22" t="n">
        <f aca="false">ROUND(J59-(J8+J9-J15+J46-J32+J33+J21*'MST Scénarios'!J16+J22*'MST Scénarios'!J17+J23*'MST Scénarios'!J18+J24*'MST Scénarios'!J19+J25*'MST Scénarios'!J20-J38-J45),0)</f>
        <v>0</v>
      </c>
      <c r="K60" s="9" t="s">
        <v>516</v>
      </c>
    </row>
    <row r="62" customFormat="false" ht="15" hidden="false" customHeight="false" outlineLevel="0" collapsed="false">
      <c r="B62" s="7" t="s">
        <v>517</v>
      </c>
      <c r="C62" s="16" t="n">
        <f aca="false">(C51+C57)/C59</f>
        <v>0.155909147904867</v>
      </c>
      <c r="D62" s="16" t="n">
        <f aca="false">(D51+D57)/D59</f>
        <v>0.155598248298297</v>
      </c>
      <c r="E62" s="16" t="n">
        <f aca="false">(E51+E57)/E59</f>
        <v>0.154693253587028</v>
      </c>
      <c r="F62" s="16" t="n">
        <f aca="false">(F51+F57)/F59</f>
        <v>0.154699400384345</v>
      </c>
      <c r="G62" s="16" t="n">
        <f aca="false">(G51+G57)/G59</f>
        <v>0.154712272763767</v>
      </c>
      <c r="H62" s="16" t="n">
        <f aca="false">(H51+H57)/H59</f>
        <v>0.154727692679635</v>
      </c>
      <c r="I62" s="16" t="n">
        <f aca="false">(I51+I57)/I59</f>
        <v>0.154745075419598</v>
      </c>
      <c r="J62" s="16" t="n">
        <f aca="false">(J51+J57)/J59</f>
        <v>0.154788237064627</v>
      </c>
      <c r="K62" s="9" t="s">
        <v>518</v>
      </c>
    </row>
    <row r="63" customFormat="false" ht="22.35" hidden="false" customHeight="false" outlineLevel="0" collapsed="false">
      <c r="B63" s="7" t="s">
        <v>519</v>
      </c>
      <c r="C63" s="36" t="n">
        <f aca="false">(C51+C57+2*C40+2*(C30+C31)-2*MIN(C58,NA_total*Appels_base*Paramètres!$D$143))/(2*Gate*C59)</f>
        <v>1.91638327633065</v>
      </c>
      <c r="D63" s="36" t="n">
        <f aca="false">(D51+D57+2*D40+2*(D30+D31)-2*MIN(D58,NA_total*Appels_base*Paramètres!$E$143))/(2*Gate*D59)</f>
        <v>1.9632718906894</v>
      </c>
      <c r="E63" s="36" t="n">
        <f aca="false">(E51+E57+2*E40+2*(E30+E31)-2*MIN(E58,NA_total*Appels_base*Paramètres!$F$143))/(2*Gate*E59)</f>
        <v>1.99594212746284</v>
      </c>
      <c r="F63" s="36" t="n">
        <f aca="false">(F51+F57+2*F40+2*(F30+F31)-2*MIN(F58,NA_total*Appels_base*Paramètres!$G$143))/(2*Gate*F59)</f>
        <v>2.03973274517979</v>
      </c>
      <c r="G63" s="36" t="n">
        <f aca="false">(G51+G57+2*G40+2*(G30+G31)-2*MIN(G58,NA_total*Appels_base*Paramètres!$H$143))/(2*Gate*G59)</f>
        <v>2.07950735823218</v>
      </c>
      <c r="H63" s="36" t="n">
        <f aca="false">(H51+H57+2*H40+2*(H30+H31)-2*MIN(H58,NA_total*Appels_base*Paramètres!$I$143))/(2*Gate*H59)</f>
        <v>2.37752848874897</v>
      </c>
      <c r="I63" s="36" t="n">
        <f aca="false">(I51+I57+2*I40+2*(I30+I31)-2*MIN(I58,NA_total*Appels_base*Paramètres!$J$143))/(2*Gate*I59)</f>
        <v>2.38471693667816</v>
      </c>
      <c r="J63" s="36" t="n">
        <f aca="false">(J51+J57+2*J40+2*(J30+J31)-2*MIN(J58,NA_total*Appels_base*Paramètres!$J$143))/(2*Gate*J59)</f>
        <v>2.40113840755179</v>
      </c>
      <c r="K63" s="9" t="s">
        <v>520</v>
      </c>
    </row>
    <row r="64" customFormat="false" ht="15" hidden="false" customHeight="false" outlineLevel="0" collapsed="false">
      <c r="B64" s="7" t="s">
        <v>166</v>
      </c>
      <c r="C64" s="32" t="n">
        <f aca="false">(C59+C58)/C59</f>
        <v>1.11278150166729</v>
      </c>
      <c r="D64" s="32" t="n">
        <f aca="false">(D59+D58)/D59</f>
        <v>1.08124353749946</v>
      </c>
      <c r="E64" s="32" t="n">
        <f aca="false">(E59+E58)/E59</f>
        <v>1.0545478608885</v>
      </c>
      <c r="F64" s="32" t="n">
        <f aca="false">(F59+F58)/F59</f>
        <v>1.03255602381057</v>
      </c>
      <c r="G64" s="32" t="n">
        <f aca="false">(G59+G58)/G59</f>
        <v>1.01457412163161</v>
      </c>
      <c r="H64" s="32" t="n">
        <f aca="false">(H59+H58)/H59</f>
        <v>1</v>
      </c>
      <c r="I64" s="32" t="n">
        <f aca="false">(I59+I58)/I59</f>
        <v>1</v>
      </c>
      <c r="J64" s="32" t="n">
        <f aca="false">(J59+J58)/J59</f>
        <v>1</v>
      </c>
      <c r="K64" s="9" t="s">
        <v>167</v>
      </c>
    </row>
    <row r="65" customFormat="false" ht="15" hidden="false" customHeight="false" outlineLevel="0" collapsed="false">
      <c r="B65" s="7" t="s">
        <v>521</v>
      </c>
      <c r="C65" s="16" t="n">
        <f aca="false">(C53*Paramètres!$H$79+C54*Paramètres!$H$80)/C59</f>
        <v>0.347856222750131</v>
      </c>
      <c r="D65" s="16" t="n">
        <f aca="false">(D53*Paramètres!$H$79+D54*Paramètres!$H$80)/D59</f>
        <v>0.342973609647637</v>
      </c>
      <c r="E65" s="16" t="n">
        <f aca="false">(E53*Paramètres!$H$79+E54*Paramètres!$H$80)/E59</f>
        <v>0.336731766446562</v>
      </c>
      <c r="F65" s="16" t="n">
        <f aca="false">(F53*Paramètres!$H$79+F54*Paramètres!$H$80)/F59</f>
        <v>0.329042247716229</v>
      </c>
      <c r="G65" s="16" t="n">
        <f aca="false">(G53*Paramètres!$H$79+G54*Paramètres!$H$80)/G59</f>
        <v>0.320221585484078</v>
      </c>
      <c r="H65" s="16" t="n">
        <f aca="false">(H53*Paramètres!$H$79+H54*Paramètres!$H$80)/H59</f>
        <v>0.310533479722879</v>
      </c>
      <c r="I65" s="16" t="n">
        <f aca="false">(I53*Paramètres!$H$79+I54*Paramètres!$H$80)/I59</f>
        <v>0.288515821717466</v>
      </c>
      <c r="J65" s="16" t="n">
        <f aca="false">(J53*Paramètres!$H$79+J54*Paramètres!$H$80)/J59</f>
        <v>0.268134042168591</v>
      </c>
      <c r="K65" s="9"/>
    </row>
    <row r="66" customFormat="false" ht="22.35" hidden="false" customHeight="false" outlineLevel="0" collapsed="false">
      <c r="B66" s="7" t="s">
        <v>522</v>
      </c>
      <c r="C66" s="27" t="n">
        <f aca="false">IF(AND(Paramètres!$C$133&lt;0.5,Paramètres!$C$138&lt;0.5,(1-Paramètres!$C$148)&lt;0.5*(1-Paramètres!$C$148)),1,0)</f>
        <v>0</v>
      </c>
      <c r="D66" s="27" t="n">
        <f aca="false">IF(AND(Paramètres!$D$133&lt;0.5,Paramètres!$D$138&lt;0.5,(1-Paramètres!$D$148)&lt;0.5*(1-Paramètres!$D$148)),1,0)</f>
        <v>0</v>
      </c>
      <c r="E66" s="27" t="n">
        <f aca="false">IF(AND(Paramètres!$E$133&lt;0.5,Paramètres!$E$138&lt;0.5,(1-Paramètres!$E$148)&lt;0.5*(1-Paramètres!$E$148)),1,0)</f>
        <v>0</v>
      </c>
      <c r="F66" s="27" t="n">
        <f aca="false">IF(AND(Paramètres!$F$133&lt;0.5,Paramètres!$F$138&lt;0.5,(1-Paramètres!$F$148)&lt;0.5*(1-Paramètres!$F$148)),1,0)</f>
        <v>0</v>
      </c>
      <c r="G66" s="27" t="n">
        <f aca="false">IF(AND(Paramètres!$G$133&lt;0.5,Paramètres!$G$138&lt;0.5,(1-Paramètres!$G$148)&lt;0.5*(1-Paramètres!$G$148)),1,0)</f>
        <v>0</v>
      </c>
      <c r="H66" s="27" t="n">
        <f aca="false">IF(AND(Paramètres!$H$133&lt;0.5,Paramètres!$H$138&lt;0.5,(1-Paramètres!$H$148)&lt;0.5*(1-Paramètres!$H$148)),1,0)</f>
        <v>0</v>
      </c>
      <c r="I66" s="27" t="n">
        <f aca="false">IF(AND(Paramètres!$I$133&lt;0.5,Paramètres!$I$138&lt;0.5,(1-Paramètres!$I$148)&lt;0.5*(1-Paramètres!$I$148)),1,0)</f>
        <v>0</v>
      </c>
      <c r="J66" s="27" t="n">
        <f aca="false">IF(AND(Paramètres!$J$133&lt;0.5,Paramètres!$J$138&lt;0.5,(1-Paramètres!$J$148)&lt;0.5*(1-Paramètres!$J$148)),1,0)</f>
        <v>0</v>
      </c>
      <c r="K66" s="9" t="s">
        <v>523</v>
      </c>
    </row>
    <row r="67" customFormat="false" ht="15" hidden="false" customHeight="false" outlineLevel="0" collapsed="false">
      <c r="B67" s="7" t="s">
        <v>524</v>
      </c>
      <c r="C67" s="18" t="str">
        <f aca="false">IF(OR(C14=1,C46&gt;1,C19&gt;S_file_rouge,C62&lt;S_poche_rouge,C63&lt;S_couv_rouge),"Rouge",IF(OR(C17=1,C62&lt;S_poche_orange,C63&lt;S_couv_orange,C66=1),"Orange","Vert"))</f>
        <v>Vert</v>
      </c>
      <c r="D67" s="18" t="str">
        <f aca="false">IF(OR(D14=1,D46&gt;1,D19&gt;S_file_rouge,D62&lt;S_poche_rouge,D63&lt;S_couv_rouge),"Rouge",IF(OR(D17=1,D62&lt;S_poche_orange,D63&lt;S_couv_orange,D66=1),"Orange","Vert"))</f>
        <v>Vert</v>
      </c>
      <c r="E67" s="18" t="str">
        <f aca="false">IF(OR(E14=1,E46&gt;1,E19&gt;S_file_rouge,E62&lt;S_poche_rouge,E63&lt;S_couv_rouge),"Rouge",IF(OR(E17=1,E62&lt;S_poche_orange,E63&lt;S_couv_orange,E66=1),"Orange","Vert"))</f>
        <v>Vert</v>
      </c>
      <c r="F67" s="18" t="str">
        <f aca="false">IF(OR(F14=1,F46&gt;1,F19&gt;S_file_rouge,F62&lt;S_poche_rouge,F63&lt;S_couv_rouge),"Rouge",IF(OR(F17=1,F62&lt;S_poche_orange,F63&lt;S_couv_orange,F66=1),"Orange","Vert"))</f>
        <v>Vert</v>
      </c>
      <c r="G67" s="18" t="str">
        <f aca="false">IF(OR(G14=1,G46&gt;1,G19&gt;S_file_rouge,G62&lt;S_poche_rouge,G63&lt;S_couv_rouge),"Rouge",IF(OR(G17=1,G62&lt;S_poche_orange,G63&lt;S_couv_orange,G66=1),"Orange","Vert"))</f>
        <v>Vert</v>
      </c>
      <c r="H67" s="18" t="str">
        <f aca="false">IF(OR(H14=1,H46&gt;1,H19&gt;S_file_rouge,H62&lt;S_poche_rouge,H63&lt;S_couv_rouge),"Rouge",IF(OR(H17=1,H62&lt;S_poche_orange,H63&lt;S_couv_orange,H66=1),"Orange","Vert"))</f>
        <v>Vert</v>
      </c>
      <c r="I67" s="18" t="str">
        <f aca="false">IF(OR(I14=1,I46&gt;1,I19&gt;S_file_rouge,I62&lt;S_poche_rouge,I63&lt;S_couv_rouge),"Rouge",IF(OR(I17=1,I62&lt;S_poche_orange,I63&lt;S_couv_orange,I66=1),"Orange","Vert"))</f>
        <v>Vert</v>
      </c>
      <c r="J67" s="18" t="str">
        <f aca="false">IF(OR(J14=1,J46&gt;1,J19&gt;S_file_rouge,J62&lt;S_poche_rouge,J63&lt;S_couv_rouge),"Rouge",IF(OR(J17=1,J62&lt;S_poche_orange,J63&lt;S_couv_orange,J66=1),"Orange","Vert"))</f>
        <v>Vert</v>
      </c>
      <c r="K67" s="9" t="s">
        <v>525</v>
      </c>
    </row>
    <row r="69" customFormat="false" ht="15.75" hidden="false" customHeight="true" outlineLevel="0" collapsed="false">
      <c r="B69" s="5" t="s">
        <v>526</v>
      </c>
      <c r="C69" s="6" t="s">
        <v>3</v>
      </c>
      <c r="D69" s="6"/>
      <c r="E69" s="6"/>
      <c r="F69" s="6"/>
      <c r="G69" s="6"/>
      <c r="H69" s="6"/>
      <c r="I69" s="6"/>
      <c r="J69" s="6"/>
      <c r="K69" s="6" t="s">
        <v>4</v>
      </c>
    </row>
    <row r="70" customFormat="false" ht="15" hidden="false" customHeight="false" outlineLevel="0" collapsed="false">
      <c r="B70" s="7" t="s">
        <v>338</v>
      </c>
      <c r="C70" s="10" t="n">
        <f aca="false">SUM(C17:J17)</f>
        <v>0</v>
      </c>
      <c r="K70" s="9"/>
    </row>
    <row r="71" customFormat="false" ht="15" hidden="false" customHeight="false" outlineLevel="0" collapsed="false">
      <c r="B71" s="7" t="s">
        <v>527</v>
      </c>
      <c r="C71" s="11" t="n">
        <f aca="false">MAX(C19:J19)</f>
        <v>0</v>
      </c>
      <c r="K71" s="9"/>
    </row>
    <row r="72" customFormat="false" ht="22.35" hidden="false" customHeight="false" outlineLevel="0" collapsed="false">
      <c r="B72" s="7" t="s">
        <v>528</v>
      </c>
      <c r="C72" s="11" t="n">
        <f aca="false">J19</f>
        <v>0</v>
      </c>
      <c r="K72" s="9" t="s">
        <v>529</v>
      </c>
    </row>
    <row r="73" customFormat="false" ht="15" hidden="false" customHeight="false" outlineLevel="0" collapsed="false">
      <c r="B73" s="7" t="s">
        <v>530</v>
      </c>
      <c r="C73" s="15" t="str">
        <f aca="false">IFERROR(INDEX(C7:J7,MATCH(1,C14:J14,0)),"-")</f>
        <v>-</v>
      </c>
      <c r="K73" s="9"/>
    </row>
    <row r="74" customFormat="false" ht="15" hidden="false" customHeight="false" outlineLevel="0" collapsed="false">
      <c r="B74" s="7" t="s">
        <v>531</v>
      </c>
      <c r="C74" s="11" t="n">
        <f aca="false">MIN(C62:J62)</f>
        <v>0.154693253587028</v>
      </c>
      <c r="K74" s="9"/>
    </row>
    <row r="75" customFormat="false" ht="15" hidden="false" customHeight="false" outlineLevel="0" collapsed="false">
      <c r="B75" s="7" t="s">
        <v>342</v>
      </c>
      <c r="C75" s="39" t="n">
        <f aca="false">MIN(C63:J63)</f>
        <v>1.91638327633065</v>
      </c>
      <c r="K75" s="9"/>
    </row>
    <row r="76" customFormat="false" ht="15" hidden="false" customHeight="false" outlineLevel="0" collapsed="false">
      <c r="B76" s="7" t="s">
        <v>532</v>
      </c>
      <c r="C76" s="8" t="n">
        <f aca="false">SUM(C42:J42)</f>
        <v>0</v>
      </c>
      <c r="K76" s="9"/>
    </row>
    <row r="77" customFormat="false" ht="15" hidden="false" customHeight="false" outlineLevel="0" collapsed="false">
      <c r="B77" s="7" t="s">
        <v>533</v>
      </c>
      <c r="C77" s="8" t="n">
        <f aca="false">SUM(C44:J44)</f>
        <v>0</v>
      </c>
      <c r="K77" s="9"/>
    </row>
    <row r="78" customFormat="false" ht="15" hidden="false" customHeight="false" outlineLevel="0" collapsed="false">
      <c r="B78" s="7" t="s">
        <v>534</v>
      </c>
      <c r="C78" s="8" t="n">
        <f aca="false">SUM(C38:J38)+SUM(C45:J45)</f>
        <v>0</v>
      </c>
      <c r="K78" s="9"/>
    </row>
    <row r="79" customFormat="false" ht="15" hidden="false" customHeight="false" outlineLevel="0" collapsed="false">
      <c r="B79" s="7" t="s">
        <v>535</v>
      </c>
      <c r="C79" s="8" t="n">
        <f aca="false">SUM(C46:J46)</f>
        <v>0</v>
      </c>
      <c r="K79" s="9"/>
    </row>
    <row r="80" customFormat="false" ht="15" hidden="false" customHeight="false" outlineLevel="0" collapsed="false">
      <c r="B80" s="7" t="s">
        <v>536</v>
      </c>
      <c r="C80" s="11" t="n">
        <f aca="false">J59/AN_depart-1</f>
        <v>1.38817414982736</v>
      </c>
      <c r="K80" s="9"/>
    </row>
    <row r="81" customFormat="false" ht="15" hidden="false" customHeight="false" outlineLevel="0" collapsed="false">
      <c r="B81" s="7" t="s">
        <v>537</v>
      </c>
      <c r="C81" s="15" t="str">
        <f aca="false">IFERROR(INDEX(C7:J7,MATCH(1,C66:J66,0)),"-")</f>
        <v>-</v>
      </c>
      <c r="K81" s="9"/>
    </row>
    <row r="82" customFormat="false" ht="15" hidden="false" customHeight="false" outlineLevel="0" collapsed="false">
      <c r="B82" s="7" t="s">
        <v>125</v>
      </c>
      <c r="C82" s="13" t="n">
        <f aca="false">MAX(C64:J64)</f>
        <v>1.11278150166729</v>
      </c>
      <c r="K82" s="9"/>
    </row>
    <row r="83" customFormat="false" ht="15" hidden="false" customHeight="false" outlineLevel="0" collapsed="false">
      <c r="B83" s="7" t="s">
        <v>538</v>
      </c>
      <c r="C83" s="38" t="str">
        <f aca="false">IF(COUNTIF(C67:J67,"Rouge")&gt;0,"Rouge",IF(COUNTIF(C67:J67,"Orange")&gt;0,"Orange","Vert"))</f>
        <v>Vert</v>
      </c>
      <c r="K83" s="9" t="s">
        <v>539</v>
      </c>
    </row>
    <row r="86" customFormat="false" ht="18" hidden="false" customHeight="true" outlineLevel="0" collapsed="false">
      <c r="B86" s="3" t="s">
        <v>540</v>
      </c>
      <c r="C86" s="4"/>
      <c r="D86" s="4"/>
      <c r="E86" s="4"/>
      <c r="F86" s="4"/>
      <c r="G86" s="4"/>
      <c r="H86" s="4"/>
      <c r="I86" s="4"/>
      <c r="J86" s="4"/>
      <c r="K86" s="4"/>
    </row>
    <row r="87" customFormat="false" ht="15.75" hidden="false" customHeight="true" outlineLevel="0" collapsed="false">
      <c r="B87" s="5" t="s">
        <v>428</v>
      </c>
      <c r="C87" s="6" t="s">
        <v>429</v>
      </c>
      <c r="D87" s="6" t="s">
        <v>430</v>
      </c>
      <c r="E87" s="6" t="s">
        <v>431</v>
      </c>
      <c r="F87" s="6" t="s">
        <v>432</v>
      </c>
      <c r="G87" s="6" t="s">
        <v>433</v>
      </c>
      <c r="H87" s="6" t="s">
        <v>434</v>
      </c>
      <c r="I87" s="6" t="s">
        <v>435</v>
      </c>
      <c r="J87" s="6" t="s">
        <v>436</v>
      </c>
      <c r="K87" s="6" t="s">
        <v>437</v>
      </c>
    </row>
    <row r="88" customFormat="false" ht="15" hidden="false" customHeight="false" outlineLevel="0" collapsed="false">
      <c r="B88" s="7" t="s">
        <v>438</v>
      </c>
      <c r="C88" s="17" t="n">
        <f aca="false">EDATE(Date_depart,0)</f>
        <v>47118</v>
      </c>
      <c r="D88" s="17" t="n">
        <f aca="false">EDATE(Date_depart,6)</f>
        <v>47299</v>
      </c>
      <c r="E88" s="17" t="n">
        <f aca="false">EDATE(Date_depart,12)</f>
        <v>47483</v>
      </c>
      <c r="F88" s="17" t="n">
        <f aca="false">EDATE(Date_depart,18)</f>
        <v>47664</v>
      </c>
      <c r="G88" s="17" t="n">
        <f aca="false">EDATE(Date_depart,24)</f>
        <v>47848</v>
      </c>
      <c r="H88" s="17" t="n">
        <f aca="false">EDATE(Date_depart,30)</f>
        <v>48029</v>
      </c>
      <c r="I88" s="17" t="n">
        <f aca="false">EDATE(Date_depart,36)</f>
        <v>48213</v>
      </c>
      <c r="J88" s="17" t="n">
        <f aca="false">EDATE(Date_depart,42)</f>
        <v>48395</v>
      </c>
      <c r="K88" s="9"/>
    </row>
    <row r="89" customFormat="false" ht="15" hidden="false" customHeight="false" outlineLevel="0" collapsed="false">
      <c r="B89" s="7" t="s">
        <v>439</v>
      </c>
      <c r="C89" s="22" t="n">
        <f aca="false">AN_depart</f>
        <v>8000000</v>
      </c>
      <c r="D89" s="22" t="n">
        <f aca="false">C140</f>
        <v>7548713.13385949</v>
      </c>
      <c r="E89" s="22" t="n">
        <f aca="false">D140</f>
        <v>7495511.27418321</v>
      </c>
      <c r="F89" s="22" t="n">
        <f aca="false">E140</f>
        <v>7856045.68403335</v>
      </c>
      <c r="G89" s="22" t="n">
        <f aca="false">F140</f>
        <v>8649028.28154613</v>
      </c>
      <c r="H89" s="22" t="n">
        <f aca="false">G140</f>
        <v>9748122.15542926</v>
      </c>
      <c r="I89" s="22" t="n">
        <f aca="false">H140</f>
        <v>10907010.6668205</v>
      </c>
      <c r="J89" s="22" t="n">
        <f aca="false">I140</f>
        <v>12197371.4314891</v>
      </c>
      <c r="K89" s="9" t="s">
        <v>440</v>
      </c>
    </row>
    <row r="90" customFormat="false" ht="15" hidden="false" customHeight="false" outlineLevel="0" collapsed="false">
      <c r="B90" s="7" t="s">
        <v>441</v>
      </c>
      <c r="C90" s="22" t="n">
        <f aca="false">Collecte_norm*Paramètres!$C$134*C89</f>
        <v>400000</v>
      </c>
      <c r="D90" s="22" t="n">
        <f aca="false">Collecte_norm*Paramètres!$D$134*D89</f>
        <v>377435.656692974</v>
      </c>
      <c r="E90" s="22" t="n">
        <f aca="false">Collecte_norm*Paramètres!$E$134*E89</f>
        <v>374775.56370916</v>
      </c>
      <c r="F90" s="22" t="n">
        <f aca="false">Collecte_norm*Paramètres!$F$134*F89</f>
        <v>589203.426302502</v>
      </c>
      <c r="G90" s="22" t="n">
        <f aca="false">Collecte_norm*Paramètres!$G$134*G89</f>
        <v>864902.828154613</v>
      </c>
      <c r="H90" s="22" t="n">
        <f aca="false">Collecte_norm*Paramètres!$H$134*H89</f>
        <v>974812.215542926</v>
      </c>
      <c r="I90" s="22" t="n">
        <f aca="false">Collecte_norm*Paramètres!$I$134*I89</f>
        <v>1090701.06668205</v>
      </c>
      <c r="J90" s="22" t="n">
        <f aca="false">Collecte_norm*Paramètres!$J$134*J89</f>
        <v>1219737.14314891</v>
      </c>
      <c r="K90" s="9" t="s">
        <v>442</v>
      </c>
    </row>
    <row r="91" customFormat="false" ht="22.35" hidden="false" customHeight="false" outlineLevel="0" collapsed="false">
      <c r="B91" s="7" t="s">
        <v>443</v>
      </c>
      <c r="C91" s="22" t="n">
        <f aca="false">(Paramètres!$C$129+Paramètres!$C$154*Top1)*C89</f>
        <v>600000</v>
      </c>
      <c r="D91" s="22" t="n">
        <f aca="false">(Paramètres!$D$129+Paramètres!$D$154*Top1)*D89</f>
        <v>566153.485039462</v>
      </c>
      <c r="E91" s="22" t="n">
        <f aca="false">(Paramètres!$E$129+Paramètres!$E$154*Top1)*E89</f>
        <v>374775.56370916</v>
      </c>
      <c r="F91" s="22" t="n">
        <f aca="false">(Paramètres!$F$129+Paramètres!$F$154*Top1)*F89</f>
        <v>235681.370521001</v>
      </c>
      <c r="G91" s="22" t="n">
        <f aca="false">(Paramètres!$G$129+Paramètres!$G$154*Top1)*G89</f>
        <v>172980.565630923</v>
      </c>
      <c r="H91" s="22" t="n">
        <f aca="false">(Paramètres!$H$129+Paramètres!$H$154*Top1)*H89</f>
        <v>194962.443108585</v>
      </c>
      <c r="I91" s="22" t="n">
        <f aca="false">(Paramètres!$I$129+Paramètres!$I$154*Top1)*I89</f>
        <v>218140.21333641</v>
      </c>
      <c r="J91" s="22" t="n">
        <f aca="false">(Paramètres!$J$129+Paramètres!$J$154*Top1)*J89</f>
        <v>243947.428629781</v>
      </c>
      <c r="K91" s="9" t="s">
        <v>444</v>
      </c>
    </row>
    <row r="92" customFormat="false" ht="15" hidden="false" customHeight="false" outlineLevel="0" collapsed="false">
      <c r="B92" s="7" t="s">
        <v>445</v>
      </c>
      <c r="C92" s="22" t="n">
        <f aca="false">0</f>
        <v>0</v>
      </c>
      <c r="D92" s="22" t="n">
        <f aca="false">C97</f>
        <v>0</v>
      </c>
      <c r="E92" s="22" t="n">
        <f aca="false">D97</f>
        <v>0</v>
      </c>
      <c r="F92" s="22" t="n">
        <f aca="false">E97</f>
        <v>0</v>
      </c>
      <c r="G92" s="22" t="n">
        <f aca="false">F97</f>
        <v>0</v>
      </c>
      <c r="H92" s="22" t="n">
        <f aca="false">G97</f>
        <v>0</v>
      </c>
      <c r="I92" s="22" t="n">
        <f aca="false">H97</f>
        <v>0</v>
      </c>
      <c r="J92" s="22" t="n">
        <f aca="false">I97</f>
        <v>0</v>
      </c>
      <c r="K92" s="9" t="s">
        <v>446</v>
      </c>
    </row>
    <row r="93" customFormat="false" ht="15" hidden="false" customHeight="false" outlineLevel="0" collapsed="false">
      <c r="B93" s="7" t="s">
        <v>447</v>
      </c>
      <c r="C93" s="22" t="n">
        <f aca="false">C91+C92</f>
        <v>600000</v>
      </c>
      <c r="D93" s="22" t="n">
        <f aca="false">D91+D92</f>
        <v>566153.485039462</v>
      </c>
      <c r="E93" s="22" t="n">
        <f aca="false">E91+E92</f>
        <v>374775.56370916</v>
      </c>
      <c r="F93" s="22" t="n">
        <f aca="false">F91+F92</f>
        <v>235681.370521001</v>
      </c>
      <c r="G93" s="22" t="n">
        <f aca="false">G91+G92</f>
        <v>172980.565630923</v>
      </c>
      <c r="H93" s="22" t="n">
        <f aca="false">H91+H92</f>
        <v>194962.443108585</v>
      </c>
      <c r="I93" s="22" t="n">
        <f aca="false">I91+I92</f>
        <v>218140.21333641</v>
      </c>
      <c r="J93" s="22" t="n">
        <f aca="false">J91+J92</f>
        <v>243947.428629781</v>
      </c>
      <c r="K93" s="9"/>
    </row>
    <row r="94" customFormat="false" ht="22.35" hidden="false" customHeight="false" outlineLevel="0" collapsed="false">
      <c r="B94" s="7" t="s">
        <v>448</v>
      </c>
      <c r="C94" s="22" t="n">
        <f aca="false">IF(Gate_actif=1,Gate*C89+C90,C93)</f>
        <v>800000</v>
      </c>
      <c r="D94" s="22" t="n">
        <f aca="false">IF(Gate_actif=1,Gate*D89+D90,D93)</f>
        <v>754871.313385949</v>
      </c>
      <c r="E94" s="22" t="n">
        <f aca="false">IF(Gate_actif=1,Gate*E89+E90,E93)</f>
        <v>749551.127418321</v>
      </c>
      <c r="F94" s="22" t="n">
        <f aca="false">IF(Gate_actif=1,Gate*F89+F90,F93)</f>
        <v>982005.710504169</v>
      </c>
      <c r="G94" s="22" t="n">
        <f aca="false">IF(Gate_actif=1,Gate*G89+G90,G93)</f>
        <v>1297354.24223192</v>
      </c>
      <c r="H94" s="22" t="n">
        <f aca="false">IF(Gate_actif=1,Gate*H89+H90,H93)</f>
        <v>1462218.32331439</v>
      </c>
      <c r="I94" s="22" t="n">
        <f aca="false">IF(Gate_actif=1,Gate*I89+I90,I93)</f>
        <v>1636051.60002307</v>
      </c>
      <c r="J94" s="22" t="n">
        <f aca="false">IF(Gate_actif=1,Gate*J89+J90,J93)</f>
        <v>1829605.71472336</v>
      </c>
      <c r="K94" s="9" t="s">
        <v>449</v>
      </c>
    </row>
    <row r="95" customFormat="false" ht="22.35" hidden="false" customHeight="false" outlineLevel="0" collapsed="false">
      <c r="B95" s="7" t="s">
        <v>450</v>
      </c>
      <c r="C95" s="27" t="n">
        <f aca="false">0</f>
        <v>0</v>
      </c>
      <c r="D95" s="27" t="n">
        <f aca="false">IF(OR(C95=1,AND(Suspension_auto=1,C99&gt;=Reports_max)),1,0)</f>
        <v>0</v>
      </c>
      <c r="E95" s="27" t="n">
        <f aca="false">IF(OR(D95=1,AND(Suspension_auto=1,D99&gt;=Reports_max)),1,0)</f>
        <v>0</v>
      </c>
      <c r="F95" s="27" t="n">
        <f aca="false">IF(OR(E95=1,AND(Suspension_auto=1,E99&gt;=Reports_max)),1,0)</f>
        <v>0</v>
      </c>
      <c r="G95" s="27" t="n">
        <f aca="false">IF(OR(F95=1,AND(Suspension_auto=1,F99&gt;=Reports_max)),1,0)</f>
        <v>0</v>
      </c>
      <c r="H95" s="27" t="n">
        <f aca="false">IF(OR(G95=1,AND(Suspension_auto=1,G99&gt;=Reports_max)),1,0)</f>
        <v>0</v>
      </c>
      <c r="I95" s="27" t="n">
        <f aca="false">IF(OR(H95=1,AND(Suspension_auto=1,H99&gt;=Reports_max)),1,0)</f>
        <v>0</v>
      </c>
      <c r="J95" s="27" t="n">
        <f aca="false">IF(OR(I95=1,AND(Suspension_auto=1,I99&gt;=Reports_max)),1,0)</f>
        <v>0</v>
      </c>
      <c r="K95" s="9" t="s">
        <v>451</v>
      </c>
    </row>
    <row r="96" customFormat="false" ht="15" hidden="false" customHeight="false" outlineLevel="0" collapsed="false">
      <c r="B96" s="7" t="s">
        <v>452</v>
      </c>
      <c r="C96" s="22" t="n">
        <f aca="false">IF(C95=1,0,MIN(C93,C94))</f>
        <v>600000</v>
      </c>
      <c r="D96" s="22" t="n">
        <f aca="false">IF(D95=1,0,MIN(D93,D94))</f>
        <v>566153.485039462</v>
      </c>
      <c r="E96" s="22" t="n">
        <f aca="false">IF(E95=1,0,MIN(E93,E94))</f>
        <v>374775.56370916</v>
      </c>
      <c r="F96" s="22" t="n">
        <f aca="false">IF(F95=1,0,MIN(F93,F94))</f>
        <v>235681.370521001</v>
      </c>
      <c r="G96" s="22" t="n">
        <f aca="false">IF(G95=1,0,MIN(G93,G94))</f>
        <v>172980.565630923</v>
      </c>
      <c r="H96" s="22" t="n">
        <f aca="false">IF(H95=1,0,MIN(H93,H94))</f>
        <v>194962.443108585</v>
      </c>
      <c r="I96" s="22" t="n">
        <f aca="false">IF(I95=1,0,MIN(I93,I94))</f>
        <v>218140.21333641</v>
      </c>
      <c r="J96" s="22" t="n">
        <f aca="false">IF(J95=1,0,MIN(J93,J94))</f>
        <v>243947.428629781</v>
      </c>
      <c r="K96" s="9" t="s">
        <v>453</v>
      </c>
    </row>
    <row r="97" customFormat="false" ht="15" hidden="false" customHeight="false" outlineLevel="0" collapsed="false">
      <c r="B97" s="7" t="s">
        <v>454</v>
      </c>
      <c r="C97" s="22" t="n">
        <f aca="false">C93-C96</f>
        <v>0</v>
      </c>
      <c r="D97" s="22" t="n">
        <f aca="false">D93-D96</f>
        <v>0</v>
      </c>
      <c r="E97" s="22" t="n">
        <f aca="false">E93-E96</f>
        <v>0</v>
      </c>
      <c r="F97" s="22" t="n">
        <f aca="false">F93-F96</f>
        <v>0</v>
      </c>
      <c r="G97" s="22" t="n">
        <f aca="false">G93-G96</f>
        <v>0</v>
      </c>
      <c r="H97" s="22" t="n">
        <f aca="false">H93-H96</f>
        <v>0</v>
      </c>
      <c r="I97" s="22" t="n">
        <f aca="false">I93-I96</f>
        <v>0</v>
      </c>
      <c r="J97" s="22" t="n">
        <f aca="false">J93-J96</f>
        <v>0</v>
      </c>
      <c r="K97" s="9"/>
    </row>
    <row r="98" customFormat="false" ht="15" hidden="false" customHeight="false" outlineLevel="0" collapsed="false">
      <c r="B98" s="7" t="s">
        <v>455</v>
      </c>
      <c r="C98" s="27" t="n">
        <f aca="false">IF(C97&gt;1,1,0)</f>
        <v>0</v>
      </c>
      <c r="D98" s="27" t="n">
        <f aca="false">IF(D97&gt;1,1,0)</f>
        <v>0</v>
      </c>
      <c r="E98" s="27" t="n">
        <f aca="false">IF(E97&gt;1,1,0)</f>
        <v>0</v>
      </c>
      <c r="F98" s="27" t="n">
        <f aca="false">IF(F97&gt;1,1,0)</f>
        <v>0</v>
      </c>
      <c r="G98" s="27" t="n">
        <f aca="false">IF(G97&gt;1,1,0)</f>
        <v>0</v>
      </c>
      <c r="H98" s="27" t="n">
        <f aca="false">IF(H97&gt;1,1,0)</f>
        <v>0</v>
      </c>
      <c r="I98" s="27" t="n">
        <f aca="false">IF(I97&gt;1,1,0)</f>
        <v>0</v>
      </c>
      <c r="J98" s="27" t="n">
        <f aca="false">IF(J97&gt;1,1,0)</f>
        <v>0</v>
      </c>
      <c r="K98" s="9"/>
    </row>
    <row r="99" customFormat="false" ht="15" hidden="false" customHeight="false" outlineLevel="0" collapsed="false">
      <c r="B99" s="7" t="s">
        <v>456</v>
      </c>
      <c r="C99" s="27" t="n">
        <f aca="false">C98</f>
        <v>0</v>
      </c>
      <c r="D99" s="27" t="n">
        <f aca="false">IF(D98=1,C99+1,0)</f>
        <v>0</v>
      </c>
      <c r="E99" s="27" t="n">
        <f aca="false">IF(E98=1,D99+1,0)</f>
        <v>0</v>
      </c>
      <c r="F99" s="27" t="n">
        <f aca="false">IF(F98=1,E99+1,0)</f>
        <v>0</v>
      </c>
      <c r="G99" s="27" t="n">
        <f aca="false">IF(G98=1,F99+1,0)</f>
        <v>0</v>
      </c>
      <c r="H99" s="27" t="n">
        <f aca="false">IF(H98=1,G99+1,0)</f>
        <v>0</v>
      </c>
      <c r="I99" s="27" t="n">
        <f aca="false">IF(I98=1,H99+1,0)</f>
        <v>0</v>
      </c>
      <c r="J99" s="27" t="n">
        <f aca="false">IF(J98=1,I99+1,0)</f>
        <v>0</v>
      </c>
      <c r="K99" s="9"/>
    </row>
    <row r="100" customFormat="false" ht="15" hidden="false" customHeight="false" outlineLevel="0" collapsed="false">
      <c r="B100" s="7" t="s">
        <v>457</v>
      </c>
      <c r="C100" s="16" t="n">
        <f aca="false">C97/C89</f>
        <v>0</v>
      </c>
      <c r="D100" s="16" t="n">
        <f aca="false">D97/D89</f>
        <v>0</v>
      </c>
      <c r="E100" s="16" t="n">
        <f aca="false">E97/E89</f>
        <v>0</v>
      </c>
      <c r="F100" s="16" t="n">
        <f aca="false">F97/F89</f>
        <v>0</v>
      </c>
      <c r="G100" s="16" t="n">
        <f aca="false">G97/G89</f>
        <v>0</v>
      </c>
      <c r="H100" s="16" t="n">
        <f aca="false">H97/H89</f>
        <v>0</v>
      </c>
      <c r="I100" s="16" t="n">
        <f aca="false">I97/I89</f>
        <v>0</v>
      </c>
      <c r="J100" s="16" t="n">
        <f aca="false">J97/J89</f>
        <v>0</v>
      </c>
      <c r="K100" s="9"/>
    </row>
    <row r="102" customFormat="false" ht="15" hidden="false" customHeight="false" outlineLevel="0" collapsed="false">
      <c r="B102" s="7" t="s">
        <v>458</v>
      </c>
      <c r="C102" s="22" t="n">
        <f aca="false">Paramètres!$D$68*AN_depart</f>
        <v>2800000</v>
      </c>
      <c r="D102" s="22" t="n">
        <f aca="false">C134</f>
        <v>2788212.70884768</v>
      </c>
      <c r="E102" s="22" t="n">
        <f aca="false">D134</f>
        <v>3064502.89758637</v>
      </c>
      <c r="F102" s="22" t="n">
        <f aca="false">E134</f>
        <v>3429616.59581816</v>
      </c>
      <c r="G102" s="22" t="n">
        <f aca="false">F134</f>
        <v>3824277.78866772</v>
      </c>
      <c r="H102" s="22" t="n">
        <f aca="false">G134</f>
        <v>4195909.23202056</v>
      </c>
      <c r="I102" s="22" t="n">
        <f aca="false">H134</f>
        <v>4553255.82822133</v>
      </c>
      <c r="J102" s="22" t="n">
        <f aca="false">I134</f>
        <v>4724002.92177963</v>
      </c>
      <c r="K102" s="9"/>
    </row>
    <row r="103" customFormat="false" ht="15" hidden="false" customHeight="false" outlineLevel="0" collapsed="false">
      <c r="B103" s="7" t="s">
        <v>459</v>
      </c>
      <c r="C103" s="22" t="n">
        <f aca="false">Paramètres!$D$69*AN_depart</f>
        <v>0</v>
      </c>
      <c r="D103" s="22" t="n">
        <f aca="false">C135</f>
        <v>0</v>
      </c>
      <c r="E103" s="22" t="n">
        <f aca="false">D135</f>
        <v>0</v>
      </c>
      <c r="F103" s="22" t="n">
        <f aca="false">E135</f>
        <v>0</v>
      </c>
      <c r="G103" s="22" t="n">
        <f aca="false">F135</f>
        <v>0</v>
      </c>
      <c r="H103" s="22" t="n">
        <f aca="false">G135</f>
        <v>0</v>
      </c>
      <c r="I103" s="22" t="n">
        <f aca="false">H135</f>
        <v>0</v>
      </c>
      <c r="J103" s="22" t="n">
        <f aca="false">I135</f>
        <v>0</v>
      </c>
      <c r="K103" s="9"/>
    </row>
    <row r="104" customFormat="false" ht="15" hidden="false" customHeight="false" outlineLevel="0" collapsed="false">
      <c r="B104" s="7" t="s">
        <v>460</v>
      </c>
      <c r="C104" s="22" t="n">
        <f aca="false">Paramètres!$D$70*AN_depart</f>
        <v>1960000</v>
      </c>
      <c r="D104" s="22" t="n">
        <f aca="false">C136</f>
        <v>2015096.01619337</v>
      </c>
      <c r="E104" s="22" t="n">
        <f aca="false">D136</f>
        <v>1994420.66382132</v>
      </c>
      <c r="F104" s="22" t="n">
        <f aca="false">E136</f>
        <v>2034162.01909622</v>
      </c>
      <c r="G104" s="22" t="n">
        <f aca="false">F136</f>
        <v>2136549.5532821</v>
      </c>
      <c r="H104" s="22" t="n">
        <f aca="false">G136</f>
        <v>2253802.19506546</v>
      </c>
      <c r="I104" s="22" t="n">
        <f aca="false">H136</f>
        <v>2512090.52832755</v>
      </c>
      <c r="J104" s="22" t="n">
        <f aca="false">I136</f>
        <v>3007163.17252587</v>
      </c>
      <c r="K104" s="9"/>
    </row>
    <row r="105" customFormat="false" ht="15" hidden="false" customHeight="false" outlineLevel="0" collapsed="false">
      <c r="B105" s="7" t="s">
        <v>461</v>
      </c>
      <c r="C105" s="22" t="n">
        <f aca="false">Paramètres!$D$71*AN_depart</f>
        <v>1960000</v>
      </c>
      <c r="D105" s="22" t="n">
        <f aca="false">C137</f>
        <v>1908790.42982134</v>
      </c>
      <c r="E105" s="22" t="n">
        <f aca="false">D137</f>
        <v>1845804.59090142</v>
      </c>
      <c r="F105" s="22" t="n">
        <f aca="false">E137</f>
        <v>1847045.18076483</v>
      </c>
      <c r="G105" s="22" t="n">
        <f aca="false">F137</f>
        <v>1902596.37119297</v>
      </c>
      <c r="H105" s="22" t="n">
        <f aca="false">G137</f>
        <v>1961815.23013883</v>
      </c>
      <c r="I105" s="22" t="n">
        <f aca="false">H137</f>
        <v>2157188.80181344</v>
      </c>
      <c r="J105" s="22" t="n">
        <f aca="false">I137</f>
        <v>2581473.893957</v>
      </c>
      <c r="K105" s="9"/>
    </row>
    <row r="106" customFormat="false" ht="15" hidden="false" customHeight="false" outlineLevel="0" collapsed="false">
      <c r="B106" s="7" t="s">
        <v>462</v>
      </c>
      <c r="C106" s="22" t="n">
        <f aca="false">Paramètres!$D$72*AN_depart</f>
        <v>880000</v>
      </c>
      <c r="D106" s="22" t="n">
        <f aca="false">C138</f>
        <v>756613.978997095</v>
      </c>
      <c r="E106" s="22" t="n">
        <f aca="false">D138</f>
        <v>363977.450260322</v>
      </c>
      <c r="F106" s="22" t="n">
        <f aca="false">E138</f>
        <v>325086.741567792</v>
      </c>
      <c r="G106" s="22" t="n">
        <f aca="false">F138</f>
        <v>375126.181412593</v>
      </c>
      <c r="H106" s="22" t="n">
        <f aca="false">G138</f>
        <v>869547.971000913</v>
      </c>
      <c r="I106" s="22" t="n">
        <f aca="false">H138</f>
        <v>1158076.912065</v>
      </c>
      <c r="J106" s="22" t="n">
        <f aca="false">I138</f>
        <v>1295752.86721827</v>
      </c>
      <c r="K106" s="9"/>
    </row>
    <row r="107" customFormat="false" ht="15" hidden="false" customHeight="false" outlineLevel="0" collapsed="false">
      <c r="B107" s="7" t="s">
        <v>463</v>
      </c>
      <c r="C107" s="22" t="n">
        <f aca="false">W_cash*AN_depart</f>
        <v>400000</v>
      </c>
      <c r="D107" s="22" t="n">
        <f aca="false">C132</f>
        <v>80000</v>
      </c>
      <c r="E107" s="22" t="n">
        <f aca="false">D132</f>
        <v>226805.671613784</v>
      </c>
      <c r="F107" s="22" t="n">
        <f aca="false">E132</f>
        <v>220135.146786349</v>
      </c>
      <c r="G107" s="22" t="n">
        <f aca="false">F132</f>
        <v>410478.386990743</v>
      </c>
      <c r="H107" s="22" t="n">
        <f aca="false">G132</f>
        <v>467047.527203491</v>
      </c>
      <c r="I107" s="22" t="n">
        <f aca="false">H132</f>
        <v>526398.59639318</v>
      </c>
      <c r="J107" s="22" t="n">
        <f aca="false">I132</f>
        <v>588978.576008307</v>
      </c>
      <c r="K107" s="9"/>
    </row>
    <row r="108" customFormat="false" ht="15" hidden="false" customHeight="false" outlineLevel="0" collapsed="false">
      <c r="B108" s="7" t="s">
        <v>464</v>
      </c>
      <c r="C108" s="22" t="n">
        <f aca="false">NA_total</f>
        <v>1200000</v>
      </c>
      <c r="D108" s="22" t="n">
        <f aca="false">C139</f>
        <v>1000000</v>
      </c>
      <c r="E108" s="22" t="n">
        <f aca="false">D139</f>
        <v>800000</v>
      </c>
      <c r="F108" s="22" t="n">
        <f aca="false">E139</f>
        <v>600000</v>
      </c>
      <c r="G108" s="22" t="n">
        <f aca="false">F139</f>
        <v>400000</v>
      </c>
      <c r="H108" s="22" t="n">
        <f aca="false">G139</f>
        <v>200000</v>
      </c>
      <c r="I108" s="22" t="n">
        <f aca="false">H139</f>
        <v>0</v>
      </c>
      <c r="J108" s="22" t="n">
        <f aca="false">I139</f>
        <v>0</v>
      </c>
      <c r="K108" s="9" t="s">
        <v>465</v>
      </c>
    </row>
    <row r="110" customFormat="false" ht="22.35" hidden="false" customHeight="false" outlineLevel="0" collapsed="false">
      <c r="B110" s="7" t="s">
        <v>466</v>
      </c>
      <c r="C110" s="22" t="n">
        <f aca="false">MIN(C108,NA_total*Appels_base*Paramètres!$C$144)</f>
        <v>200000</v>
      </c>
      <c r="D110" s="22" t="n">
        <f aca="false">MIN(D108,NA_total*Appels_base*Paramètres!$D$144)</f>
        <v>200000</v>
      </c>
      <c r="E110" s="22" t="n">
        <f aca="false">MIN(E108,NA_total*Appels_base*Paramètres!$E$144)</f>
        <v>200000</v>
      </c>
      <c r="F110" s="22" t="n">
        <f aca="false">MIN(F108,NA_total*Appels_base*Paramètres!$F$144)</f>
        <v>200000</v>
      </c>
      <c r="G110" s="22" t="n">
        <f aca="false">MIN(G108,NA_total*Appels_base*Paramètres!$G$144)</f>
        <v>200000</v>
      </c>
      <c r="H110" s="22" t="n">
        <f aca="false">MIN(H108,NA_total*Appels_base*Paramètres!$H$144)</f>
        <v>200000</v>
      </c>
      <c r="I110" s="22" t="n">
        <f aca="false">MIN(I108,NA_total*Appels_base*Paramètres!$I$144)</f>
        <v>0</v>
      </c>
      <c r="J110" s="22" t="n">
        <f aca="false">MIN(J108,NA_total*Appels_base*Paramètres!$J$144)</f>
        <v>0</v>
      </c>
      <c r="K110" s="9" t="s">
        <v>467</v>
      </c>
    </row>
    <row r="111" customFormat="false" ht="15" hidden="false" customHeight="false" outlineLevel="0" collapsed="false">
      <c r="B111" s="7" t="s">
        <v>468</v>
      </c>
      <c r="C111" s="22" t="n">
        <f aca="false">(C102*Paramètres!$D$79+C103*Paramètres!$D$80)/2*Paramètres!$C$139</f>
        <v>58800</v>
      </c>
      <c r="D111" s="22" t="n">
        <f aca="false">(D102*Paramètres!$D$79+D103*Paramètres!$D$80)/2*Paramètres!$D$139</f>
        <v>50187.8287592582</v>
      </c>
      <c r="E111" s="22" t="n">
        <f aca="false">(E102*Paramètres!$D$79+E103*Paramètres!$D$80)/2*Paramètres!$E$139</f>
        <v>64354.5608493137</v>
      </c>
      <c r="F111" s="22" t="n">
        <f aca="false">(F102*Paramètres!$D$79+F103*Paramètres!$D$80)/2*Paramètres!$F$139</f>
        <v>87455.2231933631</v>
      </c>
      <c r="G111" s="22" t="n">
        <f aca="false">(G102*Paramètres!$D$79+G103*Paramètres!$D$80)/2*Paramètres!$G$139</f>
        <v>114728.333660032</v>
      </c>
      <c r="H111" s="22" t="n">
        <f aca="false">(H102*Paramètres!$D$79+H103*Paramètres!$D$80)/2*Paramètres!$H$139</f>
        <v>125877.276960617</v>
      </c>
      <c r="I111" s="22" t="n">
        <f aca="false">(I102*Paramètres!$D$79+I103*Paramètres!$D$80)/2*Paramètres!$I$139</f>
        <v>136597.67484664</v>
      </c>
      <c r="J111" s="22" t="n">
        <f aca="false">(J102*Paramètres!$D$79+J103*Paramètres!$D$80)/2*Paramètres!$J$139</f>
        <v>141720.087653389</v>
      </c>
      <c r="K111" s="9" t="s">
        <v>469</v>
      </c>
    </row>
    <row r="112" customFormat="false" ht="15" hidden="false" customHeight="false" outlineLevel="0" collapsed="false">
      <c r="B112" s="7" t="s">
        <v>470</v>
      </c>
      <c r="C112" s="22" t="n">
        <f aca="false">(C104*Paramètres!$D$81+C105*Paramètres!$D$82)/2*Paramètres!$C$139</f>
        <v>48020</v>
      </c>
      <c r="D112" s="22" t="n">
        <f aca="false">(D104*Paramètres!$D$81+D105*Paramètres!$D$82)/2*Paramètres!$D$139</f>
        <v>40722.4325444804</v>
      </c>
      <c r="E112" s="22" t="n">
        <f aca="false">(E104*Paramètres!$D$81+E105*Paramètres!$D$82)/2*Paramètres!$E$139</f>
        <v>46262.524987524</v>
      </c>
      <c r="F112" s="22" t="n">
        <f aca="false">(F104*Paramètres!$D$81+F105*Paramètres!$D$82)/2*Paramètres!$F$139</f>
        <v>56540.0872535705</v>
      </c>
      <c r="G112" s="22" t="n">
        <f aca="false">(G104*Paramètres!$D$81+G105*Paramètres!$D$82)/2*Paramètres!$G$139</f>
        <v>68930.4048126453</v>
      </c>
      <c r="H112" s="22" t="n">
        <f aca="false">(H104*Paramètres!$D$81+H105*Paramètres!$D$82)/2*Paramètres!$H$139</f>
        <v>71583.4027041255</v>
      </c>
      <c r="I112" s="22" t="n">
        <f aca="false">(I104*Paramètres!$D$81+I105*Paramètres!$D$82)/2*Paramètres!$I$139</f>
        <v>79050.6253286115</v>
      </c>
      <c r="J112" s="22" t="n">
        <f aca="false">(J104*Paramètres!$D$81+J105*Paramètres!$D$82)/2*Paramètres!$J$139</f>
        <v>94608.4790741836</v>
      </c>
      <c r="K112" s="9" t="s">
        <v>471</v>
      </c>
    </row>
    <row r="113" customFormat="false" ht="15" hidden="false" customHeight="false" outlineLevel="0" collapsed="false">
      <c r="B113" s="7" t="s">
        <v>472</v>
      </c>
      <c r="C113" s="22" t="n">
        <f aca="false">Frais_an/2*C89</f>
        <v>130396</v>
      </c>
      <c r="D113" s="22" t="n">
        <f aca="false">Frais_an/2*D89</f>
        <v>123040.249725343</v>
      </c>
      <c r="E113" s="22" t="n">
        <f aca="false">Frais_an/2*E89</f>
        <v>122173.086013549</v>
      </c>
      <c r="F113" s="22" t="n">
        <f aca="false">Frais_an/2*F89</f>
        <v>128049.616626902</v>
      </c>
      <c r="G113" s="22" t="n">
        <f aca="false">Frais_an/2*G89</f>
        <v>140974.836475061</v>
      </c>
      <c r="H113" s="22" t="n">
        <f aca="false">Frais_an/2*H89</f>
        <v>158889.517072419</v>
      </c>
      <c r="I113" s="22" t="n">
        <f aca="false">Frais_an/2*I89</f>
        <v>177778.820363841</v>
      </c>
      <c r="J113" s="22" t="n">
        <f aca="false">Frais_an/2*J89</f>
        <v>198811.055647556</v>
      </c>
      <c r="K113" s="9"/>
    </row>
    <row r="114" customFormat="false" ht="15" hidden="false" customHeight="false" outlineLevel="0" collapsed="false">
      <c r="B114" s="7" t="s">
        <v>473</v>
      </c>
      <c r="C114" s="22" t="n">
        <f aca="false">C107*Paramètres!$C$84/2</f>
        <v>5000</v>
      </c>
      <c r="D114" s="22" t="n">
        <f aca="false">D107*Paramètres!$C$84/2</f>
        <v>1000</v>
      </c>
      <c r="E114" s="22" t="n">
        <f aca="false">E107*Paramètres!$C$84/2</f>
        <v>2835.07089517229</v>
      </c>
      <c r="F114" s="22" t="n">
        <f aca="false">F107*Paramètres!$C$84/2</f>
        <v>2751.68933482936</v>
      </c>
      <c r="G114" s="22" t="n">
        <f aca="false">G107*Paramètres!$C$84/2</f>
        <v>5130.97983738429</v>
      </c>
      <c r="H114" s="22" t="n">
        <f aca="false">H107*Paramètres!$C$84/2</f>
        <v>5838.09409004364</v>
      </c>
      <c r="I114" s="22" t="n">
        <f aca="false">I107*Paramètres!$C$84/2</f>
        <v>6579.98245491475</v>
      </c>
      <c r="J114" s="22" t="n">
        <f aca="false">J107*Paramètres!$C$84/2</f>
        <v>7362.23220010383</v>
      </c>
      <c r="K114" s="9"/>
    </row>
    <row r="115" customFormat="false" ht="15" hidden="false" customHeight="false" outlineLevel="0" collapsed="false">
      <c r="B115" s="7" t="s">
        <v>474</v>
      </c>
      <c r="C115" s="22" t="n">
        <f aca="false">C96+C110+C113-C90-C111-C112-C114</f>
        <v>418576</v>
      </c>
      <c r="D115" s="22" t="n">
        <f aca="false">D96+D110+D113-D90-D111-D112-D114</f>
        <v>419847.816768091</v>
      </c>
      <c r="E115" s="22" t="n">
        <f aca="false">E96+E110+E113-E90-E111-E112-E114</f>
        <v>208720.929281539</v>
      </c>
      <c r="F115" s="22" t="n">
        <f aca="false">F96+F110+F113-F90-F111-F112-F114</f>
        <v>-172219.438936362</v>
      </c>
      <c r="G115" s="22" t="n">
        <f aca="false">G96+G110+G113-G90-G111-G112-G114</f>
        <v>-539737.14435869</v>
      </c>
      <c r="H115" s="22" t="n">
        <f aca="false">H96+H110+H113-H90-H111-H112-H114</f>
        <v>-624259.029116707</v>
      </c>
      <c r="I115" s="22" t="n">
        <f aca="false">I96+I110+I113-I90-I111-I112-I114</f>
        <v>-917010.315611965</v>
      </c>
      <c r="J115" s="22" t="n">
        <f aca="false">J96+J110+J113-J90-J111-J112-J114</f>
        <v>-1020669.45779925</v>
      </c>
      <c r="K115" s="9" t="s">
        <v>475</v>
      </c>
    </row>
    <row r="116" customFormat="false" ht="15" hidden="false" customHeight="false" outlineLevel="0" collapsed="false">
      <c r="B116" s="7" t="s">
        <v>476</v>
      </c>
      <c r="C116" s="22" t="n">
        <f aca="false">MAX(0,C107-Cash_min*C89)</f>
        <v>320000</v>
      </c>
      <c r="D116" s="22" t="n">
        <f aca="false">MAX(0,D107-Cash_min*D89)</f>
        <v>4512.86866140511</v>
      </c>
      <c r="E116" s="22" t="n">
        <f aca="false">MAX(0,E107-Cash_min*E89)</f>
        <v>151850.558871951</v>
      </c>
      <c r="F116" s="22" t="n">
        <f aca="false">MAX(0,F107-Cash_min*F89)</f>
        <v>141574.689946015</v>
      </c>
      <c r="G116" s="22" t="n">
        <f aca="false">MAX(0,G107-Cash_min*G89)</f>
        <v>323988.104175282</v>
      </c>
      <c r="H116" s="22" t="n">
        <f aca="false">MAX(0,H107-Cash_min*H89)</f>
        <v>369566.305649198</v>
      </c>
      <c r="I116" s="22" t="n">
        <f aca="false">MAX(0,I107-Cash_min*I89)</f>
        <v>417328.489724975</v>
      </c>
      <c r="J116" s="22" t="n">
        <f aca="false">MAX(0,J107-Cash_min*J89)</f>
        <v>467004.861693416</v>
      </c>
      <c r="K116" s="9" t="s">
        <v>477</v>
      </c>
    </row>
    <row r="117" customFormat="false" ht="15" hidden="false" customHeight="false" outlineLevel="0" collapsed="false">
      <c r="B117" s="7" t="s">
        <v>478</v>
      </c>
      <c r="C117" s="22" t="n">
        <f aca="false">MAX(0,C115-C116)</f>
        <v>98576</v>
      </c>
      <c r="D117" s="22" t="n">
        <f aca="false">MAX(0,D115-D116)</f>
        <v>415334.948106686</v>
      </c>
      <c r="E117" s="22" t="n">
        <f aca="false">MAX(0,E115-E116)</f>
        <v>56870.3704095879</v>
      </c>
      <c r="F117" s="22" t="n">
        <f aca="false">MAX(0,F115-F116)</f>
        <v>0</v>
      </c>
      <c r="G117" s="22" t="n">
        <f aca="false">MAX(0,G115-G116)</f>
        <v>0</v>
      </c>
      <c r="H117" s="22" t="n">
        <f aca="false">MAX(0,H115-H116)</f>
        <v>0</v>
      </c>
      <c r="I117" s="22" t="n">
        <f aca="false">MAX(0,I115-I116)</f>
        <v>0</v>
      </c>
      <c r="J117" s="22" t="n">
        <f aca="false">MAX(0,J115-J116)</f>
        <v>0</v>
      </c>
      <c r="K117" s="9"/>
    </row>
    <row r="118" customFormat="false" ht="15" hidden="false" customHeight="false" outlineLevel="0" collapsed="false">
      <c r="B118" s="7" t="s">
        <v>479</v>
      </c>
      <c r="C118" s="22" t="n">
        <f aca="false">MIN(C117,C106*(1+'MST Scénarios'!C45))</f>
        <v>98576</v>
      </c>
      <c r="D118" s="22" t="n">
        <f aca="false">MIN(D117,D106*(1+'MST Scénarios'!D45))</f>
        <v>415334.948106686</v>
      </c>
      <c r="E118" s="22" t="n">
        <f aca="false">MIN(E117,E106*(1+'MST Scénarios'!E45))</f>
        <v>56870.3704095879</v>
      </c>
      <c r="F118" s="22" t="n">
        <f aca="false">MIN(F117,F106*(1+'MST Scénarios'!F45))</f>
        <v>0</v>
      </c>
      <c r="G118" s="22" t="n">
        <f aca="false">MIN(G117,G106*(1+'MST Scénarios'!G45))</f>
        <v>0</v>
      </c>
      <c r="H118" s="22" t="n">
        <f aca="false">MIN(H117,H106*(1+'MST Scénarios'!H45))</f>
        <v>0</v>
      </c>
      <c r="I118" s="22" t="n">
        <f aca="false">MIN(I117,I106*(1+'MST Scénarios'!I45))</f>
        <v>0</v>
      </c>
      <c r="J118" s="22" t="n">
        <f aca="false">MIN(J117,J106*(1+'MST Scénarios'!J45))</f>
        <v>0</v>
      </c>
      <c r="K118" s="9" t="s">
        <v>480</v>
      </c>
    </row>
    <row r="119" customFormat="false" ht="15" hidden="false" customHeight="false" outlineLevel="0" collapsed="false">
      <c r="B119" s="7" t="s">
        <v>481</v>
      </c>
      <c r="C119" s="22" t="n">
        <f aca="false">C118*Paramètres!$J$83</f>
        <v>985.76</v>
      </c>
      <c r="D119" s="22" t="n">
        <f aca="false">D118*Paramètres!$J$83</f>
        <v>4153.34948106686</v>
      </c>
      <c r="E119" s="22" t="n">
        <f aca="false">E118*Paramètres!$J$83</f>
        <v>568.703704095879</v>
      </c>
      <c r="F119" s="22" t="n">
        <f aca="false">F118*Paramètres!$J$83</f>
        <v>0</v>
      </c>
      <c r="G119" s="22" t="n">
        <f aca="false">G118*Paramètres!$J$83</f>
        <v>0</v>
      </c>
      <c r="H119" s="22" t="n">
        <f aca="false">H118*Paramètres!$J$83</f>
        <v>0</v>
      </c>
      <c r="I119" s="22" t="n">
        <f aca="false">I118*Paramètres!$J$83</f>
        <v>0</v>
      </c>
      <c r="J119" s="22" t="n">
        <f aca="false">J118*Paramètres!$J$83</f>
        <v>0</v>
      </c>
      <c r="K119" s="9" t="s">
        <v>482</v>
      </c>
    </row>
    <row r="120" customFormat="false" ht="15" hidden="false" customHeight="false" outlineLevel="0" collapsed="false">
      <c r="B120" s="7" t="s">
        <v>483</v>
      </c>
      <c r="C120" s="22" t="n">
        <f aca="false">MAX(0,C117-C118*(1-Paramètres!$J$83))</f>
        <v>985.759999999995</v>
      </c>
      <c r="D120" s="22" t="n">
        <f aca="false">MAX(0,D117-D118*(1-Paramètres!$J$83))</f>
        <v>4153.34948106686</v>
      </c>
      <c r="E120" s="22" t="n">
        <f aca="false">MAX(0,E117-E118*(1-Paramètres!$J$83))</f>
        <v>568.703704095882</v>
      </c>
      <c r="F120" s="22" t="n">
        <f aca="false">MAX(0,F117-F118*(1-Paramètres!$J$83))</f>
        <v>0</v>
      </c>
      <c r="G120" s="22" t="n">
        <f aca="false">MAX(0,G117-G118*(1-Paramètres!$J$83))</f>
        <v>0</v>
      </c>
      <c r="H120" s="22" t="n">
        <f aca="false">MAX(0,H117-H118*(1-Paramètres!$J$83))</f>
        <v>0</v>
      </c>
      <c r="I120" s="22" t="n">
        <f aca="false">MAX(0,I117-I118*(1-Paramètres!$J$83))</f>
        <v>0</v>
      </c>
      <c r="J120" s="22" t="n">
        <f aca="false">MAX(0,J117-J118*(1-Paramètres!$J$83))</f>
        <v>0</v>
      </c>
      <c r="K120" s="9"/>
    </row>
    <row r="121" customFormat="false" ht="15" hidden="false" customHeight="false" outlineLevel="0" collapsed="false">
      <c r="B121" s="7" t="s">
        <v>484</v>
      </c>
      <c r="C121" s="22" t="n">
        <f aca="false">MAX(0,(C104*Paramètres!$F$70+C105*Paramètres!$F$71)*2*(1-Paramètres!$C$149)-C112)</f>
        <v>147980</v>
      </c>
      <c r="D121" s="22" t="n">
        <f aca="false">MAX(0,(D104*Paramètres!$F$70+D105*Paramètres!$F$71)*2*(1-Paramètres!$D$149)-D112)</f>
        <v>155471.889756255</v>
      </c>
      <c r="E121" s="22" t="n">
        <f aca="false">MAX(0,(E104*Paramètres!$F$70+E105*Paramètres!$F$71)*2*(1-Paramètres!$E$149)-E112)</f>
        <v>145748.737748613</v>
      </c>
      <c r="F121" s="22" t="n">
        <f aca="false">MAX(0,(F104*Paramètres!$F$70+F105*Paramètres!$F$71)*2*(1-Paramètres!$F$149)-F112)</f>
        <v>176332.344738093</v>
      </c>
      <c r="G121" s="22" t="n">
        <f aca="false">MAX(0,(G104*Paramètres!$F$70+G105*Paramètres!$F$71)*2*(1-Paramètres!$G$149)-G112)</f>
        <v>213809.80990061</v>
      </c>
      <c r="H121" s="22" t="n">
        <f aca="false">MAX(0,(H104*Paramètres!$F$70+H105*Paramètres!$F$71)*2*(1-Paramètres!$H$149)-H112)</f>
        <v>223509.817060175</v>
      </c>
      <c r="I121" s="22" t="n">
        <f aca="false">MAX(0,(I104*Paramètres!$F$70+I105*Paramètres!$F$71)*2*(1-Paramètres!$I$149)-I112)</f>
        <v>247798.927781258</v>
      </c>
      <c r="J121" s="22" t="n">
        <f aca="false">MAX(0,(J104*Paramètres!$F$70+J105*Paramètres!$F$71)*2*(1-Paramètres!$J$149)-J112)</f>
        <v>296596.115579617</v>
      </c>
      <c r="K121" s="9" t="s">
        <v>485</v>
      </c>
    </row>
    <row r="122" customFormat="false" ht="22.35" hidden="false" customHeight="false" outlineLevel="0" collapsed="false">
      <c r="B122" s="7" t="s">
        <v>486</v>
      </c>
      <c r="C122" s="22" t="n">
        <f aca="false">MAX(C120,Poche_min_exec*C89-(C107-C115+C118*(1-Paramètres!$J$83)+C106*(1+'MST Scénarios'!C45)-C118))</f>
        <v>985.759999999995</v>
      </c>
      <c r="D122" s="22" t="n">
        <f aca="false">MAX(D120,Poche_min_exec*D89-(D107-D115+D118*(1-Paramètres!$J$83)+D106*(1+'MST Scénarios'!D45)-D118))</f>
        <v>319560.081268099</v>
      </c>
      <c r="E122" s="22" t="n">
        <f aca="false">MAX(E120,Poche_min_exec*E89-(E107-E115+E118*(1-Paramètres!$J$83)+E106*(1+'MST Scénarios'!E45)-E118))</f>
        <v>350077.976812793</v>
      </c>
      <c r="F122" s="22" t="n">
        <f aca="false">MAX(F120,Poche_min_exec*F89-(F107-F115+F118*(1-Paramètres!$J$83)+F106*(1+'MST Scénarios'!F45)-F118))</f>
        <v>52104.6923266122</v>
      </c>
      <c r="G122" s="22" t="n">
        <f aca="false">MAX(G120,Poche_min_exec*G89-(G107-G115+G118*(1-Paramètres!$J$83)+G106*(1+'MST Scénarios'!G45)-G118))</f>
        <v>0</v>
      </c>
      <c r="H122" s="22" t="n">
        <f aca="false">MAX(H120,Poche_min_exec*H89-(H107-H115+H118*(1-Paramètres!$J$83)+H106*(1+'MST Scénarios'!H45)-H118))</f>
        <v>0</v>
      </c>
      <c r="I122" s="22" t="n">
        <f aca="false">MAX(I120,Poche_min_exec*I89-(I107-I115+I118*(1-Paramètres!$J$83)+I106*(1+'MST Scénarios'!I45)-I118))</f>
        <v>0</v>
      </c>
      <c r="J122" s="22" t="n">
        <f aca="false">MAX(J120,Poche_min_exec*J89-(J107-J115+J118*(1-Paramètres!$J$83)+J106*(1+'MST Scénarios'!J45)-J118))</f>
        <v>0</v>
      </c>
      <c r="K122" s="9" t="s">
        <v>487</v>
      </c>
    </row>
    <row r="123" customFormat="false" ht="22.35" hidden="false" customHeight="false" outlineLevel="0" collapsed="false">
      <c r="B123" s="7" t="s">
        <v>488</v>
      </c>
      <c r="C123" s="22" t="n">
        <f aca="false">MAX(0,MIN(C122,C121))</f>
        <v>985.759999999995</v>
      </c>
      <c r="D123" s="22" t="n">
        <f aca="false">MAX(0,MIN(D122,D121))</f>
        <v>155471.889756255</v>
      </c>
      <c r="E123" s="22" t="n">
        <f aca="false">MAX(0,MIN(E122,E121))</f>
        <v>145748.737748613</v>
      </c>
      <c r="F123" s="22" t="n">
        <f aca="false">MAX(0,MIN(F122,F121))</f>
        <v>52104.6923266122</v>
      </c>
      <c r="G123" s="22" t="n">
        <f aca="false">MAX(0,MIN(G122,G121))</f>
        <v>0</v>
      </c>
      <c r="H123" s="22" t="n">
        <f aca="false">MAX(0,MIN(H122,H121))</f>
        <v>0</v>
      </c>
      <c r="I123" s="22" t="n">
        <f aca="false">MAX(0,MIN(I122,I121))</f>
        <v>0</v>
      </c>
      <c r="J123" s="22" t="n">
        <f aca="false">MAX(0,MIN(J122,J121))</f>
        <v>0</v>
      </c>
      <c r="K123" s="9" t="s">
        <v>489</v>
      </c>
    </row>
    <row r="124" customFormat="false" ht="15" hidden="false" customHeight="false" outlineLevel="0" collapsed="false">
      <c r="B124" s="7" t="s">
        <v>490</v>
      </c>
      <c r="C124" s="22" t="n">
        <f aca="false">MAX(0,C120-C123)</f>
        <v>0</v>
      </c>
      <c r="D124" s="22" t="n">
        <f aca="false">MAX(0,D120-D123)</f>
        <v>0</v>
      </c>
      <c r="E124" s="22" t="n">
        <f aca="false">MAX(0,E120-E123)</f>
        <v>0</v>
      </c>
      <c r="F124" s="22" t="n">
        <f aca="false">MAX(0,F120-F123)</f>
        <v>0</v>
      </c>
      <c r="G124" s="22" t="n">
        <f aca="false">MAX(0,G120-G123)</f>
        <v>0</v>
      </c>
      <c r="H124" s="22" t="n">
        <f aca="false">MAX(0,H120-H123)</f>
        <v>0</v>
      </c>
      <c r="I124" s="22" t="n">
        <f aca="false">MAX(0,I120-I123)</f>
        <v>0</v>
      </c>
      <c r="J124" s="22" t="n">
        <f aca="false">MAX(0,J120-J123)</f>
        <v>0</v>
      </c>
      <c r="K124" s="9"/>
    </row>
    <row r="125" customFormat="false" ht="15" hidden="false" customHeight="false" outlineLevel="0" collapsed="false">
      <c r="B125" s="7" t="s">
        <v>491</v>
      </c>
      <c r="C125" s="22" t="n">
        <f aca="false">IF(Cession_autorisee=1,MIN(C124/(1-Paramètres!$J$79),C102+C103),0)</f>
        <v>0</v>
      </c>
      <c r="D125" s="22" t="n">
        <f aca="false">IF(Cession_autorisee=1,MIN(D124/(1-Paramètres!$J$79),D102+D103),0)</f>
        <v>0</v>
      </c>
      <c r="E125" s="22" t="n">
        <f aca="false">IF(Cession_autorisee=1,MIN(E124/(1-Paramètres!$J$79),E102+E103),0)</f>
        <v>0</v>
      </c>
      <c r="F125" s="22" t="n">
        <f aca="false">IF(Cession_autorisee=1,MIN(F124/(1-Paramètres!$J$79),F102+F103),0)</f>
        <v>0</v>
      </c>
      <c r="G125" s="22" t="n">
        <f aca="false">IF(Cession_autorisee=1,MIN(G124/(1-Paramètres!$J$79),G102+G103),0)</f>
        <v>0</v>
      </c>
      <c r="H125" s="22" t="n">
        <f aca="false">IF(Cession_autorisee=1,MIN(H124/(1-Paramètres!$J$79),H102+H103),0)</f>
        <v>0</v>
      </c>
      <c r="I125" s="22" t="n">
        <f aca="false">IF(Cession_autorisee=1,MIN(I124/(1-Paramètres!$J$79),I102+I103),0)</f>
        <v>0</v>
      </c>
      <c r="J125" s="22" t="n">
        <f aca="false">IF(Cession_autorisee=1,MIN(J124/(1-Paramètres!$J$79),J102+J103),0)</f>
        <v>0</v>
      </c>
      <c r="K125" s="9" t="s">
        <v>492</v>
      </c>
    </row>
    <row r="126" customFormat="false" ht="15" hidden="false" customHeight="false" outlineLevel="0" collapsed="false">
      <c r="B126" s="7" t="s">
        <v>493</v>
      </c>
      <c r="C126" s="22" t="n">
        <f aca="false">C125*Paramètres!$J$79</f>
        <v>0</v>
      </c>
      <c r="D126" s="22" t="n">
        <f aca="false">D125*Paramètres!$J$79</f>
        <v>0</v>
      </c>
      <c r="E126" s="22" t="n">
        <f aca="false">E125*Paramètres!$J$79</f>
        <v>0</v>
      </c>
      <c r="F126" s="22" t="n">
        <f aca="false">F125*Paramètres!$J$79</f>
        <v>0</v>
      </c>
      <c r="G126" s="22" t="n">
        <f aca="false">G125*Paramètres!$J$79</f>
        <v>0</v>
      </c>
      <c r="H126" s="22" t="n">
        <f aca="false">H125*Paramètres!$J$79</f>
        <v>0</v>
      </c>
      <c r="I126" s="22" t="n">
        <f aca="false">I125*Paramètres!$J$79</f>
        <v>0</v>
      </c>
      <c r="J126" s="22" t="n">
        <f aca="false">J125*Paramètres!$J$79</f>
        <v>0</v>
      </c>
      <c r="K126" s="9"/>
    </row>
    <row r="127" customFormat="false" ht="15" hidden="false" customHeight="false" outlineLevel="0" collapsed="false">
      <c r="B127" s="7" t="s">
        <v>494</v>
      </c>
      <c r="C127" s="22" t="n">
        <f aca="false">MAX(0,C124-C125*(1-Paramètres!$J$79))</f>
        <v>0</v>
      </c>
      <c r="D127" s="22" t="n">
        <f aca="false">MAX(0,D124-D125*(1-Paramètres!$J$79))</f>
        <v>0</v>
      </c>
      <c r="E127" s="22" t="n">
        <f aca="false">MAX(0,E124-E125*(1-Paramètres!$J$79))</f>
        <v>0</v>
      </c>
      <c r="F127" s="22" t="n">
        <f aca="false">MAX(0,F124-F125*(1-Paramètres!$J$79))</f>
        <v>0</v>
      </c>
      <c r="G127" s="22" t="n">
        <f aca="false">MAX(0,G124-G125*(1-Paramètres!$J$79))</f>
        <v>0</v>
      </c>
      <c r="H127" s="22" t="n">
        <f aca="false">MAX(0,H124-H125*(1-Paramètres!$J$79))</f>
        <v>0</v>
      </c>
      <c r="I127" s="22" t="n">
        <f aca="false">MAX(0,I124-I125*(1-Paramètres!$J$79))</f>
        <v>0</v>
      </c>
      <c r="J127" s="22" t="n">
        <f aca="false">MAX(0,J124-J125*(1-Paramètres!$J$79))</f>
        <v>0</v>
      </c>
      <c r="K127" s="9" t="s">
        <v>495</v>
      </c>
    </row>
    <row r="128" customFormat="false" ht="22.35" hidden="false" customHeight="false" outlineLevel="0" collapsed="false">
      <c r="B128" s="7" t="s">
        <v>496</v>
      </c>
      <c r="C128" s="22" t="n">
        <f aca="false">C107-C115+C118*(1-Paramètres!$J$83)+C123+C125*(1-Paramètres!$J$79)+C127</f>
        <v>80000</v>
      </c>
      <c r="D128" s="22" t="n">
        <f aca="false">D107-D115+D118*(1-Paramètres!$J$83)+D123+D125*(1-Paramètres!$J$79)+D127</f>
        <v>226805.671613784</v>
      </c>
      <c r="E128" s="22" t="n">
        <f aca="false">E107-E115+E118*(1-Paramètres!$J$83)+E123+E125*(1-Paramètres!$J$79)+E127</f>
        <v>220135.146786349</v>
      </c>
      <c r="F128" s="22" t="n">
        <f aca="false">F107-F115+F118*(1-Paramètres!$J$83)+F123+F125*(1-Paramètres!$J$79)+F127</f>
        <v>444459.278049323</v>
      </c>
      <c r="G128" s="22" t="n">
        <f aca="false">G107-G115+G118*(1-Paramètres!$J$83)+G123+G125*(1-Paramètres!$J$79)+G127</f>
        <v>950215.531349433</v>
      </c>
      <c r="H128" s="22" t="n">
        <f aca="false">H107-H115+H118*(1-Paramètres!$J$83)+H123+H125*(1-Paramètres!$J$79)+H127</f>
        <v>1091306.5563202</v>
      </c>
      <c r="I128" s="22" t="n">
        <f aca="false">I107-I115+I118*(1-Paramètres!$J$83)+I123+I125*(1-Paramètres!$J$79)+I127</f>
        <v>1443408.91200515</v>
      </c>
      <c r="J128" s="22" t="n">
        <f aca="false">J107-J115+J118*(1-Paramètres!$J$83)+J123+J125*(1-Paramètres!$J$79)+J127</f>
        <v>1609648.03380755</v>
      </c>
      <c r="K128" s="9" t="s">
        <v>497</v>
      </c>
    </row>
    <row r="129" customFormat="false" ht="15" hidden="false" customHeight="false" outlineLevel="0" collapsed="false">
      <c r="B129" s="7" t="s">
        <v>498</v>
      </c>
      <c r="C129" s="22" t="n">
        <f aca="false">MAX(0,C128-Cash_cible*(C89+C90-C96))*Reinvest_actif</f>
        <v>0</v>
      </c>
      <c r="D129" s="22" t="n">
        <f aca="false">MAX(0,D128-Cash_cible*(D89+D90-D96))*Reinvest_actif</f>
        <v>0</v>
      </c>
      <c r="E129" s="22" t="n">
        <f aca="false">MAX(0,E128-Cash_cible*(E89+E90-E96))*Reinvest_actif</f>
        <v>0</v>
      </c>
      <c r="F129" s="22" t="n">
        <f aca="false">MAX(0,F128-Cash_cible*(F89+F90-F96))*Reinvest_actif</f>
        <v>33980.8910585807</v>
      </c>
      <c r="G129" s="22" t="n">
        <f aca="false">MAX(0,G128-Cash_cible*(G89+G90-G96))*Reinvest_actif</f>
        <v>483168.004145942</v>
      </c>
      <c r="H129" s="22" t="n">
        <f aca="false">MAX(0,H128-Cash_cible*(H89+H90-H96))*Reinvest_actif</f>
        <v>564907.959927018</v>
      </c>
      <c r="I129" s="22" t="n">
        <f aca="false">MAX(0,I128-Cash_cible*(I89+I90-I96))*Reinvest_actif</f>
        <v>854430.335996838</v>
      </c>
      <c r="J129" s="22" t="n">
        <f aca="false">MAX(0,J128-Cash_cible*(J89+J90-J96))*Reinvest_actif</f>
        <v>950989.976507143</v>
      </c>
      <c r="K129" s="9" t="s">
        <v>499</v>
      </c>
    </row>
    <row r="130" customFormat="false" ht="15" hidden="false" customHeight="false" outlineLevel="0" collapsed="false">
      <c r="B130" s="7" t="s">
        <v>500</v>
      </c>
      <c r="C130" s="22" t="n">
        <f aca="false">MIN(C129,MAX(0,(Liq_cible-Cash_cible)*(C89+C90-C96)-(C106*(1+'MST Scénarios'!C45)-C118)))</f>
        <v>0</v>
      </c>
      <c r="D130" s="22" t="n">
        <f aca="false">MIN(D129,MAX(0,(Liq_cible-Cash_cible)*(D89+D90-D96)-(D106*(1+'MST Scénarios'!D45)-D118)))</f>
        <v>0</v>
      </c>
      <c r="E130" s="22" t="n">
        <f aca="false">MIN(E129,MAX(0,(Liq_cible-Cash_cible)*(E89+E90-E96)-(E106*(1+'MST Scénarios'!E45)-E118)))</f>
        <v>0</v>
      </c>
      <c r="F130" s="22" t="n">
        <f aca="false">MIN(F129,MAX(0,(Liq_cible-Cash_cible)*(F89+F90-F96)-(F106*(1+'MST Scénarios'!F45)-F118)))</f>
        <v>33980.8910585807</v>
      </c>
      <c r="G130" s="22" t="n">
        <f aca="false">MIN(G129,MAX(0,(Liq_cible-Cash_cible)*(G89+G90-G96)-(G106*(1+'MST Scénarios'!G45)-G118)))</f>
        <v>483168.004145942</v>
      </c>
      <c r="H130" s="22" t="n">
        <f aca="false">MIN(H129,MAX(0,(Liq_cible-Cash_cible)*(H89+H90-H96)-(H106*(1+'MST Scénarios'!H45)-H118)))</f>
        <v>262442.501934056</v>
      </c>
      <c r="I130" s="22" t="n">
        <f aca="false">MIN(I129,MAX(0,(Liq_cible-Cash_cible)*(I89+I90-I96)-(I106*(1+'MST Scénarios'!I45)-I118)))</f>
        <v>102933.647791329</v>
      </c>
      <c r="J130" s="22" t="n">
        <f aca="false">MIN(J129,MAX(0,(Liq_cible-Cash_cible)*(J89+J90-J96)-(J106*(1+'MST Scénarios'!J45)-J118)))</f>
        <v>114422.272826078</v>
      </c>
      <c r="K130" s="9"/>
    </row>
    <row r="131" customFormat="false" ht="22.35" hidden="false" customHeight="false" outlineLevel="0" collapsed="false">
      <c r="B131" s="7" t="s">
        <v>501</v>
      </c>
      <c r="C131" s="22" t="n">
        <f aca="false">C129-C130</f>
        <v>0</v>
      </c>
      <c r="D131" s="22" t="n">
        <f aca="false">D129-D130</f>
        <v>0</v>
      </c>
      <c r="E131" s="22" t="n">
        <f aca="false">E129-E130</f>
        <v>0</v>
      </c>
      <c r="F131" s="22" t="n">
        <f aca="false">F129-F130</f>
        <v>0</v>
      </c>
      <c r="G131" s="22" t="n">
        <f aca="false">G129-G130</f>
        <v>0</v>
      </c>
      <c r="H131" s="22" t="n">
        <f aca="false">H129-H130</f>
        <v>302465.457992962</v>
      </c>
      <c r="I131" s="22" t="n">
        <f aca="false">I129-I130</f>
        <v>751496.688205509</v>
      </c>
      <c r="J131" s="22" t="n">
        <f aca="false">J129-J130</f>
        <v>836567.703681064</v>
      </c>
      <c r="K131" s="9" t="s">
        <v>502</v>
      </c>
    </row>
    <row r="132" customFormat="false" ht="15" hidden="false" customHeight="false" outlineLevel="0" collapsed="false">
      <c r="B132" s="7" t="s">
        <v>503</v>
      </c>
      <c r="C132" s="22" t="n">
        <f aca="false">C128-C130-C131</f>
        <v>80000</v>
      </c>
      <c r="D132" s="22" t="n">
        <f aca="false">D128-D130-D131</f>
        <v>226805.671613784</v>
      </c>
      <c r="E132" s="22" t="n">
        <f aca="false">E128-E130-E131</f>
        <v>220135.146786349</v>
      </c>
      <c r="F132" s="22" t="n">
        <f aca="false">F128-F130-F131</f>
        <v>410478.386990743</v>
      </c>
      <c r="G132" s="22" t="n">
        <f aca="false">G128-G130-G131</f>
        <v>467047.527203491</v>
      </c>
      <c r="H132" s="22" t="n">
        <f aca="false">H128-H130-H131</f>
        <v>526398.59639318</v>
      </c>
      <c r="I132" s="22" t="n">
        <f aca="false">I128-I130-I131</f>
        <v>588978.576008307</v>
      </c>
      <c r="J132" s="22" t="n">
        <f aca="false">J128-J130-J131</f>
        <v>658658.05730041</v>
      </c>
      <c r="K132" s="9"/>
    </row>
    <row r="134" customFormat="false" ht="22.35" hidden="false" customHeight="false" outlineLevel="0" collapsed="false">
      <c r="B134" s="7" t="s">
        <v>504</v>
      </c>
      <c r="C134" s="22" t="n">
        <f aca="false">C102*(1+'MST Scénarios'!C41)+C110*Paramètres!$E$68*Paramètres!$D$68/(Paramètres!$E$68*Paramètres!$D$68+Paramètres!$E$69*Paramètres!$D$69)-C102*Paramètres!$D$79/2*Paramètres!$C$139-C125*C102/(C102+C103)</f>
        <v>2788212.70884768</v>
      </c>
      <c r="D134" s="22" t="n">
        <f aca="false">D102*(1+'MST Scénarios'!D41)+D110*Paramètres!$E$68*Paramètres!$D$68/(Paramètres!$E$68*Paramètres!$D$68+Paramètres!$E$69*Paramètres!$D$69)-D102*Paramètres!$D$79/2*Paramètres!$D$139-D125*D102/(D102+D103)</f>
        <v>3064502.89758637</v>
      </c>
      <c r="E134" s="22" t="n">
        <f aca="false">E102*(1+'MST Scénarios'!E41)+E110*Paramètres!$E$68*Paramètres!$D$68/(Paramètres!$E$68*Paramètres!$D$68+Paramètres!$E$69*Paramètres!$D$69)-E102*Paramètres!$D$79/2*Paramètres!$E$139-E125*E102/(E102+E103)</f>
        <v>3429616.59581816</v>
      </c>
      <c r="F134" s="22" t="n">
        <f aca="false">F102*(1+'MST Scénarios'!F41)+F110*Paramètres!$E$68*Paramètres!$D$68/(Paramètres!$E$68*Paramètres!$D$68+Paramètres!$E$69*Paramètres!$D$69)-F102*Paramètres!$D$79/2*Paramètres!$F$139-F125*F102/(F102+F103)</f>
        <v>3824277.78866772</v>
      </c>
      <c r="G134" s="22" t="n">
        <f aca="false">G102*(1+'MST Scénarios'!G41)+G110*Paramètres!$E$68*Paramètres!$D$68/(Paramètres!$E$68*Paramètres!$D$68+Paramètres!$E$69*Paramètres!$D$69)-G102*Paramètres!$D$79/2*Paramètres!$G$139-G125*G102/(G102+G103)</f>
        <v>4195909.23202056</v>
      </c>
      <c r="H134" s="22" t="n">
        <f aca="false">H102*(1+'MST Scénarios'!H41)+H110*Paramètres!$E$68*Paramètres!$D$68/(Paramètres!$E$68*Paramètres!$D$68+Paramètres!$E$69*Paramètres!$D$69)-H102*Paramètres!$D$79/2*Paramètres!$H$139-H125*H102/(H102+H103)</f>
        <v>4553255.82822133</v>
      </c>
      <c r="I134" s="22" t="n">
        <f aca="false">I102*(1+'MST Scénarios'!I41)+I110*Paramètres!$E$68*Paramètres!$D$68/(Paramètres!$E$68*Paramètres!$D$68+Paramètres!$E$69*Paramètres!$D$69)-I102*Paramètres!$D$79/2*Paramètres!$I$139-I125*I102/(I102+I103)</f>
        <v>4724002.92177963</v>
      </c>
      <c r="J134" s="22" t="n">
        <f aca="false">J102*(1+'MST Scénarios'!J41)+J110*Paramètres!$E$68*Paramètres!$D$68/(Paramètres!$E$68*Paramètres!$D$68+Paramètres!$E$69*Paramètres!$D$69)-J102*Paramètres!$D$79/2*Paramètres!$J$139-J125*J102/(J102+J103)</f>
        <v>4901153.03134636</v>
      </c>
      <c r="K134" s="9" t="s">
        <v>505</v>
      </c>
    </row>
    <row r="135" customFormat="false" ht="15" hidden="false" customHeight="false" outlineLevel="0" collapsed="false">
      <c r="B135" s="7" t="s">
        <v>506</v>
      </c>
      <c r="C135" s="22" t="n">
        <f aca="false">C103*(1+'MST Scénarios'!C42)+C110*Paramètres!$E$69*Paramètres!$D$69/(Paramètres!$E$68*Paramètres!$D$68+Paramètres!$E$69*Paramètres!$D$69)-C103*Paramètres!$D$80/2*Paramètres!$C$139-C125*C103/(C102+C103)</f>
        <v>0</v>
      </c>
      <c r="D135" s="22" t="n">
        <f aca="false">D103*(1+'MST Scénarios'!D42)+D110*Paramètres!$E$69*Paramètres!$D$69/(Paramètres!$E$68*Paramètres!$D$68+Paramètres!$E$69*Paramètres!$D$69)-D103*Paramètres!$D$80/2*Paramètres!$D$139-D125*D103/(D102+D103)</f>
        <v>0</v>
      </c>
      <c r="E135" s="22" t="n">
        <f aca="false">E103*(1+'MST Scénarios'!E42)+E110*Paramètres!$E$69*Paramètres!$D$69/(Paramètres!$E$68*Paramètres!$D$68+Paramètres!$E$69*Paramètres!$D$69)-E103*Paramètres!$D$80/2*Paramètres!$E$139-E125*E103/(E102+E103)</f>
        <v>0</v>
      </c>
      <c r="F135" s="22" t="n">
        <f aca="false">F103*(1+'MST Scénarios'!F42)+F110*Paramètres!$E$69*Paramètres!$D$69/(Paramètres!$E$68*Paramètres!$D$68+Paramètres!$E$69*Paramètres!$D$69)-F103*Paramètres!$D$80/2*Paramètres!$F$139-F125*F103/(F102+F103)</f>
        <v>0</v>
      </c>
      <c r="G135" s="22" t="n">
        <f aca="false">G103*(1+'MST Scénarios'!G42)+G110*Paramètres!$E$69*Paramètres!$D$69/(Paramètres!$E$68*Paramètres!$D$68+Paramètres!$E$69*Paramètres!$D$69)-G103*Paramètres!$D$80/2*Paramètres!$G$139-G125*G103/(G102+G103)</f>
        <v>0</v>
      </c>
      <c r="H135" s="22" t="n">
        <f aca="false">H103*(1+'MST Scénarios'!H42)+H110*Paramètres!$E$69*Paramètres!$D$69/(Paramètres!$E$68*Paramètres!$D$68+Paramètres!$E$69*Paramètres!$D$69)-H103*Paramètres!$D$80/2*Paramètres!$H$139-H125*H103/(H102+H103)</f>
        <v>0</v>
      </c>
      <c r="I135" s="22" t="n">
        <f aca="false">I103*(1+'MST Scénarios'!I42)+I110*Paramètres!$E$69*Paramètres!$D$69/(Paramètres!$E$68*Paramètres!$D$68+Paramètres!$E$69*Paramètres!$D$69)-I103*Paramètres!$D$80/2*Paramètres!$I$139-I125*I103/(I102+I103)</f>
        <v>0</v>
      </c>
      <c r="J135" s="22" t="n">
        <f aca="false">J103*(1+'MST Scénarios'!J42)+J110*Paramètres!$E$69*Paramètres!$D$69/(Paramètres!$E$68*Paramètres!$D$68+Paramètres!$E$69*Paramètres!$D$69)-J103*Paramètres!$D$80/2*Paramètres!$J$139-J125*J103/(J102+J103)</f>
        <v>0</v>
      </c>
      <c r="K135" s="9"/>
    </row>
    <row r="136" customFormat="false" ht="22.35" hidden="false" customHeight="false" outlineLevel="0" collapsed="false">
      <c r="B136" s="7" t="s">
        <v>507</v>
      </c>
      <c r="C136" s="22" t="n">
        <f aca="false">C104*(1+'MST Scénarios'!C43)-C104*Paramètres!$D$81/2*Paramètres!$C$139-C123*C104/(C104+C105)+C131/2</f>
        <v>2015096.01619337</v>
      </c>
      <c r="D136" s="22" t="n">
        <f aca="false">D104*(1+'MST Scénarios'!D43)-D104*Paramètres!$D$81/2*Paramètres!$D$139-D123*D104/(D104+D105)+D131/2</f>
        <v>1994420.66382132</v>
      </c>
      <c r="E136" s="22" t="n">
        <f aca="false">E104*(1+'MST Scénarios'!E43)-E104*Paramètres!$D$81/2*Paramètres!$E$139-E123*E104/(E104+E105)+E131/2</f>
        <v>2034162.01909622</v>
      </c>
      <c r="F136" s="22" t="n">
        <f aca="false">F104*(1+'MST Scénarios'!F43)-F104*Paramètres!$D$81/2*Paramètres!$F$139-F123*F104/(F104+F105)+F131/2</f>
        <v>2136549.5532821</v>
      </c>
      <c r="G136" s="22" t="n">
        <f aca="false">G104*(1+'MST Scénarios'!G43)-G104*Paramètres!$D$81/2*Paramètres!$G$139-G123*G104/(G104+G105)+G131/2</f>
        <v>2253802.19506546</v>
      </c>
      <c r="H136" s="22" t="n">
        <f aca="false">H104*(1+'MST Scénarios'!H43)-H104*Paramètres!$D$81/2*Paramètres!$H$139-H123*H104/(H104+H105)+H131/2</f>
        <v>2512090.52832755</v>
      </c>
      <c r="I136" s="22" t="n">
        <f aca="false">I104*(1+'MST Scénarios'!I43)-I104*Paramètres!$D$81/2*Paramètres!$I$139-I123*I104/(I104+I105)+I131/2</f>
        <v>3007163.17252587</v>
      </c>
      <c r="J136" s="22" t="n">
        <f aca="false">J104*(1+'MST Scénarios'!J43)-J104*Paramètres!$D$81/2*Paramètres!$J$139-J123*J104/(J104+J105)+J131/2</f>
        <v>3568287.27506138</v>
      </c>
      <c r="K136" s="9" t="s">
        <v>508</v>
      </c>
    </row>
    <row r="137" customFormat="false" ht="15" hidden="false" customHeight="false" outlineLevel="0" collapsed="false">
      <c r="B137" s="7" t="s">
        <v>509</v>
      </c>
      <c r="C137" s="22" t="n">
        <f aca="false">C105*(1+'MST Scénarios'!C44)-C105*Paramètres!$D$82/2*Paramètres!$C$139-C123*C105/(C104+C105)+C131/2</f>
        <v>1908790.42982134</v>
      </c>
      <c r="D137" s="22" t="n">
        <f aca="false">D105*(1+'MST Scénarios'!D44)-D105*Paramètres!$D$82/2*Paramètres!$D$139-D123*D105/(D104+D105)+D131/2</f>
        <v>1845804.59090142</v>
      </c>
      <c r="E137" s="22" t="n">
        <f aca="false">E105*(1+'MST Scénarios'!E44)-E105*Paramètres!$D$82/2*Paramètres!$E$139-E123*E105/(E104+E105)+E131/2</f>
        <v>1847045.18076483</v>
      </c>
      <c r="F137" s="22" t="n">
        <f aca="false">F105*(1+'MST Scénarios'!F44)-F105*Paramètres!$D$82/2*Paramètres!$F$139-F123*F105/(F104+F105)+F131/2</f>
        <v>1902596.37119297</v>
      </c>
      <c r="G137" s="22" t="n">
        <f aca="false">G105*(1+'MST Scénarios'!G44)-G105*Paramètres!$D$82/2*Paramètres!$G$139-G123*G105/(G104+G105)+G131/2</f>
        <v>1961815.23013883</v>
      </c>
      <c r="H137" s="22" t="n">
        <f aca="false">H105*(1+'MST Scénarios'!H44)-H105*Paramètres!$D$82/2*Paramètres!$H$139-H123*H105/(H104+H105)+H131/2</f>
        <v>2157188.80181344</v>
      </c>
      <c r="I137" s="22" t="n">
        <f aca="false">I105*(1+'MST Scénarios'!I44)-I105*Paramètres!$D$82/2*Paramètres!$I$139-I123*I105/(I104+I105)+I131/2</f>
        <v>2581473.893957</v>
      </c>
      <c r="J137" s="22" t="n">
        <f aca="false">J105*(1+'MST Scénarios'!J44)-J105*Paramètres!$D$82/2*Paramètres!$J$139-J123*J105/(J104+J105)+J131/2</f>
        <v>3057840.90841156</v>
      </c>
      <c r="K137" s="9"/>
    </row>
    <row r="138" customFormat="false" ht="15" hidden="false" customHeight="false" outlineLevel="0" collapsed="false">
      <c r="B138" s="7" t="s">
        <v>510</v>
      </c>
      <c r="C138" s="22" t="n">
        <f aca="false">C106*(1+'MST Scénarios'!C45)-C118+C130</f>
        <v>756613.978997095</v>
      </c>
      <c r="D138" s="22" t="n">
        <f aca="false">D106*(1+'MST Scénarios'!D45)-D118+D130</f>
        <v>363977.450260322</v>
      </c>
      <c r="E138" s="22" t="n">
        <f aca="false">E106*(1+'MST Scénarios'!E45)-E118+E130</f>
        <v>325086.741567792</v>
      </c>
      <c r="F138" s="22" t="n">
        <f aca="false">F106*(1+'MST Scénarios'!F45)-F118+F130</f>
        <v>375126.181412593</v>
      </c>
      <c r="G138" s="22" t="n">
        <f aca="false">G106*(1+'MST Scénarios'!G45)-G118+G130</f>
        <v>869547.971000913</v>
      </c>
      <c r="H138" s="22" t="n">
        <f aca="false">H106*(1+'MST Scénarios'!H45)-H118+H130</f>
        <v>1158076.912065</v>
      </c>
      <c r="I138" s="22" t="n">
        <f aca="false">I106*(1+'MST Scénarios'!I45)-I118+I130</f>
        <v>1295752.86721827</v>
      </c>
      <c r="J138" s="22" t="n">
        <f aca="false">J106*(1+'MST Scénarios'!J45)-J118+J130</f>
        <v>1449047.7260609</v>
      </c>
      <c r="K138" s="9"/>
    </row>
    <row r="139" customFormat="false" ht="15" hidden="false" customHeight="false" outlineLevel="0" collapsed="false">
      <c r="B139" s="7" t="s">
        <v>511</v>
      </c>
      <c r="C139" s="22" t="n">
        <f aca="false">C108-C110-C125*C108/(C102+C103+C108)</f>
        <v>1000000</v>
      </c>
      <c r="D139" s="22" t="n">
        <f aca="false">D108-D110-D125*D108/(D102+D103+D108)</f>
        <v>800000</v>
      </c>
      <c r="E139" s="22" t="n">
        <f aca="false">E108-E110-E125*E108/(E102+E103+E108)</f>
        <v>600000</v>
      </c>
      <c r="F139" s="22" t="n">
        <f aca="false">F108-F110-F125*F108/(F102+F103+F108)</f>
        <v>400000</v>
      </c>
      <c r="G139" s="22" t="n">
        <f aca="false">G108-G110-G125*G108/(G102+G103+G108)</f>
        <v>200000</v>
      </c>
      <c r="H139" s="22" t="n">
        <f aca="false">H108-H110-H125*H108/(H102+H103+H108)</f>
        <v>0</v>
      </c>
      <c r="I139" s="22" t="n">
        <f aca="false">I108-I110-I125*I108/(I102+I103+I108)</f>
        <v>0</v>
      </c>
      <c r="J139" s="22" t="n">
        <f aca="false">J108-J110-J125*J108/(J102+J103+J108)</f>
        <v>0</v>
      </c>
      <c r="K139" s="9" t="s">
        <v>512</v>
      </c>
    </row>
    <row r="140" customFormat="false" ht="15" hidden="false" customHeight="false" outlineLevel="0" collapsed="false">
      <c r="B140" s="7" t="s">
        <v>513</v>
      </c>
      <c r="C140" s="22" t="n">
        <f aca="false">C134+C135+C136+C137+C138+C132</f>
        <v>7548713.13385949</v>
      </c>
      <c r="D140" s="22" t="n">
        <f aca="false">D134+D135+D136+D137+D138+D132</f>
        <v>7495511.27418321</v>
      </c>
      <c r="E140" s="22" t="n">
        <f aca="false">E134+E135+E136+E137+E138+E132</f>
        <v>7856045.68403335</v>
      </c>
      <c r="F140" s="22" t="n">
        <f aca="false">F134+F135+F136+F137+F138+F132</f>
        <v>8649028.28154613</v>
      </c>
      <c r="G140" s="22" t="n">
        <f aca="false">G134+G135+G136+G137+G138+G132</f>
        <v>9748122.15542926</v>
      </c>
      <c r="H140" s="22" t="n">
        <f aca="false">H134+H135+H136+H137+H138+H132</f>
        <v>10907010.6668205</v>
      </c>
      <c r="I140" s="22" t="n">
        <f aca="false">I134+I135+I136+I137+I138+I132</f>
        <v>12197371.4314891</v>
      </c>
      <c r="J140" s="22" t="n">
        <f aca="false">J134+J135+J136+J137+J138+J132</f>
        <v>13634986.9981806</v>
      </c>
      <c r="K140" s="9" t="s">
        <v>514</v>
      </c>
    </row>
    <row r="141" customFormat="false" ht="22.35" hidden="false" customHeight="false" outlineLevel="0" collapsed="false">
      <c r="B141" s="7" t="s">
        <v>515</v>
      </c>
      <c r="C141" s="22" t="n">
        <f aca="false">ROUND(C140-(C89+C90-C96+C127-C113+C114+C102*'MST Scénarios'!C41+C103*'MST Scénarios'!C42+C104*'MST Scénarios'!C43+C105*'MST Scénarios'!C44+C106*'MST Scénarios'!C45-C119-C126),0)</f>
        <v>0</v>
      </c>
      <c r="D141" s="22" t="n">
        <f aca="false">ROUND(D140-(D89+D90-D96+D127-D113+D114+D102*'MST Scénarios'!D41+D103*'MST Scénarios'!D42+D104*'MST Scénarios'!D43+D105*'MST Scénarios'!D44+D106*'MST Scénarios'!D45-D119-D126),0)</f>
        <v>0</v>
      </c>
      <c r="E141" s="22" t="n">
        <f aca="false">ROUND(E140-(E89+E90-E96+E127-E113+E114+E102*'MST Scénarios'!E41+E103*'MST Scénarios'!E42+E104*'MST Scénarios'!E43+E105*'MST Scénarios'!E44+E106*'MST Scénarios'!E45-E119-E126),0)</f>
        <v>0</v>
      </c>
      <c r="F141" s="22" t="n">
        <f aca="false">ROUND(F140-(F89+F90-F96+F127-F113+F114+F102*'MST Scénarios'!F41+F103*'MST Scénarios'!F42+F104*'MST Scénarios'!F43+F105*'MST Scénarios'!F44+F106*'MST Scénarios'!F45-F119-F126),0)</f>
        <v>0</v>
      </c>
      <c r="G141" s="22" t="n">
        <f aca="false">ROUND(G140-(G89+G90-G96+G127-G113+G114+G102*'MST Scénarios'!G41+G103*'MST Scénarios'!G42+G104*'MST Scénarios'!G43+G105*'MST Scénarios'!G44+G106*'MST Scénarios'!G45-G119-G126),0)</f>
        <v>0</v>
      </c>
      <c r="H141" s="22" t="n">
        <f aca="false">ROUND(H140-(H89+H90-H96+H127-H113+H114+H102*'MST Scénarios'!H41+H103*'MST Scénarios'!H42+H104*'MST Scénarios'!H43+H105*'MST Scénarios'!H44+H106*'MST Scénarios'!H45-H119-H126),0)</f>
        <v>0</v>
      </c>
      <c r="I141" s="22" t="n">
        <f aca="false">ROUND(I140-(I89+I90-I96+I127-I113+I114+I102*'MST Scénarios'!I41+I103*'MST Scénarios'!I42+I104*'MST Scénarios'!I43+I105*'MST Scénarios'!I44+I106*'MST Scénarios'!I45-I119-I126),0)</f>
        <v>0</v>
      </c>
      <c r="J141" s="22" t="n">
        <f aca="false">ROUND(J140-(J89+J90-J96+J127-J113+J114+J102*'MST Scénarios'!J41+J103*'MST Scénarios'!J42+J104*'MST Scénarios'!J43+J105*'MST Scénarios'!J44+J106*'MST Scénarios'!J45-J119-J126),0)</f>
        <v>0</v>
      </c>
      <c r="K141" s="9" t="s">
        <v>516</v>
      </c>
    </row>
    <row r="143" customFormat="false" ht="15" hidden="false" customHeight="false" outlineLevel="0" collapsed="false">
      <c r="B143" s="7" t="s">
        <v>517</v>
      </c>
      <c r="C143" s="16" t="n">
        <f aca="false">(C132+C138)/C140</f>
        <v>0.110828688832338</v>
      </c>
      <c r="D143" s="16" t="n">
        <f aca="false">(D132+D138)/D140</f>
        <v>0.0788182553882535</v>
      </c>
      <c r="E143" s="16" t="n">
        <f aca="false">(E132+E138)/E140</f>
        <v>0.0694015679494139</v>
      </c>
      <c r="F143" s="16" t="n">
        <f aca="false">(F132+F138)/F140</f>
        <v>0.0908315411662521</v>
      </c>
      <c r="G143" s="16" t="n">
        <f aca="false">(G132+G138)/G140</f>
        <v>0.137113125676208</v>
      </c>
      <c r="H143" s="16" t="n">
        <f aca="false">(H132+H138)/H140</f>
        <v>0.154439704875545</v>
      </c>
      <c r="I143" s="16" t="n">
        <f aca="false">(I132+I138)/I140</f>
        <v>0.154519476086537</v>
      </c>
      <c r="J143" s="16" t="n">
        <f aca="false">(J132+J138)/J140</f>
        <v>0.154580696237008</v>
      </c>
      <c r="K143" s="9" t="s">
        <v>518</v>
      </c>
    </row>
    <row r="144" customFormat="false" ht="22.35" hidden="false" customHeight="false" outlineLevel="0" collapsed="false">
      <c r="B144" s="7" t="s">
        <v>519</v>
      </c>
      <c r="C144" s="36" t="n">
        <f aca="false">(C132+C138+2*C121+2*(C111+C112)-2*MIN(C139,NA_total*Appels_base*Paramètres!$D$144))/(2*Gate*C140)</f>
        <v>1.25347719832257</v>
      </c>
      <c r="D144" s="36" t="n">
        <f aca="false">(D132+D138+2*D121+2*(D111+D112)-2*MIN(D139,NA_total*Appels_base*Paramètres!$E$144))/(2*Gate*D140)</f>
        <v>0.911942359887358</v>
      </c>
      <c r="E144" s="36" t="n">
        <f aca="false">(E132+E138+2*E121+2*(E111+E112)-2*MIN(E139,NA_total*Appels_base*Paramètres!$F$144))/(2*Gate*E140)</f>
        <v>0.837512359255074</v>
      </c>
      <c r="F144" s="36" t="n">
        <f aca="false">(F132+F138+2*F121+2*(F111+F112)-2*MIN(F139,NA_total*Appels_base*Paramètres!$G$144))/(2*Gate*F140)</f>
        <v>1.18656090067719</v>
      </c>
      <c r="G144" s="36" t="n">
        <f aca="false">(G132+G138+2*G121+2*(G111+G112)-2*MIN(G139,NA_total*Appels_base*Paramètres!$H$144))/(2*Gate*G140)</f>
        <v>1.77627297580241</v>
      </c>
      <c r="H144" s="36" t="n">
        <f aca="false">(H132+H138+2*H121+2*(H111+H112)-2*MIN(H139,NA_total*Appels_base*Paramètres!$I$144))/(2*Gate*H140)</f>
        <v>2.31632349053573</v>
      </c>
      <c r="I144" s="36" t="n">
        <f aca="false">(I132+I138+2*I121+2*(I111+I112)-2*MIN(I139,NA_total*Appels_base*Paramètres!$J$144))/(2*Gate*I140)</f>
        <v>2.30510804309938</v>
      </c>
      <c r="J144" s="36" t="n">
        <f aca="false">(J132+J138+2*J121+2*(J111+J112)-2*MIN(J139,NA_total*Appels_base*Paramètres!$J$144))/(2*Gate*J140)</f>
        <v>2.32750874525891</v>
      </c>
      <c r="K144" s="9" t="s">
        <v>520</v>
      </c>
    </row>
    <row r="145" customFormat="false" ht="15" hidden="false" customHeight="false" outlineLevel="0" collapsed="false">
      <c r="B145" s="7" t="s">
        <v>166</v>
      </c>
      <c r="C145" s="32" t="n">
        <f aca="false">(C140+C139)/C140</f>
        <v>1.1324729105832</v>
      </c>
      <c r="D145" s="32" t="n">
        <f aca="false">(D140+D139)/D140</f>
        <v>1.10673054455344</v>
      </c>
      <c r="E145" s="32" t="n">
        <f aca="false">(E140+E139)/E140</f>
        <v>1.07637430128741</v>
      </c>
      <c r="F145" s="32" t="n">
        <f aca="false">(F140+F139)/F140</f>
        <v>1.04624796994287</v>
      </c>
      <c r="G145" s="32" t="n">
        <f aca="false">(G140+G139)/G140</f>
        <v>1.02051677203169</v>
      </c>
      <c r="H145" s="32" t="n">
        <f aca="false">(H140+H139)/H140</f>
        <v>1</v>
      </c>
      <c r="I145" s="32" t="n">
        <f aca="false">(I140+I139)/I140</f>
        <v>1</v>
      </c>
      <c r="J145" s="32" t="n">
        <f aca="false">(J140+J139)/J140</f>
        <v>1</v>
      </c>
      <c r="K145" s="9" t="s">
        <v>167</v>
      </c>
    </row>
    <row r="146" customFormat="false" ht="15" hidden="false" customHeight="false" outlineLevel="0" collapsed="false">
      <c r="B146" s="7" t="s">
        <v>521</v>
      </c>
      <c r="C146" s="16" t="n">
        <f aca="false">(C134*Paramètres!$H$79+C135*Paramètres!$H$80)/C140</f>
        <v>0.369362652866122</v>
      </c>
      <c r="D146" s="16" t="n">
        <f aca="false">(D134*Paramètres!$H$79+D135*Paramètres!$H$80)/D140</f>
        <v>0.408845078806223</v>
      </c>
      <c r="E146" s="16" t="n">
        <f aca="false">(E134*Paramètres!$H$79+E135*Paramètres!$H$80)/E140</f>
        <v>0.436557618648848</v>
      </c>
      <c r="F146" s="16" t="n">
        <f aca="false">(F134*Paramètres!$H$79+F135*Paramètres!$H$80)/F140</f>
        <v>0.44216271055875</v>
      </c>
      <c r="G146" s="16" t="n">
        <f aca="false">(G134*Paramètres!$H$79+G135*Paramètres!$H$80)/G140</f>
        <v>0.430432565895128</v>
      </c>
      <c r="H146" s="16" t="n">
        <f aca="false">(H134*Paramètres!$H$79+H135*Paramètres!$H$80)/H140</f>
        <v>0.417461389496252</v>
      </c>
      <c r="I146" s="16" t="n">
        <f aca="false">(I134*Paramètres!$H$79+I135*Paramètres!$H$80)/I140</f>
        <v>0.387296799832135</v>
      </c>
      <c r="J146" s="16" t="n">
        <f aca="false">(J134*Paramètres!$H$79+J135*Paramètres!$H$80)/J140</f>
        <v>0.359454177110719</v>
      </c>
      <c r="K146" s="9"/>
    </row>
    <row r="147" customFormat="false" ht="22.35" hidden="false" customHeight="false" outlineLevel="0" collapsed="false">
      <c r="B147" s="7" t="s">
        <v>522</v>
      </c>
      <c r="C147" s="27" t="n">
        <f aca="false">IF(AND(Paramètres!$C$134&lt;0.5,Paramètres!$C$139&lt;0.5,(1-Paramètres!$C$149)&lt;0.5*(1-Paramètres!$C$148)),1,0)</f>
        <v>0</v>
      </c>
      <c r="D147" s="27" t="n">
        <f aca="false">IF(AND(Paramètres!$D$134&lt;0.5,Paramètres!$D$139&lt;0.5,(1-Paramètres!$D$149)&lt;0.5*(1-Paramètres!$D$148)),1,0)</f>
        <v>0</v>
      </c>
      <c r="E147" s="27" t="n">
        <f aca="false">IF(AND(Paramètres!$E$134&lt;0.5,Paramètres!$E$139&lt;0.5,(1-Paramètres!$E$149)&lt;0.5*(1-Paramètres!$E$148)),1,0)</f>
        <v>0</v>
      </c>
      <c r="F147" s="27" t="n">
        <f aca="false">IF(AND(Paramètres!$F$134&lt;0.5,Paramètres!$F$139&lt;0.5,(1-Paramètres!$F$149)&lt;0.5*(1-Paramètres!$F$148)),1,0)</f>
        <v>0</v>
      </c>
      <c r="G147" s="27" t="n">
        <f aca="false">IF(AND(Paramètres!$G$134&lt;0.5,Paramètres!$G$139&lt;0.5,(1-Paramètres!$G$149)&lt;0.5*(1-Paramètres!$G$148)),1,0)</f>
        <v>0</v>
      </c>
      <c r="H147" s="27" t="n">
        <f aca="false">IF(AND(Paramètres!$H$134&lt;0.5,Paramètres!$H$139&lt;0.5,(1-Paramètres!$H$149)&lt;0.5*(1-Paramètres!$H$148)),1,0)</f>
        <v>0</v>
      </c>
      <c r="I147" s="27" t="n">
        <f aca="false">IF(AND(Paramètres!$I$134&lt;0.5,Paramètres!$I$139&lt;0.5,(1-Paramètres!$I$149)&lt;0.5*(1-Paramètres!$I$148)),1,0)</f>
        <v>0</v>
      </c>
      <c r="J147" s="27" t="n">
        <f aca="false">IF(AND(Paramètres!$J$134&lt;0.5,Paramètres!$J$139&lt;0.5,(1-Paramètres!$J$149)&lt;0.5*(1-Paramètres!$J$148)),1,0)</f>
        <v>0</v>
      </c>
      <c r="K147" s="9" t="s">
        <v>523</v>
      </c>
    </row>
    <row r="148" customFormat="false" ht="15" hidden="false" customHeight="false" outlineLevel="0" collapsed="false">
      <c r="B148" s="7" t="s">
        <v>524</v>
      </c>
      <c r="C148" s="37" t="str">
        <f aca="false">IF(OR(C95=1,C127&gt;1,C100&gt;S_file_rouge,C143&lt;S_poche_rouge,C144&lt;S_couv_rouge),"Rouge",IF(OR(C98=1,C143&lt;S_poche_orange,C144&lt;S_couv_orange,C147=1),"Orange","Vert"))</f>
        <v>Orange</v>
      </c>
      <c r="D148" s="37" t="str">
        <f aca="false">IF(OR(D95=1,D127&gt;1,D100&gt;S_file_rouge,D143&lt;S_poche_rouge,D144&lt;S_couv_rouge),"Rouge",IF(OR(D98=1,D143&lt;S_poche_orange,D144&lt;S_couv_orange,D147=1),"Orange","Vert"))</f>
        <v>Rouge</v>
      </c>
      <c r="E148" s="37" t="str">
        <f aca="false">IF(OR(E95=1,E127&gt;1,E100&gt;S_file_rouge,E143&lt;S_poche_rouge,E144&lt;S_couv_rouge),"Rouge",IF(OR(E98=1,E143&lt;S_poche_orange,E144&lt;S_couv_orange,E147=1),"Orange","Vert"))</f>
        <v>Rouge</v>
      </c>
      <c r="F148" s="37" t="str">
        <f aca="false">IF(OR(F95=1,F127&gt;1,F100&gt;S_file_rouge,F143&lt;S_poche_rouge,F144&lt;S_couv_rouge),"Rouge",IF(OR(F98=1,F143&lt;S_poche_orange,F144&lt;S_couv_orange,F147=1),"Orange","Vert"))</f>
        <v>Orange</v>
      </c>
      <c r="G148" s="37" t="str">
        <f aca="false">IF(OR(G95=1,G127&gt;1,G100&gt;S_file_rouge,G143&lt;S_poche_rouge,G144&lt;S_couv_rouge),"Rouge",IF(OR(G98=1,G143&lt;S_poche_orange,G144&lt;S_couv_orange,G147=1),"Orange","Vert"))</f>
        <v>Orange</v>
      </c>
      <c r="H148" s="37" t="str">
        <f aca="false">IF(OR(H95=1,H127&gt;1,H100&gt;S_file_rouge,H143&lt;S_poche_rouge,H144&lt;S_couv_rouge),"Rouge",IF(OR(H98=1,H143&lt;S_poche_orange,H144&lt;S_couv_orange,H147=1),"Orange","Vert"))</f>
        <v>Vert</v>
      </c>
      <c r="I148" s="37" t="str">
        <f aca="false">IF(OR(I95=1,I127&gt;1,I100&gt;S_file_rouge,I143&lt;S_poche_rouge,I144&lt;S_couv_rouge),"Rouge",IF(OR(I98=1,I143&lt;S_poche_orange,I144&lt;S_couv_orange,I147=1),"Orange","Vert"))</f>
        <v>Vert</v>
      </c>
      <c r="J148" s="37" t="str">
        <f aca="false">IF(OR(J95=1,J127&gt;1,J100&gt;S_file_rouge,J143&lt;S_poche_rouge,J144&lt;S_couv_rouge),"Rouge",IF(OR(J98=1,J143&lt;S_poche_orange,J144&lt;S_couv_orange,J147=1),"Orange","Vert"))</f>
        <v>Vert</v>
      </c>
      <c r="K148" s="9" t="s">
        <v>525</v>
      </c>
    </row>
    <row r="150" customFormat="false" ht="15.75" hidden="false" customHeight="true" outlineLevel="0" collapsed="false">
      <c r="B150" s="5" t="s">
        <v>526</v>
      </c>
      <c r="C150" s="6" t="s">
        <v>3</v>
      </c>
      <c r="D150" s="6"/>
      <c r="E150" s="6"/>
      <c r="F150" s="6"/>
      <c r="G150" s="6"/>
      <c r="H150" s="6"/>
      <c r="I150" s="6"/>
      <c r="J150" s="6"/>
      <c r="K150" s="6" t="s">
        <v>4</v>
      </c>
    </row>
    <row r="151" customFormat="false" ht="15" hidden="false" customHeight="false" outlineLevel="0" collapsed="false">
      <c r="B151" s="7" t="s">
        <v>338</v>
      </c>
      <c r="C151" s="10" t="n">
        <f aca="false">SUM(C98:J98)</f>
        <v>0</v>
      </c>
      <c r="K151" s="9"/>
    </row>
    <row r="152" customFormat="false" ht="15" hidden="false" customHeight="false" outlineLevel="0" collapsed="false">
      <c r="B152" s="7" t="s">
        <v>527</v>
      </c>
      <c r="C152" s="11" t="n">
        <f aca="false">MAX(C100:J100)</f>
        <v>0</v>
      </c>
      <c r="K152" s="9"/>
    </row>
    <row r="153" customFormat="false" ht="22.35" hidden="false" customHeight="false" outlineLevel="0" collapsed="false">
      <c r="B153" s="7" t="s">
        <v>528</v>
      </c>
      <c r="C153" s="11" t="n">
        <f aca="false">J100</f>
        <v>0</v>
      </c>
      <c r="K153" s="9" t="s">
        <v>529</v>
      </c>
    </row>
    <row r="154" customFormat="false" ht="15" hidden="false" customHeight="false" outlineLevel="0" collapsed="false">
      <c r="B154" s="7" t="s">
        <v>530</v>
      </c>
      <c r="C154" s="15" t="str">
        <f aca="false">IFERROR(INDEX(C88:J88,MATCH(1,C95:J95,0)),"-")</f>
        <v>-</v>
      </c>
      <c r="K154" s="9"/>
    </row>
    <row r="155" customFormat="false" ht="15" hidden="false" customHeight="false" outlineLevel="0" collapsed="false">
      <c r="B155" s="7" t="s">
        <v>531</v>
      </c>
      <c r="C155" s="11" t="n">
        <f aca="false">MIN(C143:J143)</f>
        <v>0.0694015679494139</v>
      </c>
      <c r="K155" s="9"/>
    </row>
    <row r="156" customFormat="false" ht="15" hidden="false" customHeight="false" outlineLevel="0" collapsed="false">
      <c r="B156" s="7" t="s">
        <v>342</v>
      </c>
      <c r="C156" s="39" t="n">
        <f aca="false">MIN(C144:J144)</f>
        <v>0.837512359255074</v>
      </c>
      <c r="K156" s="9"/>
    </row>
    <row r="157" customFormat="false" ht="15" hidden="false" customHeight="false" outlineLevel="0" collapsed="false">
      <c r="B157" s="7" t="s">
        <v>532</v>
      </c>
      <c r="C157" s="8" t="n">
        <f aca="false">SUM(C123:J123)</f>
        <v>354311.07983148</v>
      </c>
      <c r="K157" s="9"/>
    </row>
    <row r="158" customFormat="false" ht="15" hidden="false" customHeight="false" outlineLevel="0" collapsed="false">
      <c r="B158" s="7" t="s">
        <v>533</v>
      </c>
      <c r="C158" s="8" t="n">
        <f aca="false">SUM(C125:J125)</f>
        <v>0</v>
      </c>
      <c r="K158" s="9"/>
    </row>
    <row r="159" customFormat="false" ht="15" hidden="false" customHeight="false" outlineLevel="0" collapsed="false">
      <c r="B159" s="7" t="s">
        <v>534</v>
      </c>
      <c r="C159" s="8" t="n">
        <f aca="false">SUM(C119:J119)+SUM(C126:J126)</f>
        <v>5707.81318516274</v>
      </c>
      <c r="K159" s="9"/>
    </row>
    <row r="160" customFormat="false" ht="15" hidden="false" customHeight="false" outlineLevel="0" collapsed="false">
      <c r="B160" s="7" t="s">
        <v>535</v>
      </c>
      <c r="C160" s="8" t="n">
        <f aca="false">SUM(C127:J127)</f>
        <v>0</v>
      </c>
      <c r="K160" s="9"/>
    </row>
    <row r="161" customFormat="false" ht="15" hidden="false" customHeight="false" outlineLevel="0" collapsed="false">
      <c r="B161" s="7" t="s">
        <v>536</v>
      </c>
      <c r="C161" s="11" t="n">
        <f aca="false">J140/AN_depart-1</f>
        <v>0.704373374772576</v>
      </c>
      <c r="K161" s="9"/>
    </row>
    <row r="162" customFormat="false" ht="15" hidden="false" customHeight="false" outlineLevel="0" collapsed="false">
      <c r="B162" s="7" t="s">
        <v>537</v>
      </c>
      <c r="C162" s="15" t="str">
        <f aca="false">IFERROR(INDEX(C88:J88,MATCH(1,C147:J147,0)),"-")</f>
        <v>-</v>
      </c>
      <c r="K162" s="9"/>
    </row>
    <row r="163" customFormat="false" ht="15" hidden="false" customHeight="false" outlineLevel="0" collapsed="false">
      <c r="B163" s="7" t="s">
        <v>125</v>
      </c>
      <c r="C163" s="13" t="n">
        <f aca="false">MAX(C145:J145)</f>
        <v>1.1324729105832</v>
      </c>
      <c r="K163" s="9"/>
    </row>
    <row r="164" customFormat="false" ht="15" hidden="false" customHeight="false" outlineLevel="0" collapsed="false">
      <c r="B164" s="7" t="s">
        <v>538</v>
      </c>
      <c r="C164" s="38" t="str">
        <f aca="false">IF(COUNTIF(C148:J148,"Rouge")&gt;0,"Rouge",IF(COUNTIF(C148:J148,"Orange")&gt;0,"Orange","Vert"))</f>
        <v>Rouge</v>
      </c>
      <c r="K164" s="9" t="s">
        <v>539</v>
      </c>
    </row>
    <row r="167" customFormat="false" ht="18" hidden="false" customHeight="true" outlineLevel="0" collapsed="false">
      <c r="B167" s="3" t="s">
        <v>541</v>
      </c>
      <c r="C167" s="4"/>
      <c r="D167" s="4"/>
      <c r="E167" s="4"/>
      <c r="F167" s="4"/>
      <c r="G167" s="4"/>
      <c r="H167" s="4"/>
      <c r="I167" s="4"/>
      <c r="J167" s="4"/>
      <c r="K167" s="4"/>
    </row>
    <row r="168" customFormat="false" ht="15.75" hidden="false" customHeight="true" outlineLevel="0" collapsed="false">
      <c r="B168" s="5" t="s">
        <v>428</v>
      </c>
      <c r="C168" s="6" t="s">
        <v>429</v>
      </c>
      <c r="D168" s="6" t="s">
        <v>430</v>
      </c>
      <c r="E168" s="6" t="s">
        <v>431</v>
      </c>
      <c r="F168" s="6" t="s">
        <v>432</v>
      </c>
      <c r="G168" s="6" t="s">
        <v>433</v>
      </c>
      <c r="H168" s="6" t="s">
        <v>434</v>
      </c>
      <c r="I168" s="6" t="s">
        <v>435</v>
      </c>
      <c r="J168" s="6" t="s">
        <v>436</v>
      </c>
      <c r="K168" s="6" t="s">
        <v>437</v>
      </c>
    </row>
    <row r="169" customFormat="false" ht="15" hidden="false" customHeight="false" outlineLevel="0" collapsed="false">
      <c r="B169" s="7" t="s">
        <v>438</v>
      </c>
      <c r="C169" s="17" t="n">
        <f aca="false">EDATE(Date_depart,0)</f>
        <v>47118</v>
      </c>
      <c r="D169" s="17" t="n">
        <f aca="false">EDATE(Date_depart,6)</f>
        <v>47299</v>
      </c>
      <c r="E169" s="17" t="n">
        <f aca="false">EDATE(Date_depart,12)</f>
        <v>47483</v>
      </c>
      <c r="F169" s="17" t="n">
        <f aca="false">EDATE(Date_depart,18)</f>
        <v>47664</v>
      </c>
      <c r="G169" s="17" t="n">
        <f aca="false">EDATE(Date_depart,24)</f>
        <v>47848</v>
      </c>
      <c r="H169" s="17" t="n">
        <f aca="false">EDATE(Date_depart,30)</f>
        <v>48029</v>
      </c>
      <c r="I169" s="17" t="n">
        <f aca="false">EDATE(Date_depart,36)</f>
        <v>48213</v>
      </c>
      <c r="J169" s="17" t="n">
        <f aca="false">EDATE(Date_depart,42)</f>
        <v>48395</v>
      </c>
      <c r="K169" s="9"/>
    </row>
    <row r="170" customFormat="false" ht="15" hidden="false" customHeight="false" outlineLevel="0" collapsed="false">
      <c r="B170" s="7" t="s">
        <v>439</v>
      </c>
      <c r="C170" s="22" t="n">
        <f aca="false">AN_depart</f>
        <v>8000000</v>
      </c>
      <c r="D170" s="22" t="n">
        <f aca="false">C221</f>
        <v>6913721.24976581</v>
      </c>
      <c r="E170" s="22" t="n">
        <f aca="false">D221</f>
        <v>6166017.13608458</v>
      </c>
      <c r="F170" s="22" t="n">
        <f aca="false">E221</f>
        <v>5850074.82180165</v>
      </c>
      <c r="G170" s="22" t="n">
        <f aca="false">F221</f>
        <v>5838539.95965751</v>
      </c>
      <c r="H170" s="22" t="n">
        <f aca="false">G221</f>
        <v>6357023.75375964</v>
      </c>
      <c r="I170" s="22" t="n">
        <f aca="false">H221</f>
        <v>7039379.44204051</v>
      </c>
      <c r="J170" s="22" t="n">
        <f aca="false">I221</f>
        <v>7707255.86760577</v>
      </c>
      <c r="K170" s="9" t="s">
        <v>440</v>
      </c>
    </row>
    <row r="171" customFormat="false" ht="15" hidden="false" customHeight="false" outlineLevel="0" collapsed="false">
      <c r="B171" s="7" t="s">
        <v>441</v>
      </c>
      <c r="C171" s="22" t="n">
        <f aca="false">Collecte_norm*Paramètres!$C$135*C170</f>
        <v>0</v>
      </c>
      <c r="D171" s="22" t="n">
        <f aca="false">Collecte_norm*Paramètres!$D$135*D170</f>
        <v>0</v>
      </c>
      <c r="E171" s="22" t="n">
        <f aca="false">Collecte_norm*Paramètres!$E$135*E170</f>
        <v>0</v>
      </c>
      <c r="F171" s="22" t="n">
        <f aca="false">Collecte_norm*Paramètres!$F$135*F170</f>
        <v>0</v>
      </c>
      <c r="G171" s="22" t="n">
        <f aca="false">Collecte_norm*Paramètres!$G$135*G170</f>
        <v>145963.498991438</v>
      </c>
      <c r="H171" s="22" t="n">
        <f aca="false">Collecte_norm*Paramètres!$H$135*H170</f>
        <v>317851.187687982</v>
      </c>
      <c r="I171" s="22" t="n">
        <f aca="false">Collecte_norm*Paramètres!$I$135*I170</f>
        <v>351968.972102025</v>
      </c>
      <c r="J171" s="22" t="n">
        <f aca="false">Collecte_norm*Paramètres!$J$135*J170</f>
        <v>385362.793380289</v>
      </c>
      <c r="K171" s="9" t="s">
        <v>442</v>
      </c>
    </row>
    <row r="172" customFormat="false" ht="22.35" hidden="false" customHeight="false" outlineLevel="0" collapsed="false">
      <c r="B172" s="7" t="s">
        <v>443</v>
      </c>
      <c r="C172" s="22" t="n">
        <f aca="false">(Paramètres!$C$130+Paramètres!$C$155*Top1)*C170</f>
        <v>2400000</v>
      </c>
      <c r="D172" s="22" t="n">
        <f aca="false">(Paramètres!$D$130+Paramètres!$D$155*Top1)*D170</f>
        <v>1037058.18746487</v>
      </c>
      <c r="E172" s="22" t="n">
        <f aca="false">(Paramètres!$E$130+Paramètres!$E$155*Top1)*E170</f>
        <v>616601.713608458</v>
      </c>
      <c r="F172" s="22" t="n">
        <f aca="false">(Paramètres!$F$130+Paramètres!$F$155*Top1)*F170</f>
        <v>292503.741090082</v>
      </c>
      <c r="G172" s="22" t="n">
        <f aca="false">(Paramètres!$G$130+Paramètres!$G$155*Top1)*G170</f>
        <v>175156.198789725</v>
      </c>
      <c r="H172" s="22" t="n">
        <f aca="false">(Paramètres!$H$130+Paramètres!$H$155*Top1)*H170</f>
        <v>127140.475075193</v>
      </c>
      <c r="I172" s="22" t="n">
        <f aca="false">(Paramètres!$I$130+Paramètres!$I$155*Top1)*I170</f>
        <v>140787.58884081</v>
      </c>
      <c r="J172" s="22" t="n">
        <f aca="false">(Paramètres!$J$130+Paramètres!$J$155*Top1)*J170</f>
        <v>154145.117352115</v>
      </c>
      <c r="K172" s="9" t="s">
        <v>444</v>
      </c>
    </row>
    <row r="173" customFormat="false" ht="15" hidden="false" customHeight="false" outlineLevel="0" collapsed="false">
      <c r="B173" s="7" t="s">
        <v>445</v>
      </c>
      <c r="C173" s="22" t="n">
        <f aca="false">0</f>
        <v>0</v>
      </c>
      <c r="D173" s="22" t="n">
        <f aca="false">C178</f>
        <v>2000000</v>
      </c>
      <c r="E173" s="22" t="n">
        <f aca="false">D178</f>
        <v>2691372.12497658</v>
      </c>
      <c r="F173" s="22" t="n">
        <f aca="false">E178</f>
        <v>2999672.98178081</v>
      </c>
      <c r="G173" s="22" t="n">
        <f aca="false">F178</f>
        <v>2999672.98178081</v>
      </c>
      <c r="H173" s="22" t="n">
        <f aca="false">G178</f>
        <v>3174829.18057054</v>
      </c>
      <c r="I173" s="22" t="n">
        <f aca="false">H178</f>
        <v>3301969.65564573</v>
      </c>
      <c r="J173" s="22" t="n">
        <f aca="false">I178</f>
        <v>3442757.24448654</v>
      </c>
      <c r="K173" s="9" t="s">
        <v>446</v>
      </c>
    </row>
    <row r="174" customFormat="false" ht="15" hidden="false" customHeight="false" outlineLevel="0" collapsed="false">
      <c r="B174" s="7" t="s">
        <v>447</v>
      </c>
      <c r="C174" s="22" t="n">
        <f aca="false">C172+C173</f>
        <v>2400000</v>
      </c>
      <c r="D174" s="22" t="n">
        <f aca="false">D172+D173</f>
        <v>3037058.18746487</v>
      </c>
      <c r="E174" s="22" t="n">
        <f aca="false">E172+E173</f>
        <v>3307973.83858504</v>
      </c>
      <c r="F174" s="22" t="n">
        <f aca="false">F172+F173</f>
        <v>3292176.72287089</v>
      </c>
      <c r="G174" s="22" t="n">
        <f aca="false">G172+G173</f>
        <v>3174829.18057054</v>
      </c>
      <c r="H174" s="22" t="n">
        <f aca="false">H172+H173</f>
        <v>3301969.65564573</v>
      </c>
      <c r="I174" s="22" t="n">
        <f aca="false">I172+I173</f>
        <v>3442757.24448654</v>
      </c>
      <c r="J174" s="22" t="n">
        <f aca="false">J172+J173</f>
        <v>3596902.36183865</v>
      </c>
      <c r="K174" s="9"/>
    </row>
    <row r="175" customFormat="false" ht="22.35" hidden="false" customHeight="false" outlineLevel="0" collapsed="false">
      <c r="B175" s="7" t="s">
        <v>448</v>
      </c>
      <c r="C175" s="22" t="n">
        <f aca="false">IF(Gate_actif=1,Gate*C170+C171,C174)</f>
        <v>400000</v>
      </c>
      <c r="D175" s="22" t="n">
        <f aca="false">IF(Gate_actif=1,Gate*D170+D171,D174)</f>
        <v>345686.062488291</v>
      </c>
      <c r="E175" s="22" t="n">
        <f aca="false">IF(Gate_actif=1,Gate*E170+E171,E174)</f>
        <v>308300.856804229</v>
      </c>
      <c r="F175" s="22" t="n">
        <f aca="false">IF(Gate_actif=1,Gate*F170+F171,F174)</f>
        <v>292503.741090082</v>
      </c>
      <c r="G175" s="22" t="n">
        <f aca="false">IF(Gate_actif=1,Gate*G170+G171,G174)</f>
        <v>437890.496974313</v>
      </c>
      <c r="H175" s="22" t="n">
        <f aca="false">IF(Gate_actif=1,Gate*H170+H171,H174)</f>
        <v>635702.375375964</v>
      </c>
      <c r="I175" s="22" t="n">
        <f aca="false">IF(Gate_actif=1,Gate*I170+I171,I174)</f>
        <v>703937.944204051</v>
      </c>
      <c r="J175" s="22" t="n">
        <f aca="false">IF(Gate_actif=1,Gate*J170+J171,J174)</f>
        <v>770725.586760577</v>
      </c>
      <c r="K175" s="9" t="s">
        <v>449</v>
      </c>
    </row>
    <row r="176" customFormat="false" ht="22.35" hidden="false" customHeight="false" outlineLevel="0" collapsed="false">
      <c r="B176" s="7" t="s">
        <v>450</v>
      </c>
      <c r="C176" s="27" t="n">
        <f aca="false">0</f>
        <v>0</v>
      </c>
      <c r="D176" s="27" t="n">
        <f aca="false">IF(OR(C176=1,AND(Suspension_auto=1,C180&gt;=Reports_max)),1,0)</f>
        <v>0</v>
      </c>
      <c r="E176" s="27" t="n">
        <f aca="false">IF(OR(D176=1,AND(Suspension_auto=1,D180&gt;=Reports_max)),1,0)</f>
        <v>0</v>
      </c>
      <c r="F176" s="27" t="n">
        <f aca="false">IF(OR(E176=1,AND(Suspension_auto=1,E180&gt;=Reports_max)),1,0)</f>
        <v>0</v>
      </c>
      <c r="G176" s="27" t="n">
        <f aca="false">IF(OR(F176=1,AND(Suspension_auto=1,F180&gt;=Reports_max)),1,0)</f>
        <v>1</v>
      </c>
      <c r="H176" s="27" t="n">
        <f aca="false">IF(OR(G176=1,AND(Suspension_auto=1,G180&gt;=Reports_max)),1,0)</f>
        <v>1</v>
      </c>
      <c r="I176" s="27" t="n">
        <f aca="false">IF(OR(H176=1,AND(Suspension_auto=1,H180&gt;=Reports_max)),1,0)</f>
        <v>1</v>
      </c>
      <c r="J176" s="27" t="n">
        <f aca="false">IF(OR(I176=1,AND(Suspension_auto=1,I180&gt;=Reports_max)),1,0)</f>
        <v>1</v>
      </c>
      <c r="K176" s="9" t="s">
        <v>451</v>
      </c>
    </row>
    <row r="177" customFormat="false" ht="15" hidden="false" customHeight="false" outlineLevel="0" collapsed="false">
      <c r="B177" s="7" t="s">
        <v>452</v>
      </c>
      <c r="C177" s="22" t="n">
        <f aca="false">IF(C176=1,0,MIN(C174,C175))</f>
        <v>400000</v>
      </c>
      <c r="D177" s="22" t="n">
        <f aca="false">IF(D176=1,0,MIN(D174,D175))</f>
        <v>345686.062488291</v>
      </c>
      <c r="E177" s="22" t="n">
        <f aca="false">IF(E176=1,0,MIN(E174,E175))</f>
        <v>308300.856804229</v>
      </c>
      <c r="F177" s="22" t="n">
        <f aca="false">IF(F176=1,0,MIN(F174,F175))</f>
        <v>292503.741090082</v>
      </c>
      <c r="G177" s="22" t="n">
        <f aca="false">IF(G176=1,0,MIN(G174,G175))</f>
        <v>0</v>
      </c>
      <c r="H177" s="22" t="n">
        <f aca="false">IF(H176=1,0,MIN(H174,H175))</f>
        <v>0</v>
      </c>
      <c r="I177" s="22" t="n">
        <f aca="false">IF(I176=1,0,MIN(I174,I175))</f>
        <v>0</v>
      </c>
      <c r="J177" s="22" t="n">
        <f aca="false">IF(J176=1,0,MIN(J174,J175))</f>
        <v>0</v>
      </c>
      <c r="K177" s="9" t="s">
        <v>453</v>
      </c>
    </row>
    <row r="178" customFormat="false" ht="15" hidden="false" customHeight="false" outlineLevel="0" collapsed="false">
      <c r="B178" s="7" t="s">
        <v>454</v>
      </c>
      <c r="C178" s="22" t="n">
        <f aca="false">C174-C177</f>
        <v>2000000</v>
      </c>
      <c r="D178" s="22" t="n">
        <f aca="false">D174-D177</f>
        <v>2691372.12497658</v>
      </c>
      <c r="E178" s="22" t="n">
        <f aca="false">E174-E177</f>
        <v>2999672.98178081</v>
      </c>
      <c r="F178" s="22" t="n">
        <f aca="false">F174-F177</f>
        <v>2999672.98178081</v>
      </c>
      <c r="G178" s="22" t="n">
        <f aca="false">G174-G177</f>
        <v>3174829.18057054</v>
      </c>
      <c r="H178" s="22" t="n">
        <f aca="false">H174-H177</f>
        <v>3301969.65564573</v>
      </c>
      <c r="I178" s="22" t="n">
        <f aca="false">I174-I177</f>
        <v>3442757.24448654</v>
      </c>
      <c r="J178" s="22" t="n">
        <f aca="false">J174-J177</f>
        <v>3596902.36183865</v>
      </c>
      <c r="K178" s="9"/>
    </row>
    <row r="179" customFormat="false" ht="15" hidden="false" customHeight="false" outlineLevel="0" collapsed="false">
      <c r="B179" s="7" t="s">
        <v>455</v>
      </c>
      <c r="C179" s="27" t="n">
        <f aca="false">IF(C178&gt;1,1,0)</f>
        <v>1</v>
      </c>
      <c r="D179" s="27" t="n">
        <f aca="false">IF(D178&gt;1,1,0)</f>
        <v>1</v>
      </c>
      <c r="E179" s="27" t="n">
        <f aca="false">IF(E178&gt;1,1,0)</f>
        <v>1</v>
      </c>
      <c r="F179" s="27" t="n">
        <f aca="false">IF(F178&gt;1,1,0)</f>
        <v>1</v>
      </c>
      <c r="G179" s="27" t="n">
        <f aca="false">IF(G178&gt;1,1,0)</f>
        <v>1</v>
      </c>
      <c r="H179" s="27" t="n">
        <f aca="false">IF(H178&gt;1,1,0)</f>
        <v>1</v>
      </c>
      <c r="I179" s="27" t="n">
        <f aca="false">IF(I178&gt;1,1,0)</f>
        <v>1</v>
      </c>
      <c r="J179" s="27" t="n">
        <f aca="false">IF(J178&gt;1,1,0)</f>
        <v>1</v>
      </c>
      <c r="K179" s="9"/>
    </row>
    <row r="180" customFormat="false" ht="15" hidden="false" customHeight="false" outlineLevel="0" collapsed="false">
      <c r="B180" s="7" t="s">
        <v>456</v>
      </c>
      <c r="C180" s="27" t="n">
        <f aca="false">C179</f>
        <v>1</v>
      </c>
      <c r="D180" s="27" t="n">
        <f aca="false">IF(D179=1,C180+1,0)</f>
        <v>2</v>
      </c>
      <c r="E180" s="27" t="n">
        <f aca="false">IF(E179=1,D180+1,0)</f>
        <v>3</v>
      </c>
      <c r="F180" s="27" t="n">
        <f aca="false">IF(F179=1,E180+1,0)</f>
        <v>4</v>
      </c>
      <c r="G180" s="27" t="n">
        <f aca="false">IF(G179=1,F180+1,0)</f>
        <v>5</v>
      </c>
      <c r="H180" s="27" t="n">
        <f aca="false">IF(H179=1,G180+1,0)</f>
        <v>6</v>
      </c>
      <c r="I180" s="27" t="n">
        <f aca="false">IF(I179=1,H180+1,0)</f>
        <v>7</v>
      </c>
      <c r="J180" s="27" t="n">
        <f aca="false">IF(J179=1,I180+1,0)</f>
        <v>8</v>
      </c>
      <c r="K180" s="9"/>
    </row>
    <row r="181" customFormat="false" ht="15" hidden="false" customHeight="false" outlineLevel="0" collapsed="false">
      <c r="B181" s="7" t="s">
        <v>457</v>
      </c>
      <c r="C181" s="16" t="n">
        <f aca="false">C178/C170</f>
        <v>0.25</v>
      </c>
      <c r="D181" s="16" t="n">
        <f aca="false">D178/D170</f>
        <v>0.38927981440787</v>
      </c>
      <c r="E181" s="16" t="n">
        <f aca="false">E178/E170</f>
        <v>0.486484697589667</v>
      </c>
      <c r="F181" s="16" t="n">
        <f aca="false">F178/F170</f>
        <v>0.512758054068273</v>
      </c>
      <c r="G181" s="16" t="n">
        <f aca="false">G178/G170</f>
        <v>0.543771080185734</v>
      </c>
      <c r="H181" s="16" t="n">
        <f aca="false">H178/H170</f>
        <v>0.519420688603357</v>
      </c>
      <c r="I181" s="16" t="n">
        <f aca="false">I178/I170</f>
        <v>0.489071128049404</v>
      </c>
      <c r="J181" s="16" t="n">
        <f aca="false">J178/J170</f>
        <v>0.466690404941236</v>
      </c>
      <c r="K181" s="9"/>
    </row>
    <row r="183" customFormat="false" ht="15" hidden="false" customHeight="false" outlineLevel="0" collapsed="false">
      <c r="B183" s="7" t="s">
        <v>458</v>
      </c>
      <c r="C183" s="22" t="n">
        <f aca="false">Paramètres!$D$68*AN_depart</f>
        <v>2800000</v>
      </c>
      <c r="D183" s="22" t="n">
        <f aca="false">C215</f>
        <v>2574313.60807946</v>
      </c>
      <c r="E183" s="22" t="n">
        <f aca="false">D215</f>
        <v>2297002.86525936</v>
      </c>
      <c r="F183" s="22" t="n">
        <f aca="false">E215</f>
        <v>1924605.13795838</v>
      </c>
      <c r="G183" s="22" t="n">
        <f aca="false">F215</f>
        <v>1820598.58897007</v>
      </c>
      <c r="H183" s="22" t="n">
        <f aca="false">G215</f>
        <v>1919641.55712303</v>
      </c>
      <c r="I183" s="22" t="n">
        <f aca="false">H215</f>
        <v>2050078.51066178</v>
      </c>
      <c r="J183" s="22" t="n">
        <f aca="false">I215</f>
        <v>2160535.59158916</v>
      </c>
      <c r="K183" s="9"/>
    </row>
    <row r="184" customFormat="false" ht="15" hidden="false" customHeight="false" outlineLevel="0" collapsed="false">
      <c r="B184" s="7" t="s">
        <v>459</v>
      </c>
      <c r="C184" s="22" t="n">
        <f aca="false">Paramètres!$D$69*AN_depart</f>
        <v>0</v>
      </c>
      <c r="D184" s="22" t="n">
        <f aca="false">C216</f>
        <v>0</v>
      </c>
      <c r="E184" s="22" t="n">
        <f aca="false">D216</f>
        <v>0</v>
      </c>
      <c r="F184" s="22" t="n">
        <f aca="false">E216</f>
        <v>0</v>
      </c>
      <c r="G184" s="22" t="n">
        <f aca="false">F216</f>
        <v>0</v>
      </c>
      <c r="H184" s="22" t="n">
        <f aca="false">G216</f>
        <v>0</v>
      </c>
      <c r="I184" s="22" t="n">
        <f aca="false">H216</f>
        <v>0</v>
      </c>
      <c r="J184" s="22" t="n">
        <f aca="false">I216</f>
        <v>0</v>
      </c>
      <c r="K184" s="9"/>
    </row>
    <row r="185" customFormat="false" ht="15" hidden="false" customHeight="false" outlineLevel="0" collapsed="false">
      <c r="B185" s="7" t="s">
        <v>460</v>
      </c>
      <c r="C185" s="22" t="n">
        <f aca="false">Paramètres!$D$70*AN_depart</f>
        <v>1960000</v>
      </c>
      <c r="D185" s="22" t="n">
        <f aca="false">C217</f>
        <v>1992541.49365562</v>
      </c>
      <c r="E185" s="22" t="n">
        <f aca="false">D217</f>
        <v>2000200.67180324</v>
      </c>
      <c r="F185" s="22" t="n">
        <f aca="false">E217</f>
        <v>2049239.94180712</v>
      </c>
      <c r="G185" s="22" t="n">
        <f aca="false">F217</f>
        <v>2112837.54696741</v>
      </c>
      <c r="H185" s="22" t="n">
        <f aca="false">G217</f>
        <v>2182848.88407829</v>
      </c>
      <c r="I185" s="22" t="n">
        <f aca="false">H217</f>
        <v>2335536.1043818</v>
      </c>
      <c r="J185" s="22" t="n">
        <f aca="false">I217</f>
        <v>2470715.62485535</v>
      </c>
      <c r="K185" s="9"/>
    </row>
    <row r="186" customFormat="false" ht="15" hidden="false" customHeight="false" outlineLevel="0" collapsed="false">
      <c r="B186" s="7" t="s">
        <v>461</v>
      </c>
      <c r="C186" s="22" t="n">
        <f aca="false">Paramètres!$D$71*AN_depart</f>
        <v>1960000</v>
      </c>
      <c r="D186" s="22" t="n">
        <f aca="false">C218</f>
        <v>1890172.18303557</v>
      </c>
      <c r="E186" s="22" t="n">
        <f aca="false">D218</f>
        <v>1799676.38652432</v>
      </c>
      <c r="F186" s="22" t="n">
        <f aca="false">E218</f>
        <v>1814569.5706753</v>
      </c>
      <c r="G186" s="22" t="n">
        <f aca="false">F218</f>
        <v>1846603.07550201</v>
      </c>
      <c r="H186" s="22" t="n">
        <f aca="false">G218</f>
        <v>1882378.62934044</v>
      </c>
      <c r="I186" s="22" t="n">
        <f aca="false">H218</f>
        <v>1984146.07669162</v>
      </c>
      <c r="J186" s="22" t="n">
        <f aca="false">I218</f>
        <v>2060784.28923739</v>
      </c>
      <c r="K186" s="9"/>
    </row>
    <row r="187" customFormat="false" ht="15" hidden="false" customHeight="false" outlineLevel="0" collapsed="false">
      <c r="B187" s="7" t="s">
        <v>462</v>
      </c>
      <c r="C187" s="22" t="n">
        <f aca="false">Paramètres!$D$72*AN_depart</f>
        <v>880000</v>
      </c>
      <c r="D187" s="22" t="n">
        <f aca="false">C219</f>
        <v>376693.964995159</v>
      </c>
      <c r="E187" s="22" t="n">
        <f aca="false">D219</f>
        <v>0</v>
      </c>
      <c r="F187" s="22" t="n">
        <f aca="false">E219</f>
        <v>0</v>
      </c>
      <c r="G187" s="22" t="n">
        <f aca="false">F219</f>
        <v>0</v>
      </c>
      <c r="H187" s="22" t="n">
        <f aca="false">G219</f>
        <v>72929.5102854261</v>
      </c>
      <c r="I187" s="22" t="n">
        <f aca="false">H219</f>
        <v>335875.00323293</v>
      </c>
      <c r="J187" s="22" t="n">
        <f aca="false">I219</f>
        <v>645652.941216736</v>
      </c>
      <c r="K187" s="9"/>
    </row>
    <row r="188" customFormat="false" ht="15" hidden="false" customHeight="false" outlineLevel="0" collapsed="false">
      <c r="B188" s="7" t="s">
        <v>463</v>
      </c>
      <c r="C188" s="22" t="n">
        <f aca="false">W_cash*AN_depart</f>
        <v>400000</v>
      </c>
      <c r="D188" s="22" t="n">
        <f aca="false">C213</f>
        <v>80000</v>
      </c>
      <c r="E188" s="22" t="n">
        <f aca="false">D213</f>
        <v>69137.2124976581</v>
      </c>
      <c r="F188" s="22" t="n">
        <f aca="false">E213</f>
        <v>61660.1713608459</v>
      </c>
      <c r="G188" s="22" t="n">
        <f aca="false">F213</f>
        <v>58500.7482180165</v>
      </c>
      <c r="H188" s="22" t="n">
        <f aca="false">G213</f>
        <v>299225.172932447</v>
      </c>
      <c r="I188" s="22" t="n">
        <f aca="false">H213</f>
        <v>333743.747072381</v>
      </c>
      <c r="J188" s="22" t="n">
        <f aca="false">I213</f>
        <v>369567.420707127</v>
      </c>
      <c r="K188" s="9"/>
    </row>
    <row r="189" customFormat="false" ht="15" hidden="false" customHeight="false" outlineLevel="0" collapsed="false">
      <c r="B189" s="7" t="s">
        <v>464</v>
      </c>
      <c r="C189" s="22" t="n">
        <f aca="false">NA_total</f>
        <v>1200000</v>
      </c>
      <c r="D189" s="22" t="n">
        <f aca="false">C220</f>
        <v>894667.728</v>
      </c>
      <c r="E189" s="22" t="n">
        <f aca="false">D220</f>
        <v>472437.144985136</v>
      </c>
      <c r="F189" s="22" t="n">
        <f aca="false">E220</f>
        <v>157064.674216714</v>
      </c>
      <c r="G189" s="22" t="n">
        <f aca="false">F220</f>
        <v>-36843.4487701095</v>
      </c>
      <c r="H189" s="22" t="n">
        <f aca="false">G220</f>
        <v>0</v>
      </c>
      <c r="I189" s="22" t="n">
        <f aca="false">H220</f>
        <v>0</v>
      </c>
      <c r="J189" s="22" t="n">
        <f aca="false">I220</f>
        <v>0</v>
      </c>
      <c r="K189" s="9" t="s">
        <v>465</v>
      </c>
    </row>
    <row r="191" customFormat="false" ht="22.35" hidden="false" customHeight="false" outlineLevel="0" collapsed="false">
      <c r="B191" s="7" t="s">
        <v>466</v>
      </c>
      <c r="C191" s="22" t="n">
        <f aca="false">MIN(C189,NA_total*Appels_base*Paramètres!$C$145)</f>
        <v>300000</v>
      </c>
      <c r="D191" s="22" t="n">
        <f aca="false">MIN(D189,NA_total*Appels_base*Paramètres!$D$145)</f>
        <v>300000</v>
      </c>
      <c r="E191" s="22" t="n">
        <f aca="false">MIN(E189,NA_total*Appels_base*Paramètres!$E$145)</f>
        <v>200000</v>
      </c>
      <c r="F191" s="22" t="n">
        <f aca="false">MIN(F189,NA_total*Appels_base*Paramètres!$F$145)</f>
        <v>157064.674216714</v>
      </c>
      <c r="G191" s="22" t="n">
        <f aca="false">MIN(G189,NA_total*Appels_base*Paramètres!$G$145)</f>
        <v>-36843.4487701095</v>
      </c>
      <c r="H191" s="22" t="n">
        <f aca="false">MIN(H189,NA_total*Appels_base*Paramètres!$H$145)</f>
        <v>0</v>
      </c>
      <c r="I191" s="22" t="n">
        <f aca="false">MIN(I189,NA_total*Appels_base*Paramètres!$I$145)</f>
        <v>0</v>
      </c>
      <c r="J191" s="22" t="n">
        <f aca="false">MIN(J189,NA_total*Appels_base*Paramètres!$J$145)</f>
        <v>0</v>
      </c>
      <c r="K191" s="9" t="s">
        <v>467</v>
      </c>
    </row>
    <row r="192" customFormat="false" ht="15" hidden="false" customHeight="false" outlineLevel="0" collapsed="false">
      <c r="B192" s="7" t="s">
        <v>468</v>
      </c>
      <c r="C192" s="22" t="n">
        <f aca="false">(C183*Paramètres!$D$79+C184*Paramètres!$D$80)/2*Paramètres!$C$140</f>
        <v>33600</v>
      </c>
      <c r="D192" s="22" t="n">
        <f aca="false">(D183*Paramètres!$D$79+D184*Paramètres!$D$80)/2*Paramètres!$D$140</f>
        <v>15445.8816484768</v>
      </c>
      <c r="E192" s="22" t="n">
        <f aca="false">(E183*Paramètres!$D$79+E184*Paramètres!$D$80)/2*Paramètres!$E$140</f>
        <v>17227.5214894452</v>
      </c>
      <c r="F192" s="22" t="n">
        <f aca="false">(F183*Paramètres!$D$79+F184*Paramètres!$D$80)/2*Paramètres!$F$140</f>
        <v>20208.3539485629</v>
      </c>
      <c r="G192" s="22" t="n">
        <f aca="false">(G183*Paramètres!$D$79+G184*Paramètres!$D$80)/2*Paramètres!$G$140</f>
        <v>27308.9788345511</v>
      </c>
      <c r="H192" s="22" t="n">
        <f aca="false">(H183*Paramètres!$D$79+H184*Paramètres!$D$80)/2*Paramètres!$H$140</f>
        <v>34553.5480282146</v>
      </c>
      <c r="I192" s="22" t="n">
        <f aca="false">(I183*Paramètres!$D$79+I184*Paramètres!$D$80)/2*Paramètres!$I$140</f>
        <v>43051.6487238974</v>
      </c>
      <c r="J192" s="22" t="n">
        <f aca="false">(J183*Paramètres!$D$79+J184*Paramètres!$D$80)/2*Paramètres!$J$140</f>
        <v>51852.8541981399</v>
      </c>
      <c r="K192" s="9" t="s">
        <v>469</v>
      </c>
    </row>
    <row r="193" customFormat="false" ht="15" hidden="false" customHeight="false" outlineLevel="0" collapsed="false">
      <c r="B193" s="7" t="s">
        <v>470</v>
      </c>
      <c r="C193" s="22" t="n">
        <f aca="false">(C185*Paramètres!$D$81+C186*Paramètres!$D$82)/2*Paramètres!$C$140</f>
        <v>27440</v>
      </c>
      <c r="D193" s="22" t="n">
        <f aca="false">(D185*Paramètres!$D$81+D186*Paramètres!$D$82)/2*Paramètres!$D$140</f>
        <v>13435.9439024891</v>
      </c>
      <c r="E193" s="22" t="n">
        <f aca="false">(E185*Paramètres!$D$81+E186*Paramètres!$D$82)/2*Paramètres!$E$140</f>
        <v>16248.4790952851</v>
      </c>
      <c r="F193" s="22" t="n">
        <f aca="false">(F185*Paramètres!$D$81+F186*Paramètres!$D$82)/2*Paramètres!$F$140</f>
        <v>23049.8235397338</v>
      </c>
      <c r="G193" s="22" t="n">
        <f aca="false">(G185*Paramètres!$D$81+G186*Paramètres!$D$82)/2*Paramètres!$G$140</f>
        <v>33646.7261786122</v>
      </c>
      <c r="H193" s="22" t="n">
        <f aca="false">(H185*Paramètres!$D$81+H186*Paramètres!$D$82)/2*Paramètres!$H$140</f>
        <v>41332.7727445764</v>
      </c>
      <c r="I193" s="22" t="n">
        <f aca="false">(I185*Paramètres!$D$81+I186*Paramètres!$D$82)/2*Paramètres!$I$140</f>
        <v>51071.3090727759</v>
      </c>
      <c r="J193" s="22" t="n">
        <f aca="false">(J185*Paramètres!$D$81+J186*Paramètres!$D$82)/2*Paramètres!$J$140</f>
        <v>60981.4107835907</v>
      </c>
      <c r="K193" s="9" t="s">
        <v>471</v>
      </c>
    </row>
    <row r="194" customFormat="false" ht="15" hidden="false" customHeight="false" outlineLevel="0" collapsed="false">
      <c r="B194" s="7" t="s">
        <v>472</v>
      </c>
      <c r="C194" s="22" t="n">
        <f aca="false">Frais_an/2*C170</f>
        <v>130396</v>
      </c>
      <c r="D194" s="22" t="n">
        <f aca="false">Frais_an/2*D170</f>
        <v>112690.199510558</v>
      </c>
      <c r="E194" s="22" t="n">
        <f aca="false">Frais_an/2*E170</f>
        <v>100502.996309611</v>
      </c>
      <c r="F194" s="22" t="n">
        <f aca="false">Frais_an/2*F170</f>
        <v>95353.2945579559</v>
      </c>
      <c r="G194" s="22" t="n">
        <f aca="false">Frais_an/2*G170</f>
        <v>95165.2820724375</v>
      </c>
      <c r="H194" s="22" t="n">
        <f aca="false">Frais_an/2*H170</f>
        <v>103616.308674405</v>
      </c>
      <c r="I194" s="22" t="n">
        <f aca="false">Frais_an/2*I170</f>
        <v>114738.365215539</v>
      </c>
      <c r="J194" s="22" t="n">
        <f aca="false">Frais_an/2*J170</f>
        <v>125624.41701404</v>
      </c>
      <c r="K194" s="9"/>
    </row>
    <row r="195" customFormat="false" ht="15" hidden="false" customHeight="false" outlineLevel="0" collapsed="false">
      <c r="B195" s="7" t="s">
        <v>473</v>
      </c>
      <c r="C195" s="22" t="n">
        <f aca="false">C188*Paramètres!$C$84/2</f>
        <v>5000</v>
      </c>
      <c r="D195" s="22" t="n">
        <f aca="false">D188*Paramètres!$C$84/2</f>
        <v>1000</v>
      </c>
      <c r="E195" s="22" t="n">
        <f aca="false">E188*Paramètres!$C$84/2</f>
        <v>864.215156220726</v>
      </c>
      <c r="F195" s="22" t="n">
        <f aca="false">F188*Paramètres!$C$84/2</f>
        <v>770.752142010573</v>
      </c>
      <c r="G195" s="22" t="n">
        <f aca="false">G188*Paramètres!$C$84/2</f>
        <v>731.259352725206</v>
      </c>
      <c r="H195" s="22" t="n">
        <f aca="false">H188*Paramètres!$C$84/2</f>
        <v>3740.31466165559</v>
      </c>
      <c r="I195" s="22" t="n">
        <f aca="false">I188*Paramètres!$C$84/2</f>
        <v>4171.79683840476</v>
      </c>
      <c r="J195" s="22" t="n">
        <f aca="false">J188*Paramètres!$C$84/2</f>
        <v>4619.59275883908</v>
      </c>
      <c r="K195" s="9"/>
    </row>
    <row r="196" customFormat="false" ht="15" hidden="false" customHeight="false" outlineLevel="0" collapsed="false">
      <c r="B196" s="7" t="s">
        <v>474</v>
      </c>
      <c r="C196" s="22" t="n">
        <f aca="false">C177+C191+C194-C171-C192-C193-C195</f>
        <v>764356</v>
      </c>
      <c r="D196" s="22" t="n">
        <f aca="false">D177+D191+D194-D171-D192-D193-D195</f>
        <v>728494.436447883</v>
      </c>
      <c r="E196" s="22" t="n">
        <f aca="false">E177+E191+E194-E171-E192-E193-E195</f>
        <v>574463.637372889</v>
      </c>
      <c r="F196" s="22" t="n">
        <f aca="false">F177+F191+F194-F171-F192-F193-F195</f>
        <v>500892.780234445</v>
      </c>
      <c r="G196" s="22" t="n">
        <f aca="false">G177+G191+G194-G171-G192-G193-G195</f>
        <v>-149328.630054998</v>
      </c>
      <c r="H196" s="22" t="n">
        <f aca="false">H177+H191+H194-H171-H192-H193-H195</f>
        <v>-293861.514448023</v>
      </c>
      <c r="I196" s="22" t="n">
        <f aca="false">I177+I191+I194-I171-I192-I193-I195</f>
        <v>-335525.361521564</v>
      </c>
      <c r="J196" s="22" t="n">
        <f aca="false">J177+J191+J194-J171-J192-J193-J195</f>
        <v>-377192.234106818</v>
      </c>
      <c r="K196" s="9" t="s">
        <v>475</v>
      </c>
    </row>
    <row r="197" customFormat="false" ht="15" hidden="false" customHeight="false" outlineLevel="0" collapsed="false">
      <c r="B197" s="7" t="s">
        <v>476</v>
      </c>
      <c r="C197" s="22" t="n">
        <f aca="false">MAX(0,C188-Cash_min*C170)</f>
        <v>320000</v>
      </c>
      <c r="D197" s="22" t="n">
        <f aca="false">MAX(0,D188-Cash_min*D170)</f>
        <v>10862.7875023419</v>
      </c>
      <c r="E197" s="22" t="n">
        <f aca="false">MAX(0,E188-Cash_min*E170)</f>
        <v>7477.04113681232</v>
      </c>
      <c r="F197" s="22" t="n">
        <f aca="false">MAX(0,F188-Cash_min*F170)</f>
        <v>3159.4231428294</v>
      </c>
      <c r="G197" s="22" t="n">
        <f aca="false">MAX(0,G188-Cash_min*G170)</f>
        <v>115.348621441415</v>
      </c>
      <c r="H197" s="22" t="n">
        <f aca="false">MAX(0,H188-Cash_min*H170)</f>
        <v>235654.935394851</v>
      </c>
      <c r="I197" s="22" t="n">
        <f aca="false">MAX(0,I188-Cash_min*I170)</f>
        <v>263349.952651976</v>
      </c>
      <c r="J197" s="22" t="n">
        <f aca="false">MAX(0,J188-Cash_min*J170)</f>
        <v>292494.862031069</v>
      </c>
      <c r="K197" s="9" t="s">
        <v>477</v>
      </c>
    </row>
    <row r="198" customFormat="false" ht="15" hidden="false" customHeight="false" outlineLevel="0" collapsed="false">
      <c r="B198" s="7" t="s">
        <v>478</v>
      </c>
      <c r="C198" s="22" t="n">
        <f aca="false">MAX(0,C196-C197)</f>
        <v>444356</v>
      </c>
      <c r="D198" s="22" t="n">
        <f aca="false">MAX(0,D196-D197)</f>
        <v>717631.648945541</v>
      </c>
      <c r="E198" s="22" t="n">
        <f aca="false">MAX(0,E196-E197)</f>
        <v>566986.596236076</v>
      </c>
      <c r="F198" s="22" t="n">
        <f aca="false">MAX(0,F196-F197)</f>
        <v>497733.357091615</v>
      </c>
      <c r="G198" s="22" t="n">
        <f aca="false">MAX(0,G196-G197)</f>
        <v>0</v>
      </c>
      <c r="H198" s="22" t="n">
        <f aca="false">MAX(0,H196-H197)</f>
        <v>0</v>
      </c>
      <c r="I198" s="22" t="n">
        <f aca="false">MAX(0,I196-I197)</f>
        <v>0</v>
      </c>
      <c r="J198" s="22" t="n">
        <f aca="false">MAX(0,J196-J197)</f>
        <v>0</v>
      </c>
      <c r="K198" s="9"/>
    </row>
    <row r="199" customFormat="false" ht="15" hidden="false" customHeight="false" outlineLevel="0" collapsed="false">
      <c r="B199" s="7" t="s">
        <v>479</v>
      </c>
      <c r="C199" s="22" t="n">
        <f aca="false">MIN(C198,C187*(1+'MST Scénarios'!C70))</f>
        <v>444356</v>
      </c>
      <c r="D199" s="22" t="n">
        <f aca="false">MIN(D198,D187*(1+'MST Scénarios'!D70))</f>
        <v>373380.764354809</v>
      </c>
      <c r="E199" s="22" t="n">
        <f aca="false">MIN(E198,E187*(1+'MST Scénarios'!E70))</f>
        <v>0</v>
      </c>
      <c r="F199" s="22" t="n">
        <f aca="false">MIN(F198,F187*(1+'MST Scénarios'!F70))</f>
        <v>0</v>
      </c>
      <c r="G199" s="22" t="n">
        <f aca="false">MIN(G198,G187*(1+'MST Scénarios'!G70))</f>
        <v>0</v>
      </c>
      <c r="H199" s="22" t="n">
        <f aca="false">MIN(H198,H187*(1+'MST Scénarios'!H70))</f>
        <v>0</v>
      </c>
      <c r="I199" s="22" t="n">
        <f aca="false">MIN(I198,I187*(1+'MST Scénarios'!I70))</f>
        <v>0</v>
      </c>
      <c r="J199" s="22" t="n">
        <f aca="false">MIN(J198,J187*(1+'MST Scénarios'!J70))</f>
        <v>0</v>
      </c>
      <c r="K199" s="9" t="s">
        <v>480</v>
      </c>
    </row>
    <row r="200" customFormat="false" ht="15" hidden="false" customHeight="false" outlineLevel="0" collapsed="false">
      <c r="B200" s="7" t="s">
        <v>481</v>
      </c>
      <c r="C200" s="22" t="n">
        <f aca="false">C199*Paramètres!$K$83</f>
        <v>13330.68</v>
      </c>
      <c r="D200" s="22" t="n">
        <f aca="false">D199*Paramètres!$K$83</f>
        <v>11201.4229306443</v>
      </c>
      <c r="E200" s="22" t="n">
        <f aca="false">E199*Paramètres!$K$83</f>
        <v>0</v>
      </c>
      <c r="F200" s="22" t="n">
        <f aca="false">F199*Paramètres!$K$83</f>
        <v>0</v>
      </c>
      <c r="G200" s="22" t="n">
        <f aca="false">G199*Paramètres!$K$83</f>
        <v>0</v>
      </c>
      <c r="H200" s="22" t="n">
        <f aca="false">H199*Paramètres!$K$83</f>
        <v>0</v>
      </c>
      <c r="I200" s="22" t="n">
        <f aca="false">I199*Paramètres!$K$83</f>
        <v>0</v>
      </c>
      <c r="J200" s="22" t="n">
        <f aca="false">J199*Paramètres!$K$83</f>
        <v>0</v>
      </c>
      <c r="K200" s="9" t="s">
        <v>482</v>
      </c>
    </row>
    <row r="201" customFormat="false" ht="15" hidden="false" customHeight="false" outlineLevel="0" collapsed="false">
      <c r="B201" s="7" t="s">
        <v>483</v>
      </c>
      <c r="C201" s="22" t="n">
        <f aca="false">MAX(0,C198-C199*(1-Paramètres!$K$83))</f>
        <v>13330.68</v>
      </c>
      <c r="D201" s="22" t="n">
        <f aca="false">MAX(0,D198-D199*(1-Paramètres!$K$83))</f>
        <v>355452.307521376</v>
      </c>
      <c r="E201" s="22" t="n">
        <f aca="false">MAX(0,E198-E199*(1-Paramètres!$K$83))</f>
        <v>566986.596236076</v>
      </c>
      <c r="F201" s="22" t="n">
        <f aca="false">MAX(0,F198-F199*(1-Paramètres!$K$83))</f>
        <v>497733.357091615</v>
      </c>
      <c r="G201" s="22" t="n">
        <f aca="false">MAX(0,G198-G199*(1-Paramètres!$K$83))</f>
        <v>0</v>
      </c>
      <c r="H201" s="22" t="n">
        <f aca="false">MAX(0,H198-H199*(1-Paramètres!$K$83))</f>
        <v>0</v>
      </c>
      <c r="I201" s="22" t="n">
        <f aca="false">MAX(0,I198-I199*(1-Paramètres!$K$83))</f>
        <v>0</v>
      </c>
      <c r="J201" s="22" t="n">
        <f aca="false">MAX(0,J198-J199*(1-Paramètres!$K$83))</f>
        <v>0</v>
      </c>
      <c r="K201" s="9"/>
    </row>
    <row r="202" customFormat="false" ht="15" hidden="false" customHeight="false" outlineLevel="0" collapsed="false">
      <c r="B202" s="7" t="s">
        <v>484</v>
      </c>
      <c r="C202" s="22" t="n">
        <f aca="false">MAX(0,(C185*Paramètres!$F$70+C186*Paramètres!$F$71)*2*(1-Paramètres!$C$150)-C193)</f>
        <v>0</v>
      </c>
      <c r="D202" s="22" t="n">
        <f aca="false">MAX(0,(D185*Paramètres!$F$70+D186*Paramètres!$F$71)*2*(1-Paramètres!$D$150)-D193)</f>
        <v>0</v>
      </c>
      <c r="E202" s="22" t="n">
        <f aca="false">MAX(0,(E185*Paramètres!$F$70+E186*Paramètres!$F$71)*2*(1-Paramètres!$E$150)-E193)</f>
        <v>59749.0620712661</v>
      </c>
      <c r="F202" s="22" t="n">
        <f aca="false">MAX(0,(F185*Paramètres!$F$70+F186*Paramètres!$F$71)*2*(1-Paramètres!$F$150)-F193)</f>
        <v>131502.556959563</v>
      </c>
      <c r="G202" s="22" t="n">
        <f aca="false">MAX(0,(G185*Paramètres!$F$70+G186*Paramètres!$F$71)*2*(1-Paramètres!$G$150)-G193)</f>
        <v>164325.304944859</v>
      </c>
      <c r="H202" s="22" t="n">
        <f aca="false">MAX(0,(H185*Paramètres!$F$70+H186*Paramètres!$F$71)*2*(1-Paramètres!$H$150)-H193)</f>
        <v>202580.878060548</v>
      </c>
      <c r="I202" s="22" t="n">
        <f aca="false">MAX(0,(I185*Paramètres!$F$70+I186*Paramètres!$F$71)*2*(1-Paramètres!$I$150)-I193)</f>
        <v>251306.443602363</v>
      </c>
      <c r="J202" s="22" t="n">
        <f aca="false">MAX(0,(J185*Paramètres!$F$70+J186*Paramètres!$F$71)*2*(1-Paramètres!$J$150)-J193)</f>
        <v>256223.583202902</v>
      </c>
      <c r="K202" s="9" t="s">
        <v>485</v>
      </c>
    </row>
    <row r="203" customFormat="false" ht="22.35" hidden="false" customHeight="false" outlineLevel="0" collapsed="false">
      <c r="B203" s="7" t="s">
        <v>486</v>
      </c>
      <c r="C203" s="22" t="n">
        <f aca="false">MAX(C201,Poche_min_exec*C170-(C188-C196+C199*(1-Paramètres!$K$83)+C187*(1+'MST Scénarios'!C70)-C199))</f>
        <v>356636.715004841</v>
      </c>
      <c r="D203" s="22" t="n">
        <f aca="false">MAX(D201,Poche_min_exec*D170-(D188-D196+D199*(1-Paramètres!$K$83)+D187*(1+'MST Scénarios'!D70)-D199))</f>
        <v>977687.220000299</v>
      </c>
      <c r="E203" s="22" t="n">
        <f aca="false">MAX(E201,Poche_min_exec*E170-(E188-E196+E199*(1-Paramètres!$K$83)+E187*(1+'MST Scénarios'!E70)-E199))</f>
        <v>1121928.13848369</v>
      </c>
      <c r="F203" s="22" t="n">
        <f aca="false">MAX(F201,Poche_min_exec*F170-(F188-F196+F199*(1-Paramètres!$K$83)+F187*(1+'MST Scénarios'!F70)-F199))</f>
        <v>1024240.09105376</v>
      </c>
      <c r="G203" s="22" t="n">
        <f aca="false">MAX(G201,Poche_min_exec*G170-(G188-G196+G199*(1-Paramètres!$K$83)+G187*(1+'MST Scénarios'!G70)-G199))</f>
        <v>376024.617692736</v>
      </c>
      <c r="H203" s="22" t="n">
        <f aca="false">MAX(H201,Poche_min_exec*H170-(H188-H196+H199*(1-Paramètres!$K$83)+H187*(1+'MST Scénarios'!H70)-H199))</f>
        <v>0</v>
      </c>
      <c r="I203" s="22" t="n">
        <f aca="false">MAX(I201,Poche_min_exec*I170-(I188-I196+I199*(1-Paramètres!$K$83)+I187*(1+'MST Scénarios'!I70)-I199))</f>
        <v>0</v>
      </c>
      <c r="J203" s="22" t="n">
        <f aca="false">MAX(J201,Poche_min_exec*J170-(J188-J196+J199*(1-Paramètres!$K$83)+J187*(1+'MST Scénarios'!J70)-J199))</f>
        <v>0</v>
      </c>
      <c r="K203" s="9" t="s">
        <v>487</v>
      </c>
    </row>
    <row r="204" customFormat="false" ht="22.35" hidden="false" customHeight="false" outlineLevel="0" collapsed="false">
      <c r="B204" s="7" t="s">
        <v>488</v>
      </c>
      <c r="C204" s="22" t="n">
        <f aca="false">MAX(0,MIN(C203,C202))</f>
        <v>0</v>
      </c>
      <c r="D204" s="22" t="n">
        <f aca="false">MAX(0,MIN(D203,D202))</f>
        <v>0</v>
      </c>
      <c r="E204" s="22" t="n">
        <f aca="false">MAX(0,MIN(E203,E202))</f>
        <v>59749.0620712661</v>
      </c>
      <c r="F204" s="22" t="n">
        <f aca="false">MAX(0,MIN(F203,F202))</f>
        <v>131502.556959563</v>
      </c>
      <c r="G204" s="22" t="n">
        <f aca="false">MAX(0,MIN(G203,G202))</f>
        <v>164325.304944859</v>
      </c>
      <c r="H204" s="22" t="n">
        <f aca="false">MAX(0,MIN(H203,H202))</f>
        <v>0</v>
      </c>
      <c r="I204" s="22" t="n">
        <f aca="false">MAX(0,MIN(I203,I202))</f>
        <v>0</v>
      </c>
      <c r="J204" s="22" t="n">
        <f aca="false">MAX(0,MIN(J203,J202))</f>
        <v>0</v>
      </c>
      <c r="K204" s="9" t="s">
        <v>489</v>
      </c>
    </row>
    <row r="205" customFormat="false" ht="15" hidden="false" customHeight="false" outlineLevel="0" collapsed="false">
      <c r="B205" s="7" t="s">
        <v>490</v>
      </c>
      <c r="C205" s="22" t="n">
        <f aca="false">MAX(0,C201-C204)</f>
        <v>13330.68</v>
      </c>
      <c r="D205" s="22" t="n">
        <f aca="false">MAX(0,D201-D204)</f>
        <v>355452.307521376</v>
      </c>
      <c r="E205" s="22" t="n">
        <f aca="false">MAX(0,E201-E204)</f>
        <v>507237.53416481</v>
      </c>
      <c r="F205" s="22" t="n">
        <f aca="false">MAX(0,F201-F204)</f>
        <v>366230.800132052</v>
      </c>
      <c r="G205" s="22" t="n">
        <f aca="false">MAX(0,G201-G204)</f>
        <v>0</v>
      </c>
      <c r="H205" s="22" t="n">
        <f aca="false">MAX(0,H201-H204)</f>
        <v>0</v>
      </c>
      <c r="I205" s="22" t="n">
        <f aca="false">MAX(0,I201-I204)</f>
        <v>0</v>
      </c>
      <c r="J205" s="22" t="n">
        <f aca="false">MAX(0,J201-J204)</f>
        <v>0</v>
      </c>
      <c r="K205" s="9"/>
    </row>
    <row r="206" customFormat="false" ht="15" hidden="false" customHeight="false" outlineLevel="0" collapsed="false">
      <c r="B206" s="7" t="s">
        <v>491</v>
      </c>
      <c r="C206" s="22" t="n">
        <f aca="false">IF(Cession_autorisee=1,MIN(C205/(1-Paramètres!$K$79),C183+C184),0)</f>
        <v>17774.24</v>
      </c>
      <c r="D206" s="22" t="n">
        <f aca="false">IF(Cession_autorisee=1,MIN(D205/(1-Paramètres!$K$79),D183+D184),0)</f>
        <v>473936.410028501</v>
      </c>
      <c r="E206" s="22" t="n">
        <f aca="false">IF(Cession_autorisee=1,MIN(E205/(1-Paramètres!$K$79),E183+E184),0)</f>
        <v>676316.712219747</v>
      </c>
      <c r="F206" s="22" t="n">
        <f aca="false">IF(Cession_autorisee=1,MIN(F205/(1-Paramètres!$K$79),F183+F184),0)</f>
        <v>488307.733509403</v>
      </c>
      <c r="G206" s="22" t="n">
        <f aca="false">IF(Cession_autorisee=1,MIN(G205/(1-Paramètres!$K$79),G183+G184),0)</f>
        <v>0</v>
      </c>
      <c r="H206" s="22" t="n">
        <f aca="false">IF(Cession_autorisee=1,MIN(H205/(1-Paramètres!$K$79),H183+H184),0)</f>
        <v>0</v>
      </c>
      <c r="I206" s="22" t="n">
        <f aca="false">IF(Cession_autorisee=1,MIN(I205/(1-Paramètres!$K$79),I183+I184),0)</f>
        <v>0</v>
      </c>
      <c r="J206" s="22" t="n">
        <f aca="false">IF(Cession_autorisee=1,MIN(J205/(1-Paramètres!$K$79),J183+J184),0)</f>
        <v>0</v>
      </c>
      <c r="K206" s="9" t="s">
        <v>492</v>
      </c>
    </row>
    <row r="207" customFormat="false" ht="15" hidden="false" customHeight="false" outlineLevel="0" collapsed="false">
      <c r="B207" s="7" t="s">
        <v>493</v>
      </c>
      <c r="C207" s="22" t="n">
        <f aca="false">C206*Paramètres!$K$79</f>
        <v>4443.56</v>
      </c>
      <c r="D207" s="22" t="n">
        <f aca="false">D206*Paramètres!$K$79</f>
        <v>118484.102507125</v>
      </c>
      <c r="E207" s="22" t="n">
        <f aca="false">E206*Paramètres!$K$79</f>
        <v>169079.178054937</v>
      </c>
      <c r="F207" s="22" t="n">
        <f aca="false">F206*Paramètres!$K$79</f>
        <v>122076.933377351</v>
      </c>
      <c r="G207" s="22" t="n">
        <f aca="false">G206*Paramètres!$K$79</f>
        <v>0</v>
      </c>
      <c r="H207" s="22" t="n">
        <f aca="false">H206*Paramètres!$K$79</f>
        <v>0</v>
      </c>
      <c r="I207" s="22" t="n">
        <f aca="false">I206*Paramètres!$K$79</f>
        <v>0</v>
      </c>
      <c r="J207" s="22" t="n">
        <f aca="false">J206*Paramètres!$K$79</f>
        <v>0</v>
      </c>
      <c r="K207" s="9"/>
    </row>
    <row r="208" customFormat="false" ht="15" hidden="false" customHeight="false" outlineLevel="0" collapsed="false">
      <c r="B208" s="7" t="s">
        <v>494</v>
      </c>
      <c r="C208" s="22" t="n">
        <f aca="false">MAX(0,C205-C206*(1-Paramètres!$K$79))</f>
        <v>0</v>
      </c>
      <c r="D208" s="22" t="n">
        <f aca="false">MAX(0,D205-D206*(1-Paramètres!$K$79))</f>
        <v>0</v>
      </c>
      <c r="E208" s="22" t="n">
        <f aca="false">MAX(0,E205-E206*(1-Paramètres!$K$79))</f>
        <v>0</v>
      </c>
      <c r="F208" s="22" t="n">
        <f aca="false">MAX(0,F205-F206*(1-Paramètres!$K$79))</f>
        <v>0</v>
      </c>
      <c r="G208" s="22" t="n">
        <f aca="false">MAX(0,G205-G206*(1-Paramètres!$K$79))</f>
        <v>0</v>
      </c>
      <c r="H208" s="22" t="n">
        <f aca="false">MAX(0,H205-H206*(1-Paramètres!$K$79))</f>
        <v>0</v>
      </c>
      <c r="I208" s="22" t="n">
        <f aca="false">MAX(0,I205-I206*(1-Paramètres!$K$79))</f>
        <v>0</v>
      </c>
      <c r="J208" s="22" t="n">
        <f aca="false">MAX(0,J205-J206*(1-Paramètres!$K$79))</f>
        <v>0</v>
      </c>
      <c r="K208" s="9" t="s">
        <v>495</v>
      </c>
    </row>
    <row r="209" customFormat="false" ht="22.35" hidden="false" customHeight="false" outlineLevel="0" collapsed="false">
      <c r="B209" s="7" t="s">
        <v>496</v>
      </c>
      <c r="C209" s="22" t="n">
        <f aca="false">C188-C196+C199*(1-Paramètres!$K$83)+C204+C206*(1-Paramètres!$K$79)+C208</f>
        <v>80000</v>
      </c>
      <c r="D209" s="22" t="n">
        <f aca="false">D188-D196+D199*(1-Paramètres!$K$83)+D204+D206*(1-Paramètres!$K$79)+D208</f>
        <v>69137.2124976581</v>
      </c>
      <c r="E209" s="22" t="n">
        <f aca="false">E188-E196+E199*(1-Paramètres!$K$83)+E204+E206*(1-Paramètres!$K$79)+E208</f>
        <v>61660.1713608459</v>
      </c>
      <c r="F209" s="22" t="n">
        <f aca="false">F188-F196+F199*(1-Paramètres!$K$83)+F204+F206*(1-Paramètres!$K$79)+F208</f>
        <v>58500.7482180165</v>
      </c>
      <c r="G209" s="22" t="n">
        <f aca="false">G188-G196+G199*(1-Paramètres!$K$83)+G204+G206*(1-Paramètres!$K$79)+G208</f>
        <v>372154.683217873</v>
      </c>
      <c r="H209" s="22" t="n">
        <f aca="false">H188-H196+H199*(1-Paramètres!$K$83)+H204+H206*(1-Paramètres!$K$79)+H208</f>
        <v>593086.68738047</v>
      </c>
      <c r="I209" s="22" t="n">
        <f aca="false">I188-I196+I199*(1-Paramètres!$K$83)+I204+I206*(1-Paramètres!$K$79)+I208</f>
        <v>669269.108593945</v>
      </c>
      <c r="J209" s="22" t="n">
        <f aca="false">J188-J196+J199*(1-Paramètres!$K$83)+J204+J206*(1-Paramètres!$K$79)+J208</f>
        <v>746759.654813945</v>
      </c>
      <c r="K209" s="9" t="s">
        <v>497</v>
      </c>
    </row>
    <row r="210" customFormat="false" ht="15" hidden="false" customHeight="false" outlineLevel="0" collapsed="false">
      <c r="B210" s="7" t="s">
        <v>498</v>
      </c>
      <c r="C210" s="22" t="n">
        <f aca="false">MAX(0,C209-Cash_cible*(C170+C171-C177))*Reinvest_actif</f>
        <v>0</v>
      </c>
      <c r="D210" s="22" t="n">
        <f aca="false">MAX(0,D209-Cash_cible*(D170+D171-D177))*Reinvest_actif</f>
        <v>0</v>
      </c>
      <c r="E210" s="22" t="n">
        <f aca="false">MAX(0,E209-Cash_cible*(E170+E171-E177))*Reinvest_actif</f>
        <v>0</v>
      </c>
      <c r="F210" s="22" t="n">
        <f aca="false">MAX(0,F209-Cash_cible*(F170+F171-F177))*Reinvest_actif</f>
        <v>0</v>
      </c>
      <c r="G210" s="22" t="n">
        <f aca="false">MAX(0,G209-Cash_cible*(G170+G171-G177))*Reinvest_actif</f>
        <v>72929.5102854261</v>
      </c>
      <c r="H210" s="22" t="n">
        <f aca="false">MAX(0,H209-Cash_cible*(H170+H171-H177))*Reinvest_actif</f>
        <v>259342.940308089</v>
      </c>
      <c r="I210" s="22" t="n">
        <f aca="false">MAX(0,I209-Cash_cible*(I170+I171-I177))*Reinvest_actif</f>
        <v>299701.687886819</v>
      </c>
      <c r="J210" s="22" t="n">
        <f aca="false">MAX(0,J209-Cash_cible*(J170+J171-J177))*Reinvest_actif</f>
        <v>342128.721764642</v>
      </c>
      <c r="K210" s="9" t="s">
        <v>499</v>
      </c>
    </row>
    <row r="211" customFormat="false" ht="15" hidden="false" customHeight="false" outlineLevel="0" collapsed="false">
      <c r="B211" s="7" t="s">
        <v>500</v>
      </c>
      <c r="C211" s="22" t="n">
        <f aca="false">MIN(C210,MAX(0,(Liq_cible-Cash_cible)*(C170+C171-C177)-(C187*(1+'MST Scénarios'!C70)-C199)))</f>
        <v>0</v>
      </c>
      <c r="D211" s="22" t="n">
        <f aca="false">MIN(D210,MAX(0,(Liq_cible-Cash_cible)*(D170+D171-D177)-(D187*(1+'MST Scénarios'!D70)-D199)))</f>
        <v>0</v>
      </c>
      <c r="E211" s="22" t="n">
        <f aca="false">MIN(E210,MAX(0,(Liq_cible-Cash_cible)*(E170+E171-E177)-(E187*(1+'MST Scénarios'!E70)-E199)))</f>
        <v>0</v>
      </c>
      <c r="F211" s="22" t="n">
        <f aca="false">MIN(F210,MAX(0,(Liq_cible-Cash_cible)*(F170+F171-F177)-(F187*(1+'MST Scénarios'!F70)-F199)))</f>
        <v>0</v>
      </c>
      <c r="G211" s="22" t="n">
        <f aca="false">MIN(G210,MAX(0,(Liq_cible-Cash_cible)*(G170+G171-G177)-(G187*(1+'MST Scénarios'!G70)-G199)))</f>
        <v>72929.5102854261</v>
      </c>
      <c r="H211" s="22" t="n">
        <f aca="false">MIN(H210,MAX(0,(Liq_cible-Cash_cible)*(H170+H171-H177)-(H187*(1+'MST Scénarios'!H70)-H199)))</f>
        <v>259342.940308089</v>
      </c>
      <c r="I211" s="22" t="n">
        <f aca="false">MIN(I210,MAX(0,(Liq_cible-Cash_cible)*(I170+I171-I177)-(I187*(1+'MST Scénarios'!I70)-I199)))</f>
        <v>299701.687886819</v>
      </c>
      <c r="J211" s="22" t="n">
        <f aca="false">MIN(J210,MAX(0,(Liq_cible-Cash_cible)*(J170+J171-J177)-(J187*(1+'MST Scénarios'!J70)-J199)))</f>
        <v>225165.523255228</v>
      </c>
      <c r="K211" s="9"/>
    </row>
    <row r="212" customFormat="false" ht="22.35" hidden="false" customHeight="false" outlineLevel="0" collapsed="false">
      <c r="B212" s="7" t="s">
        <v>501</v>
      </c>
      <c r="C212" s="22" t="n">
        <f aca="false">C210-C211</f>
        <v>0</v>
      </c>
      <c r="D212" s="22" t="n">
        <f aca="false">D210-D211</f>
        <v>0</v>
      </c>
      <c r="E212" s="22" t="n">
        <f aca="false">E210-E211</f>
        <v>0</v>
      </c>
      <c r="F212" s="22" t="n">
        <f aca="false">F210-F211</f>
        <v>0</v>
      </c>
      <c r="G212" s="22" t="n">
        <f aca="false">G210-G211</f>
        <v>0</v>
      </c>
      <c r="H212" s="22" t="n">
        <f aca="false">H210-H211</f>
        <v>0</v>
      </c>
      <c r="I212" s="22" t="n">
        <f aca="false">I210-I211</f>
        <v>0</v>
      </c>
      <c r="J212" s="22" t="n">
        <f aca="false">J210-J211</f>
        <v>116963.198509414</v>
      </c>
      <c r="K212" s="9" t="s">
        <v>502</v>
      </c>
    </row>
    <row r="213" customFormat="false" ht="15" hidden="false" customHeight="false" outlineLevel="0" collapsed="false">
      <c r="B213" s="7" t="s">
        <v>503</v>
      </c>
      <c r="C213" s="22" t="n">
        <f aca="false">C209-C211-C212</f>
        <v>80000</v>
      </c>
      <c r="D213" s="22" t="n">
        <f aca="false">D209-D211-D212</f>
        <v>69137.2124976581</v>
      </c>
      <c r="E213" s="22" t="n">
        <f aca="false">E209-E211-E212</f>
        <v>61660.1713608459</v>
      </c>
      <c r="F213" s="22" t="n">
        <f aca="false">F209-F211-F212</f>
        <v>58500.7482180165</v>
      </c>
      <c r="G213" s="22" t="n">
        <f aca="false">G209-G211-G212</f>
        <v>299225.172932447</v>
      </c>
      <c r="H213" s="22" t="n">
        <f aca="false">H209-H211-H212</f>
        <v>333743.747072381</v>
      </c>
      <c r="I213" s="22" t="n">
        <f aca="false">I209-I211-I212</f>
        <v>369567.420707127</v>
      </c>
      <c r="J213" s="22" t="n">
        <f aca="false">J209-J211-J212</f>
        <v>404630.933049303</v>
      </c>
      <c r="K213" s="9"/>
    </row>
    <row r="215" customFormat="false" ht="22.35" hidden="false" customHeight="false" outlineLevel="0" collapsed="false">
      <c r="B215" s="7" t="s">
        <v>504</v>
      </c>
      <c r="C215" s="22" t="n">
        <f aca="false">C183*(1+'MST Scénarios'!C66)+C191*Paramètres!$E$68*Paramètres!$D$68/(Paramètres!$E$68*Paramètres!$D$68+Paramètres!$E$69*Paramètres!$D$69)-C183*Paramètres!$D$79/2*Paramètres!$C$140-C206*C183/(C183+C184)</f>
        <v>2574313.60807946</v>
      </c>
      <c r="D215" s="22" t="n">
        <f aca="false">D183*(1+'MST Scénarios'!D66)+D191*Paramètres!$E$68*Paramètres!$D$68/(Paramètres!$E$68*Paramètres!$D$68+Paramètres!$E$69*Paramètres!$D$69)-D183*Paramètres!$D$79/2*Paramètres!$D$140-D206*D183/(D183+D184)</f>
        <v>2297002.86525936</v>
      </c>
      <c r="E215" s="22" t="n">
        <f aca="false">E183*(1+'MST Scénarios'!E66)+E191*Paramètres!$E$68*Paramètres!$D$68/(Paramètres!$E$68*Paramètres!$D$68+Paramètres!$E$69*Paramètres!$D$69)-E183*Paramètres!$D$79/2*Paramètres!$E$140-E206*E183/(E183+E184)</f>
        <v>1924605.13795838</v>
      </c>
      <c r="F215" s="22" t="n">
        <f aca="false">F183*(1+'MST Scénarios'!F66)+F191*Paramètres!$E$68*Paramètres!$D$68/(Paramètres!$E$68*Paramètres!$D$68+Paramètres!$E$69*Paramètres!$D$69)-F183*Paramètres!$D$79/2*Paramètres!$F$140-F206*F183/(F183+F184)</f>
        <v>1820598.58897007</v>
      </c>
      <c r="G215" s="22" t="n">
        <f aca="false">G183*(1+'MST Scénarios'!G66)+G191*Paramètres!$E$68*Paramètres!$D$68/(Paramètres!$E$68*Paramètres!$D$68+Paramètres!$E$69*Paramètres!$D$69)-G183*Paramètres!$D$79/2*Paramètres!$G$140-G206*G183/(G183+G184)</f>
        <v>1919641.55712303</v>
      </c>
      <c r="H215" s="22" t="n">
        <f aca="false">H183*(1+'MST Scénarios'!H66)+H191*Paramètres!$E$68*Paramètres!$D$68/(Paramètres!$E$68*Paramètres!$D$68+Paramètres!$E$69*Paramètres!$D$69)-H183*Paramètres!$D$79/2*Paramètres!$H$140-H206*H183/(H183+H184)</f>
        <v>2050078.51066178</v>
      </c>
      <c r="I215" s="22" t="n">
        <f aca="false">I183*(1+'MST Scénarios'!I66)+I191*Paramètres!$E$68*Paramètres!$D$68/(Paramètres!$E$68*Paramètres!$D$68+Paramètres!$E$69*Paramètres!$D$69)-I183*Paramètres!$D$79/2*Paramètres!$I$140-I206*I183/(I183+I184)</f>
        <v>2160535.59158916</v>
      </c>
      <c r="J215" s="22" t="n">
        <f aca="false">J183*(1+'MST Scénarios'!J66)+J191*Paramètres!$E$68*Paramètres!$D$68/(Paramètres!$E$68*Paramètres!$D$68+Paramètres!$E$69*Paramètres!$D$69)-J183*Paramètres!$D$79/2*Paramètres!$J$140-J206*J183/(J183+J184)</f>
        <v>2254518.88982329</v>
      </c>
      <c r="K215" s="9" t="s">
        <v>505</v>
      </c>
    </row>
    <row r="216" customFormat="false" ht="15" hidden="false" customHeight="false" outlineLevel="0" collapsed="false">
      <c r="B216" s="7" t="s">
        <v>506</v>
      </c>
      <c r="C216" s="22" t="n">
        <f aca="false">C184*(1+'MST Scénarios'!C67)+C191*Paramètres!$E$69*Paramètres!$D$69/(Paramètres!$E$68*Paramètres!$D$68+Paramètres!$E$69*Paramètres!$D$69)-C184*Paramètres!$D$80/2*Paramètres!$C$140-C206*C184/(C183+C184)</f>
        <v>0</v>
      </c>
      <c r="D216" s="22" t="n">
        <f aca="false">D184*(1+'MST Scénarios'!D67)+D191*Paramètres!$E$69*Paramètres!$D$69/(Paramètres!$E$68*Paramètres!$D$68+Paramètres!$E$69*Paramètres!$D$69)-D184*Paramètres!$D$80/2*Paramètres!$D$140-D206*D184/(D183+D184)</f>
        <v>0</v>
      </c>
      <c r="E216" s="22" t="n">
        <f aca="false">E184*(1+'MST Scénarios'!E67)+E191*Paramètres!$E$69*Paramètres!$D$69/(Paramètres!$E$68*Paramètres!$D$68+Paramètres!$E$69*Paramètres!$D$69)-E184*Paramètres!$D$80/2*Paramètres!$E$140-E206*E184/(E183+E184)</f>
        <v>0</v>
      </c>
      <c r="F216" s="22" t="n">
        <f aca="false">F184*(1+'MST Scénarios'!F67)+F191*Paramètres!$E$69*Paramètres!$D$69/(Paramètres!$E$68*Paramètres!$D$68+Paramètres!$E$69*Paramètres!$D$69)-F184*Paramètres!$D$80/2*Paramètres!$F$140-F206*F184/(F183+F184)</f>
        <v>0</v>
      </c>
      <c r="G216" s="22" t="n">
        <f aca="false">G184*(1+'MST Scénarios'!G67)+G191*Paramètres!$E$69*Paramètres!$D$69/(Paramètres!$E$68*Paramètres!$D$68+Paramètres!$E$69*Paramètres!$D$69)-G184*Paramètres!$D$80/2*Paramètres!$G$140-G206*G184/(G183+G184)</f>
        <v>0</v>
      </c>
      <c r="H216" s="22" t="n">
        <f aca="false">H184*(1+'MST Scénarios'!H67)+H191*Paramètres!$E$69*Paramètres!$D$69/(Paramètres!$E$68*Paramètres!$D$68+Paramètres!$E$69*Paramètres!$D$69)-H184*Paramètres!$D$80/2*Paramètres!$H$140-H206*H184/(H183+H184)</f>
        <v>0</v>
      </c>
      <c r="I216" s="22" t="n">
        <f aca="false">I184*(1+'MST Scénarios'!I67)+I191*Paramètres!$E$69*Paramètres!$D$69/(Paramètres!$E$68*Paramètres!$D$68+Paramètres!$E$69*Paramètres!$D$69)-I184*Paramètres!$D$80/2*Paramètres!$I$140-I206*I184/(I183+I184)</f>
        <v>0</v>
      </c>
      <c r="J216" s="22" t="n">
        <f aca="false">J184*(1+'MST Scénarios'!J67)+J191*Paramètres!$E$69*Paramètres!$D$69/(Paramètres!$E$68*Paramètres!$D$68+Paramètres!$E$69*Paramètres!$D$69)-J184*Paramètres!$D$80/2*Paramètres!$J$140-J206*J184/(J183+J184)</f>
        <v>0</v>
      </c>
      <c r="K216" s="9"/>
    </row>
    <row r="217" customFormat="false" ht="22.35" hidden="false" customHeight="false" outlineLevel="0" collapsed="false">
      <c r="B217" s="7" t="s">
        <v>507</v>
      </c>
      <c r="C217" s="22" t="n">
        <f aca="false">C185*(1+'MST Scénarios'!C68)-C185*Paramètres!$D$81/2*Paramètres!$C$140-C204*C185/(C185+C186)+C212/2</f>
        <v>1992541.49365562</v>
      </c>
      <c r="D217" s="22" t="n">
        <f aca="false">D185*(1+'MST Scénarios'!D68)-D185*Paramètres!$D$81/2*Paramètres!$D$140-D204*D185/(D185+D186)+D212/2</f>
        <v>2000200.67180324</v>
      </c>
      <c r="E217" s="22" t="n">
        <f aca="false">E185*(1+'MST Scénarios'!E68)-E185*Paramètres!$D$81/2*Paramètres!$E$140-E204*E185/(E185+E186)+E212/2</f>
        <v>2049239.94180712</v>
      </c>
      <c r="F217" s="22" t="n">
        <f aca="false">F185*(1+'MST Scénarios'!F68)-F185*Paramètres!$D$81/2*Paramètres!$F$140-F204*F185/(F185+F186)+F212/2</f>
        <v>2112837.54696741</v>
      </c>
      <c r="G217" s="22" t="n">
        <f aca="false">G185*(1+'MST Scénarios'!G68)-G185*Paramètres!$D$81/2*Paramètres!$G$140-G204*G185/(G185+G186)+G212/2</f>
        <v>2182848.88407829</v>
      </c>
      <c r="H217" s="22" t="n">
        <f aca="false">H185*(1+'MST Scénarios'!H68)-H185*Paramètres!$D$81/2*Paramètres!$H$140-H204*H185/(H185+H186)+H212/2</f>
        <v>2335536.1043818</v>
      </c>
      <c r="I217" s="22" t="n">
        <f aca="false">I185*(1+'MST Scénarios'!I68)-I185*Paramètres!$D$81/2*Paramètres!$I$140-I204*I185/(I185+I186)+I212/2</f>
        <v>2470715.62485535</v>
      </c>
      <c r="J217" s="22" t="n">
        <f aca="false">J185*(1+'MST Scénarios'!J68)-J185*Paramètres!$D$81/2*Paramètres!$J$140-J204*J185/(J185+J186)+J212/2</f>
        <v>2651497.6475404</v>
      </c>
      <c r="K217" s="9" t="s">
        <v>508</v>
      </c>
    </row>
    <row r="218" customFormat="false" ht="15" hidden="false" customHeight="false" outlineLevel="0" collapsed="false">
      <c r="B218" s="7" t="s">
        <v>509</v>
      </c>
      <c r="C218" s="22" t="n">
        <f aca="false">C186*(1+'MST Scénarios'!C69)-C186*Paramètres!$D$82/2*Paramètres!$C$140-C204*C186/(C185+C186)+C212/2</f>
        <v>1890172.18303557</v>
      </c>
      <c r="D218" s="22" t="n">
        <f aca="false">D186*(1+'MST Scénarios'!D69)-D186*Paramètres!$D$82/2*Paramètres!$D$140-D204*D186/(D185+D186)+D212/2</f>
        <v>1799676.38652432</v>
      </c>
      <c r="E218" s="22" t="n">
        <f aca="false">E186*(1+'MST Scénarios'!E69)-E186*Paramètres!$D$82/2*Paramètres!$E$140-E204*E186/(E185+E186)+E212/2</f>
        <v>1814569.5706753</v>
      </c>
      <c r="F218" s="22" t="n">
        <f aca="false">F186*(1+'MST Scénarios'!F69)-F186*Paramètres!$D$82/2*Paramètres!$F$140-F204*F186/(F185+F186)+F212/2</f>
        <v>1846603.07550201</v>
      </c>
      <c r="G218" s="22" t="n">
        <f aca="false">G186*(1+'MST Scénarios'!G69)-G186*Paramètres!$D$82/2*Paramètres!$G$140-G204*G186/(G185+G186)+G212/2</f>
        <v>1882378.62934044</v>
      </c>
      <c r="H218" s="22" t="n">
        <f aca="false">H186*(1+'MST Scénarios'!H69)-H186*Paramètres!$D$82/2*Paramètres!$H$140-H204*H186/(H185+H186)+H212/2</f>
        <v>1984146.07669162</v>
      </c>
      <c r="I218" s="22" t="n">
        <f aca="false">I186*(1+'MST Scénarios'!I69)-I186*Paramètres!$D$82/2*Paramètres!$I$140-I204*I186/(I185+I186)+I212/2</f>
        <v>2060784.28923739</v>
      </c>
      <c r="J218" s="22" t="n">
        <f aca="false">J186*(1+'MST Scénarios'!J69)-J186*Paramètres!$D$82/2*Paramètres!$J$140-J204*J186/(J185+J186)+J212/2</f>
        <v>2175937.45644613</v>
      </c>
      <c r="K218" s="9"/>
    </row>
    <row r="219" customFormat="false" ht="15" hidden="false" customHeight="false" outlineLevel="0" collapsed="false">
      <c r="B219" s="7" t="s">
        <v>510</v>
      </c>
      <c r="C219" s="22" t="n">
        <f aca="false">C187*(1+'MST Scénarios'!C70)-C199+C211</f>
        <v>376693.964995159</v>
      </c>
      <c r="D219" s="22" t="n">
        <f aca="false">D187*(1+'MST Scénarios'!D70)-D199+D211</f>
        <v>0</v>
      </c>
      <c r="E219" s="22" t="n">
        <f aca="false">E187*(1+'MST Scénarios'!E70)-E199+E211</f>
        <v>0</v>
      </c>
      <c r="F219" s="22" t="n">
        <f aca="false">F187*(1+'MST Scénarios'!F70)-F199+F211</f>
        <v>0</v>
      </c>
      <c r="G219" s="22" t="n">
        <f aca="false">G187*(1+'MST Scénarios'!G70)-G199+G211</f>
        <v>72929.5102854261</v>
      </c>
      <c r="H219" s="22" t="n">
        <f aca="false">H187*(1+'MST Scénarios'!H70)-H199+H211</f>
        <v>335875.00323293</v>
      </c>
      <c r="I219" s="22" t="n">
        <f aca="false">I187*(1+'MST Scénarios'!I70)-I199+I211</f>
        <v>645652.941216736</v>
      </c>
      <c r="J219" s="22" t="n">
        <f aca="false">J187*(1+'MST Scénarios'!J70)-J199+J211</f>
        <v>890188.052708467</v>
      </c>
      <c r="K219" s="9"/>
    </row>
    <row r="220" customFormat="false" ht="15" hidden="false" customHeight="false" outlineLevel="0" collapsed="false">
      <c r="B220" s="7" t="s">
        <v>511</v>
      </c>
      <c r="C220" s="22" t="n">
        <f aca="false">C189-C191-C206*C189/(C183+C184+C189)</f>
        <v>894667.728</v>
      </c>
      <c r="D220" s="22" t="n">
        <f aca="false">D189-D191-D206*D189/(D183+D184+D189)</f>
        <v>472437.144985136</v>
      </c>
      <c r="E220" s="22" t="n">
        <f aca="false">E189-E191-E206*E189/(E183+E184+E189)</f>
        <v>157064.674216714</v>
      </c>
      <c r="F220" s="22" t="n">
        <f aca="false">F189-F191-F206*F189/(F183+F184+F189)</f>
        <v>-36843.4487701095</v>
      </c>
      <c r="G220" s="22" t="n">
        <f aca="false">G189-G191-G206*G189/(G183+G184+G189)</f>
        <v>0</v>
      </c>
      <c r="H220" s="22" t="n">
        <f aca="false">H189-H191-H206*H189/(H183+H184+H189)</f>
        <v>0</v>
      </c>
      <c r="I220" s="22" t="n">
        <f aca="false">I189-I191-I206*I189/(I183+I184+I189)</f>
        <v>0</v>
      </c>
      <c r="J220" s="22" t="n">
        <f aca="false">J189-J191-J206*J189/(J183+J184+J189)</f>
        <v>0</v>
      </c>
      <c r="K220" s="9" t="s">
        <v>512</v>
      </c>
    </row>
    <row r="221" customFormat="false" ht="15" hidden="false" customHeight="false" outlineLevel="0" collapsed="false">
      <c r="B221" s="7" t="s">
        <v>513</v>
      </c>
      <c r="C221" s="22" t="n">
        <f aca="false">C215+C216+C217+C218+C219+C213</f>
        <v>6913721.24976581</v>
      </c>
      <c r="D221" s="22" t="n">
        <f aca="false">D215+D216+D217+D218+D219+D213</f>
        <v>6166017.13608458</v>
      </c>
      <c r="E221" s="22" t="n">
        <f aca="false">E215+E216+E217+E218+E219+E213</f>
        <v>5850074.82180165</v>
      </c>
      <c r="F221" s="22" t="n">
        <f aca="false">F215+F216+F217+F218+F219+F213</f>
        <v>5838539.95965751</v>
      </c>
      <c r="G221" s="22" t="n">
        <f aca="false">G215+G216+G217+G218+G219+G213</f>
        <v>6357023.75375964</v>
      </c>
      <c r="H221" s="22" t="n">
        <f aca="false">H215+H216+H217+H218+H219+H213</f>
        <v>7039379.44204051</v>
      </c>
      <c r="I221" s="22" t="n">
        <f aca="false">I215+I216+I217+I218+I219+I213</f>
        <v>7707255.86760577</v>
      </c>
      <c r="J221" s="22" t="n">
        <f aca="false">J215+J216+J217+J218+J219+J213</f>
        <v>8376772.97956759</v>
      </c>
      <c r="K221" s="9" t="s">
        <v>514</v>
      </c>
    </row>
    <row r="222" customFormat="false" ht="22.35" hidden="false" customHeight="false" outlineLevel="0" collapsed="false">
      <c r="B222" s="7" t="s">
        <v>515</v>
      </c>
      <c r="C222" s="22" t="n">
        <f aca="false">ROUND(C221-(C170+C171-C177+C208-C194+C195+C183*'MST Scénarios'!C66+C184*'MST Scénarios'!C67+C185*'MST Scénarios'!C68+C186*'MST Scénarios'!C69+C187*'MST Scénarios'!C70-C200-C207),0)</f>
        <v>0</v>
      </c>
      <c r="D222" s="22" t="n">
        <f aca="false">ROUND(D221-(D170+D171-D177+D208-D194+D195+D183*'MST Scénarios'!D66+D184*'MST Scénarios'!D67+D185*'MST Scénarios'!D68+D186*'MST Scénarios'!D69+D187*'MST Scénarios'!D70-D200-D207),0)</f>
        <v>0</v>
      </c>
      <c r="E222" s="22" t="n">
        <f aca="false">ROUND(E221-(E170+E171-E177+E208-E194+E195+E183*'MST Scénarios'!E66+E184*'MST Scénarios'!E67+E185*'MST Scénarios'!E68+E186*'MST Scénarios'!E69+E187*'MST Scénarios'!E70-E200-E207),0)</f>
        <v>0</v>
      </c>
      <c r="F222" s="22" t="n">
        <f aca="false">ROUND(F221-(F170+F171-F177+F208-F194+F195+F183*'MST Scénarios'!F66+F184*'MST Scénarios'!F67+F185*'MST Scénarios'!F68+F186*'MST Scénarios'!F69+F187*'MST Scénarios'!F70-F200-F207),0)</f>
        <v>0</v>
      </c>
      <c r="G222" s="22" t="n">
        <f aca="false">ROUND(G221-(G170+G171-G177+G208-G194+G195+G183*'MST Scénarios'!G66+G184*'MST Scénarios'!G67+G185*'MST Scénarios'!G68+G186*'MST Scénarios'!G69+G187*'MST Scénarios'!G70-G200-G207),0)</f>
        <v>0</v>
      </c>
      <c r="H222" s="22" t="n">
        <f aca="false">ROUND(H221-(H170+H171-H177+H208-H194+H195+H183*'MST Scénarios'!H66+H184*'MST Scénarios'!H67+H185*'MST Scénarios'!H68+H186*'MST Scénarios'!H69+H187*'MST Scénarios'!H70-H200-H207),0)</f>
        <v>0</v>
      </c>
      <c r="I222" s="22" t="n">
        <f aca="false">ROUND(I221-(I170+I171-I177+I208-I194+I195+I183*'MST Scénarios'!I66+I184*'MST Scénarios'!I67+I185*'MST Scénarios'!I68+I186*'MST Scénarios'!I69+I187*'MST Scénarios'!I70-I200-I207),0)</f>
        <v>0</v>
      </c>
      <c r="J222" s="22" t="n">
        <f aca="false">ROUND(J221-(J170+J171-J177+J208-J194+J195+J183*'MST Scénarios'!J66+J184*'MST Scénarios'!J67+J185*'MST Scénarios'!J68+J186*'MST Scénarios'!J69+J187*'MST Scénarios'!J70-J200-J207),0)</f>
        <v>0</v>
      </c>
      <c r="K222" s="9" t="s">
        <v>516</v>
      </c>
    </row>
    <row r="224" customFormat="false" ht="15" hidden="false" customHeight="false" outlineLevel="0" collapsed="false">
      <c r="B224" s="7" t="s">
        <v>517</v>
      </c>
      <c r="C224" s="16" t="n">
        <f aca="false">(C213+C219)/C221</f>
        <v>0.0660561727174969</v>
      </c>
      <c r="D224" s="16" t="n">
        <f aca="false">(D213+D219)/D221</f>
        <v>0.0112126208818097</v>
      </c>
      <c r="E224" s="16" t="n">
        <f aca="false">(E213+E219)/E221</f>
        <v>0.010540065424643</v>
      </c>
      <c r="F224" s="16" t="n">
        <f aca="false">(F213+F219)/F221</f>
        <v>0.0100197564155146</v>
      </c>
      <c r="G224" s="16" t="n">
        <f aca="false">(G213+G219)/G221</f>
        <v>0.0585422829351197</v>
      </c>
      <c r="H224" s="16" t="n">
        <f aca="false">(H213+H219)/H221</f>
        <v>0.0951246847564745</v>
      </c>
      <c r="I224" s="16" t="n">
        <f aca="false">(I213+I219)/I221</f>
        <v>0.131722675276802</v>
      </c>
      <c r="J224" s="16" t="n">
        <f aca="false">(J213+J219)/J221</f>
        <v>0.154572529172757</v>
      </c>
      <c r="K224" s="9" t="s">
        <v>518</v>
      </c>
    </row>
    <row r="225" customFormat="false" ht="22.35" hidden="false" customHeight="false" outlineLevel="0" collapsed="false">
      <c r="B225" s="7" t="s">
        <v>519</v>
      </c>
      <c r="C225" s="36" t="n">
        <f aca="false">(C213+C219+2*C202+2*(C192+C193)-2*MIN(C220,NA_total*Appels_base*Paramètres!$D$145))/(2*Gate*C221)</f>
        <v>-0.0307013173340772</v>
      </c>
      <c r="D225" s="36" t="n">
        <f aca="false">(D213+D219+2*D202+2*(D192+D193)-2*MIN(D220,NA_total*Appels_base*Paramètres!$E$145))/(2*Gate*D221)</f>
        <v>-0.44291011583829</v>
      </c>
      <c r="E225" s="36" t="n">
        <f aca="false">(E213+E219+2*E202+2*(E192+E193)-2*MIN(E220,NA_total*Appels_base*Paramètres!$F$145))/(2*Gate*E221)</f>
        <v>-0.112851636554381</v>
      </c>
      <c r="F225" s="36" t="n">
        <f aca="false">(F213+F219+2*F202+2*(F192+F193)-2*MIN(F220,NA_total*Appels_base*Paramètres!$G$145))/(2*Gate*F221)</f>
        <v>0.825050642767568</v>
      </c>
      <c r="G225" s="36" t="n">
        <f aca="false">(G213+G219+2*G202+2*(G192+G193)-2*MIN(G220,NA_total*Appels_base*Paramètres!$H$145))/(2*Gate*G221)</f>
        <v>1.29418535308658</v>
      </c>
      <c r="H225" s="36" t="n">
        <f aca="false">(H213+H219+2*H202+2*(H192+H193)-2*MIN(H220,NA_total*Appels_base*Paramètres!$I$145))/(2*Gate*H221)</f>
        <v>1.74241658383519</v>
      </c>
      <c r="I225" s="36" t="n">
        <f aca="false">(I213+I219+2*I202+2*(I192+I193)-2*MIN(I220,NA_total*Appels_base*Paramètres!$J$145))/(2*Gate*I221)</f>
        <v>2.2136013050932</v>
      </c>
      <c r="J225" s="36" t="n">
        <f aca="false">(J213+J219+2*J202+2*(J192+J193)-2*MIN(J220,NA_total*Appels_base*Paramètres!$J$145))/(2*Gate*J221)</f>
        <v>2.42687092880005</v>
      </c>
      <c r="K225" s="9" t="s">
        <v>520</v>
      </c>
    </row>
    <row r="226" customFormat="false" ht="15" hidden="false" customHeight="false" outlineLevel="0" collapsed="false">
      <c r="B226" s="7" t="s">
        <v>166</v>
      </c>
      <c r="C226" s="32" t="n">
        <f aca="false">(C221+C220)/C221</f>
        <v>1.12940465715628</v>
      </c>
      <c r="D226" s="32" t="n">
        <f aca="false">(D221+D220)/D221</f>
        <v>1.07661949919347</v>
      </c>
      <c r="E226" s="32" t="n">
        <f aca="false">(E221+E220)/E221</f>
        <v>1.02684831886788</v>
      </c>
      <c r="F226" s="32" t="n">
        <f aca="false">(F221+F220)/F221</f>
        <v>0.993689612638659</v>
      </c>
      <c r="G226" s="32" t="n">
        <f aca="false">(G221+G220)/G221</f>
        <v>1</v>
      </c>
      <c r="H226" s="32" t="n">
        <f aca="false">(H221+H220)/H221</f>
        <v>1</v>
      </c>
      <c r="I226" s="32" t="n">
        <f aca="false">(I221+I220)/I221</f>
        <v>1</v>
      </c>
      <c r="J226" s="32" t="n">
        <f aca="false">(J221+J220)/J221</f>
        <v>1</v>
      </c>
      <c r="K226" s="9" t="s">
        <v>167</v>
      </c>
    </row>
    <row r="227" customFormat="false" ht="15" hidden="false" customHeight="false" outlineLevel="0" collapsed="false">
      <c r="B227" s="7" t="s">
        <v>521</v>
      </c>
      <c r="C227" s="16" t="n">
        <f aca="false">(C215*Paramètres!$H$79+C216*Paramètres!$H$80)/C221</f>
        <v>0.37234848138644</v>
      </c>
      <c r="D227" s="16" t="n">
        <f aca="false">(D215*Paramètres!$H$79+D216*Paramètres!$H$80)/D221</f>
        <v>0.372526189039747</v>
      </c>
      <c r="E227" s="16" t="n">
        <f aca="false">(E215*Paramètres!$H$79+E216*Paramètres!$H$80)/E221</f>
        <v>0.328988123499873</v>
      </c>
      <c r="F227" s="16" t="n">
        <f aca="false">(F215*Paramètres!$H$79+F216*Paramètres!$H$80)/F221</f>
        <v>0.311824291954811</v>
      </c>
      <c r="G227" s="16" t="n">
        <f aca="false">(G215*Paramètres!$H$79+G216*Paramètres!$H$80)/G221</f>
        <v>0.30197174518779</v>
      </c>
      <c r="H227" s="16" t="n">
        <f aca="false">(H215*Paramètres!$H$79+H216*Paramètres!$H$80)/H221</f>
        <v>0.291230005079471</v>
      </c>
      <c r="I227" s="16" t="n">
        <f aca="false">(I215*Paramètres!$H$79+I216*Paramètres!$H$80)/I221</f>
        <v>0.28032488199465</v>
      </c>
      <c r="J227" s="16" t="n">
        <f aca="false">(J215*Paramètres!$H$79+J216*Paramètres!$H$80)/J221</f>
        <v>0.269139308815275</v>
      </c>
      <c r="K227" s="9"/>
    </row>
    <row r="228" customFormat="false" ht="22.35" hidden="false" customHeight="false" outlineLevel="0" collapsed="false">
      <c r="B228" s="7" t="s">
        <v>522</v>
      </c>
      <c r="C228" s="27" t="n">
        <f aca="false">IF(AND(Paramètres!$C$135&lt;0.5,Paramètres!$C$140&lt;0.5,(1-Paramètres!$C$150)&lt;0.5*(1-Paramètres!$C$148)),1,0)</f>
        <v>1</v>
      </c>
      <c r="D228" s="27" t="n">
        <f aca="false">IF(AND(Paramètres!$D$135&lt;0.5,Paramètres!$D$140&lt;0.5,(1-Paramètres!$D$150)&lt;0.5*(1-Paramètres!$D$148)),1,0)</f>
        <v>1</v>
      </c>
      <c r="E228" s="27" t="n">
        <f aca="false">IF(AND(Paramètres!$E$135&lt;0.5,Paramètres!$E$140&lt;0.5,(1-Paramètres!$E$150)&lt;0.5*(1-Paramètres!$E$148)),1,0)</f>
        <v>1</v>
      </c>
      <c r="F228" s="27" t="n">
        <f aca="false">IF(AND(Paramètres!$F$135&lt;0.5,Paramètres!$F$140&lt;0.5,(1-Paramètres!$F$150)&lt;0.5*(1-Paramètres!$F$148)),1,0)</f>
        <v>0</v>
      </c>
      <c r="G228" s="27" t="n">
        <f aca="false">IF(AND(Paramètres!$G$135&lt;0.5,Paramètres!$G$140&lt;0.5,(1-Paramètres!$G$150)&lt;0.5*(1-Paramètres!$G$148)),1,0)</f>
        <v>0</v>
      </c>
      <c r="H228" s="27" t="n">
        <f aca="false">IF(AND(Paramètres!$H$135&lt;0.5,Paramètres!$H$140&lt;0.5,(1-Paramètres!$H$150)&lt;0.5*(1-Paramètres!$H$148)),1,0)</f>
        <v>0</v>
      </c>
      <c r="I228" s="27" t="n">
        <f aca="false">IF(AND(Paramètres!$I$135&lt;0.5,Paramètres!$I$140&lt;0.5,(1-Paramètres!$I$150)&lt;0.5*(1-Paramètres!$I$148)),1,0)</f>
        <v>0</v>
      </c>
      <c r="J228" s="27" t="n">
        <f aca="false">IF(AND(Paramètres!$J$135&lt;0.5,Paramètres!$J$140&lt;0.5,(1-Paramètres!$J$150)&lt;0.5*(1-Paramètres!$J$148)),1,0)</f>
        <v>0</v>
      </c>
      <c r="K228" s="9" t="s">
        <v>523</v>
      </c>
    </row>
    <row r="229" customFormat="false" ht="15" hidden="false" customHeight="false" outlineLevel="0" collapsed="false">
      <c r="B229" s="7" t="s">
        <v>524</v>
      </c>
      <c r="C229" s="37" t="str">
        <f aca="false">IF(OR(C176=1,C208&gt;1,C181&gt;S_file_rouge,C224&lt;S_poche_rouge,C225&lt;S_couv_rouge),"Rouge",IF(OR(C179=1,C224&lt;S_poche_orange,C225&lt;S_couv_orange,C228=1),"Orange","Vert"))</f>
        <v>Rouge</v>
      </c>
      <c r="D229" s="37" t="str">
        <f aca="false">IF(OR(D176=1,D208&gt;1,D181&gt;S_file_rouge,D224&lt;S_poche_rouge,D225&lt;S_couv_rouge),"Rouge",IF(OR(D179=1,D224&lt;S_poche_orange,D225&lt;S_couv_orange,D228=1),"Orange","Vert"))</f>
        <v>Rouge</v>
      </c>
      <c r="E229" s="37" t="str">
        <f aca="false">IF(OR(E176=1,E208&gt;1,E181&gt;S_file_rouge,E224&lt;S_poche_rouge,E225&lt;S_couv_rouge),"Rouge",IF(OR(E179=1,E224&lt;S_poche_orange,E225&lt;S_couv_orange,E228=1),"Orange","Vert"))</f>
        <v>Rouge</v>
      </c>
      <c r="F229" s="37" t="str">
        <f aca="false">IF(OR(F176=1,F208&gt;1,F181&gt;S_file_rouge,F224&lt;S_poche_rouge,F225&lt;S_couv_rouge),"Rouge",IF(OR(F179=1,F224&lt;S_poche_orange,F225&lt;S_couv_orange,F228=1),"Orange","Vert"))</f>
        <v>Rouge</v>
      </c>
      <c r="G229" s="37" t="str">
        <f aca="false">IF(OR(G176=1,G208&gt;1,G181&gt;S_file_rouge,G224&lt;S_poche_rouge,G225&lt;S_couv_rouge),"Rouge",IF(OR(G179=1,G224&lt;S_poche_orange,G225&lt;S_couv_orange,G228=1),"Orange","Vert"))</f>
        <v>Rouge</v>
      </c>
      <c r="H229" s="37" t="str">
        <f aca="false">IF(OR(H176=1,H208&gt;1,H181&gt;S_file_rouge,H224&lt;S_poche_rouge,H225&lt;S_couv_rouge),"Rouge",IF(OR(H179=1,H224&lt;S_poche_orange,H225&lt;S_couv_orange,H228=1),"Orange","Vert"))</f>
        <v>Rouge</v>
      </c>
      <c r="I229" s="37" t="str">
        <f aca="false">IF(OR(I176=1,I208&gt;1,I181&gt;S_file_rouge,I224&lt;S_poche_rouge,I225&lt;S_couv_rouge),"Rouge",IF(OR(I179=1,I224&lt;S_poche_orange,I225&lt;S_couv_orange,I228=1),"Orange","Vert"))</f>
        <v>Rouge</v>
      </c>
      <c r="J229" s="37" t="str">
        <f aca="false">IF(OR(J176=1,J208&gt;1,J181&gt;S_file_rouge,J224&lt;S_poche_rouge,J225&lt;S_couv_rouge),"Rouge",IF(OR(J179=1,J224&lt;S_poche_orange,J225&lt;S_couv_orange,J228=1),"Orange","Vert"))</f>
        <v>Rouge</v>
      </c>
      <c r="K229" s="9" t="s">
        <v>525</v>
      </c>
    </row>
    <row r="231" customFormat="false" ht="15.75" hidden="false" customHeight="true" outlineLevel="0" collapsed="false">
      <c r="B231" s="5" t="s">
        <v>526</v>
      </c>
      <c r="C231" s="6" t="s">
        <v>3</v>
      </c>
      <c r="D231" s="6"/>
      <c r="E231" s="6"/>
      <c r="F231" s="6"/>
      <c r="G231" s="6"/>
      <c r="H231" s="6"/>
      <c r="I231" s="6"/>
      <c r="J231" s="6"/>
      <c r="K231" s="6" t="s">
        <v>4</v>
      </c>
    </row>
    <row r="232" customFormat="false" ht="15" hidden="false" customHeight="false" outlineLevel="0" collapsed="false">
      <c r="B232" s="7" t="s">
        <v>338</v>
      </c>
      <c r="C232" s="10" t="n">
        <f aca="false">SUM(C179:J179)</f>
        <v>8</v>
      </c>
      <c r="K232" s="9"/>
    </row>
    <row r="233" customFormat="false" ht="15" hidden="false" customHeight="false" outlineLevel="0" collapsed="false">
      <c r="B233" s="7" t="s">
        <v>527</v>
      </c>
      <c r="C233" s="11" t="n">
        <f aca="false">MAX(C181:J181)</f>
        <v>0.543771080185734</v>
      </c>
      <c r="K233" s="9"/>
    </row>
    <row r="234" customFormat="false" ht="22.35" hidden="false" customHeight="false" outlineLevel="0" collapsed="false">
      <c r="B234" s="7" t="s">
        <v>528</v>
      </c>
      <c r="C234" s="11" t="n">
        <f aca="false">J181</f>
        <v>0.466690404941236</v>
      </c>
      <c r="K234" s="9" t="s">
        <v>529</v>
      </c>
    </row>
    <row r="235" customFormat="false" ht="15" hidden="false" customHeight="false" outlineLevel="0" collapsed="false">
      <c r="B235" s="7" t="s">
        <v>530</v>
      </c>
      <c r="C235" s="15" t="n">
        <f aca="false">IFERROR(INDEX(C169:J169,MATCH(1,C176:J176,0)),"-")</f>
        <v>47848</v>
      </c>
      <c r="K235" s="9"/>
    </row>
    <row r="236" customFormat="false" ht="15" hidden="false" customHeight="false" outlineLevel="0" collapsed="false">
      <c r="B236" s="7" t="s">
        <v>531</v>
      </c>
      <c r="C236" s="11" t="n">
        <f aca="false">MIN(C224:J224)</f>
        <v>0.0100197564155146</v>
      </c>
      <c r="K236" s="9"/>
    </row>
    <row r="237" customFormat="false" ht="15" hidden="false" customHeight="false" outlineLevel="0" collapsed="false">
      <c r="B237" s="7" t="s">
        <v>342</v>
      </c>
      <c r="C237" s="39" t="n">
        <f aca="false">MIN(C225:J225)</f>
        <v>-0.44291011583829</v>
      </c>
      <c r="K237" s="9"/>
    </row>
    <row r="238" customFormat="false" ht="15" hidden="false" customHeight="false" outlineLevel="0" collapsed="false">
      <c r="B238" s="7" t="s">
        <v>532</v>
      </c>
      <c r="C238" s="8" t="n">
        <f aca="false">SUM(C204:J204)</f>
        <v>355576.923975688</v>
      </c>
      <c r="K238" s="9"/>
    </row>
    <row r="239" customFormat="false" ht="15" hidden="false" customHeight="false" outlineLevel="0" collapsed="false">
      <c r="B239" s="7" t="s">
        <v>533</v>
      </c>
      <c r="C239" s="8" t="n">
        <f aca="false">SUM(C206:J206)</f>
        <v>1656335.09575765</v>
      </c>
      <c r="K239" s="9"/>
    </row>
    <row r="240" customFormat="false" ht="15" hidden="false" customHeight="false" outlineLevel="0" collapsed="false">
      <c r="B240" s="7" t="s">
        <v>534</v>
      </c>
      <c r="C240" s="8" t="n">
        <f aca="false">SUM(C200:J200)+SUM(C207:J207)</f>
        <v>438615.876870057</v>
      </c>
      <c r="K240" s="9"/>
    </row>
    <row r="241" customFormat="false" ht="15" hidden="false" customHeight="false" outlineLevel="0" collapsed="false">
      <c r="B241" s="7" t="s">
        <v>535</v>
      </c>
      <c r="C241" s="8" t="n">
        <f aca="false">SUM(C208:J208)</f>
        <v>0</v>
      </c>
      <c r="K241" s="9"/>
    </row>
    <row r="242" customFormat="false" ht="15" hidden="false" customHeight="false" outlineLevel="0" collapsed="false">
      <c r="B242" s="7" t="s">
        <v>536</v>
      </c>
      <c r="C242" s="11" t="n">
        <f aca="false">J221/AN_depart-1</f>
        <v>0.0470966224459484</v>
      </c>
      <c r="K242" s="9"/>
    </row>
    <row r="243" customFormat="false" ht="15" hidden="false" customHeight="false" outlineLevel="0" collapsed="false">
      <c r="B243" s="7" t="s">
        <v>537</v>
      </c>
      <c r="C243" s="15" t="n">
        <f aca="false">IFERROR(INDEX(C169:J169,MATCH(1,C228:J228,0)),"-")</f>
        <v>47118</v>
      </c>
      <c r="K243" s="9"/>
    </row>
    <row r="244" customFormat="false" ht="15" hidden="false" customHeight="false" outlineLevel="0" collapsed="false">
      <c r="B244" s="7" t="s">
        <v>125</v>
      </c>
      <c r="C244" s="13" t="n">
        <f aca="false">MAX(C226:J226)</f>
        <v>1.12940465715628</v>
      </c>
      <c r="K244" s="9"/>
    </row>
    <row r="245" customFormat="false" ht="15" hidden="false" customHeight="false" outlineLevel="0" collapsed="false">
      <c r="B245" s="7" t="s">
        <v>538</v>
      </c>
      <c r="C245" s="38" t="str">
        <f aca="false">IF(COUNTIF(C229:J229,"Rouge")&gt;0,"Rouge",IF(COUNTIF(C229:J229,"Orange")&gt;0,"Orange","Vert"))</f>
        <v>Rouge</v>
      </c>
      <c r="K245" s="9" t="s">
        <v>539</v>
      </c>
    </row>
    <row r="248" customFormat="false" ht="18" hidden="false" customHeight="true" outlineLevel="0" collapsed="false">
      <c r="B248" s="3" t="s">
        <v>542</v>
      </c>
      <c r="C248" s="4"/>
      <c r="D248" s="4"/>
      <c r="E248" s="4"/>
      <c r="F248" s="4"/>
      <c r="G248" s="4"/>
      <c r="H248" s="4"/>
      <c r="I248" s="4"/>
      <c r="J248" s="4"/>
      <c r="K248" s="4"/>
    </row>
    <row r="249" customFormat="false" ht="15.75" hidden="false" customHeight="true" outlineLevel="0" collapsed="false">
      <c r="B249" s="5" t="s">
        <v>428</v>
      </c>
      <c r="C249" s="6" t="s">
        <v>429</v>
      </c>
      <c r="D249" s="6" t="s">
        <v>430</v>
      </c>
      <c r="E249" s="6" t="s">
        <v>431</v>
      </c>
      <c r="F249" s="6" t="s">
        <v>432</v>
      </c>
      <c r="G249" s="6" t="s">
        <v>433</v>
      </c>
      <c r="H249" s="6" t="s">
        <v>434</v>
      </c>
      <c r="I249" s="6" t="s">
        <v>435</v>
      </c>
      <c r="J249" s="6" t="s">
        <v>436</v>
      </c>
      <c r="K249" s="6" t="s">
        <v>437</v>
      </c>
    </row>
    <row r="250" customFormat="false" ht="15" hidden="false" customHeight="false" outlineLevel="0" collapsed="false">
      <c r="B250" s="7" t="s">
        <v>438</v>
      </c>
      <c r="C250" s="17" t="n">
        <f aca="false">EDATE(Date_depart,0)</f>
        <v>47118</v>
      </c>
      <c r="D250" s="17" t="n">
        <f aca="false">EDATE(Date_depart,6)</f>
        <v>47299</v>
      </c>
      <c r="E250" s="17" t="n">
        <f aca="false">EDATE(Date_depart,12)</f>
        <v>47483</v>
      </c>
      <c r="F250" s="17" t="n">
        <f aca="false">EDATE(Date_depart,18)</f>
        <v>47664</v>
      </c>
      <c r="G250" s="17" t="n">
        <f aca="false">EDATE(Date_depart,24)</f>
        <v>47848</v>
      </c>
      <c r="H250" s="17" t="n">
        <f aca="false">EDATE(Date_depart,30)</f>
        <v>48029</v>
      </c>
      <c r="I250" s="17" t="n">
        <f aca="false">EDATE(Date_depart,36)</f>
        <v>48213</v>
      </c>
      <c r="J250" s="17" t="n">
        <f aca="false">EDATE(Date_depart,42)</f>
        <v>48395</v>
      </c>
      <c r="K250" s="9"/>
    </row>
    <row r="251" customFormat="false" ht="15" hidden="false" customHeight="false" outlineLevel="0" collapsed="false">
      <c r="B251" s="7" t="s">
        <v>439</v>
      </c>
      <c r="C251" s="22" t="n">
        <f aca="false">AN_depart</f>
        <v>8000000</v>
      </c>
      <c r="D251" s="22" t="n">
        <f aca="false">C302</f>
        <v>6469070.85490291</v>
      </c>
      <c r="E251" s="22" t="n">
        <f aca="false">D302</f>
        <v>5290661.95702176</v>
      </c>
      <c r="F251" s="22" t="n">
        <f aca="false">E302</f>
        <v>4817707.59835679</v>
      </c>
      <c r="G251" s="22" t="n">
        <f aca="false">F302</f>
        <v>4637689.99956021</v>
      </c>
      <c r="H251" s="22" t="n">
        <f aca="false">G302</f>
        <v>4890437.08993997</v>
      </c>
      <c r="I251" s="22" t="n">
        <f aca="false">H302</f>
        <v>5152371.58005113</v>
      </c>
      <c r="J251" s="22" t="n">
        <f aca="false">I302</f>
        <v>5550600.51040597</v>
      </c>
      <c r="K251" s="9" t="s">
        <v>440</v>
      </c>
    </row>
    <row r="252" customFormat="false" ht="15" hidden="false" customHeight="false" outlineLevel="0" collapsed="false">
      <c r="B252" s="7" t="s">
        <v>441</v>
      </c>
      <c r="C252" s="22" t="n">
        <f aca="false">Collecte_norm*Paramètres!$C$136*C251</f>
        <v>0</v>
      </c>
      <c r="D252" s="22" t="n">
        <f aca="false">Collecte_norm*Paramètres!$D$136*D251</f>
        <v>0</v>
      </c>
      <c r="E252" s="22" t="n">
        <f aca="false">Collecte_norm*Paramètres!$E$136*E251</f>
        <v>0</v>
      </c>
      <c r="F252" s="22" t="n">
        <f aca="false">Collecte_norm*Paramètres!$F$136*F251</f>
        <v>0</v>
      </c>
      <c r="G252" s="22" t="n">
        <f aca="false">Collecte_norm*Paramètres!$G$136*G251</f>
        <v>0</v>
      </c>
      <c r="H252" s="22" t="n">
        <f aca="false">Collecte_norm*Paramètres!$H$136*H251</f>
        <v>0</v>
      </c>
      <c r="I252" s="22" t="n">
        <f aca="false">Collecte_norm*Paramètres!$I$136*I251</f>
        <v>128809.289501278</v>
      </c>
      <c r="J252" s="22" t="n">
        <f aca="false">Collecte_norm*Paramètres!$J$136*J251</f>
        <v>138765.012760149</v>
      </c>
      <c r="K252" s="9" t="s">
        <v>442</v>
      </c>
    </row>
    <row r="253" customFormat="false" ht="22.35" hidden="false" customHeight="false" outlineLevel="0" collapsed="false">
      <c r="B253" s="7" t="s">
        <v>443</v>
      </c>
      <c r="C253" s="22" t="n">
        <f aca="false">(Paramètres!$C$131+Paramètres!$C$156*Top1)*C251</f>
        <v>3200000</v>
      </c>
      <c r="D253" s="22" t="n">
        <f aca="false">(Paramètres!$D$131+Paramètres!$D$156*Top1)*D251</f>
        <v>1293814.17098058</v>
      </c>
      <c r="E253" s="22" t="n">
        <f aca="false">(Paramètres!$E$131+Paramètres!$E$156*Top1)*E251</f>
        <v>793599.293553264</v>
      </c>
      <c r="F253" s="22" t="n">
        <f aca="false">(Paramètres!$F$131+Paramètres!$F$156*Top1)*F251</f>
        <v>481770.759835679</v>
      </c>
      <c r="G253" s="22" t="n">
        <f aca="false">(Paramètres!$G$131+Paramètres!$G$156*Top1)*G251</f>
        <v>231884.49997801</v>
      </c>
      <c r="H253" s="22" t="n">
        <f aca="false">(Paramètres!$H$131+Paramètres!$H$156*Top1)*H251</f>
        <v>146713.112698199</v>
      </c>
      <c r="I253" s="22" t="n">
        <f aca="false">(Paramètres!$I$131+Paramètres!$I$156*Top1)*I251</f>
        <v>103047.431601023</v>
      </c>
      <c r="J253" s="22" t="n">
        <f aca="false">(Paramètres!$J$131+Paramètres!$J$156*Top1)*J251</f>
        <v>111012.010208119</v>
      </c>
      <c r="K253" s="9" t="s">
        <v>444</v>
      </c>
    </row>
    <row r="254" customFormat="false" ht="15" hidden="false" customHeight="false" outlineLevel="0" collapsed="false">
      <c r="B254" s="7" t="s">
        <v>445</v>
      </c>
      <c r="C254" s="22" t="n">
        <f aca="false">0</f>
        <v>0</v>
      </c>
      <c r="D254" s="22" t="n">
        <f aca="false">C259</f>
        <v>2800000</v>
      </c>
      <c r="E254" s="22" t="n">
        <f aca="false">D259</f>
        <v>3770360.62823544</v>
      </c>
      <c r="F254" s="22" t="n">
        <f aca="false">E259</f>
        <v>4299426.82393761</v>
      </c>
      <c r="G254" s="22" t="n">
        <f aca="false">F259</f>
        <v>4540312.20385545</v>
      </c>
      <c r="H254" s="22" t="n">
        <f aca="false">G259</f>
        <v>4772196.70383346</v>
      </c>
      <c r="I254" s="22" t="n">
        <f aca="false">H259</f>
        <v>4918909.81653166</v>
      </c>
      <c r="J254" s="22" t="n">
        <f aca="false">I259</f>
        <v>5021957.24813268</v>
      </c>
      <c r="K254" s="9" t="s">
        <v>446</v>
      </c>
    </row>
    <row r="255" customFormat="false" ht="15" hidden="false" customHeight="false" outlineLevel="0" collapsed="false">
      <c r="B255" s="7" t="s">
        <v>447</v>
      </c>
      <c r="C255" s="22" t="n">
        <f aca="false">C253+C254</f>
        <v>3200000</v>
      </c>
      <c r="D255" s="22" t="n">
        <f aca="false">D253+D254</f>
        <v>4093814.17098058</v>
      </c>
      <c r="E255" s="22" t="n">
        <f aca="false">E253+E254</f>
        <v>4563959.9217887</v>
      </c>
      <c r="F255" s="22" t="n">
        <f aca="false">F253+F254</f>
        <v>4781197.58377329</v>
      </c>
      <c r="G255" s="22" t="n">
        <f aca="false">G253+G254</f>
        <v>4772196.70383346</v>
      </c>
      <c r="H255" s="22" t="n">
        <f aca="false">H253+H254</f>
        <v>4918909.81653166</v>
      </c>
      <c r="I255" s="22" t="n">
        <f aca="false">I253+I254</f>
        <v>5021957.24813268</v>
      </c>
      <c r="J255" s="22" t="n">
        <f aca="false">J253+J254</f>
        <v>5132969.2583408</v>
      </c>
      <c r="K255" s="9"/>
    </row>
    <row r="256" customFormat="false" ht="22.35" hidden="false" customHeight="false" outlineLevel="0" collapsed="false">
      <c r="B256" s="7" t="s">
        <v>448</v>
      </c>
      <c r="C256" s="22" t="n">
        <f aca="false">IF(Gate_actif=1,Gate*C251+C252,C255)</f>
        <v>400000</v>
      </c>
      <c r="D256" s="22" t="n">
        <f aca="false">IF(Gate_actif=1,Gate*D251+D252,D255)</f>
        <v>323453.542745145</v>
      </c>
      <c r="E256" s="22" t="n">
        <f aca="false">IF(Gate_actif=1,Gate*E251+E252,E255)</f>
        <v>264533.097851088</v>
      </c>
      <c r="F256" s="22" t="n">
        <f aca="false">IF(Gate_actif=1,Gate*F251+F252,F255)</f>
        <v>240885.379917839</v>
      </c>
      <c r="G256" s="22" t="n">
        <f aca="false">IF(Gate_actif=1,Gate*G251+G252,G255)</f>
        <v>231884.49997801</v>
      </c>
      <c r="H256" s="22" t="n">
        <f aca="false">IF(Gate_actif=1,Gate*H251+H252,H255)</f>
        <v>244521.854496998</v>
      </c>
      <c r="I256" s="22" t="n">
        <f aca="false">IF(Gate_actif=1,Gate*I251+I252,I255)</f>
        <v>386427.868503835</v>
      </c>
      <c r="J256" s="22" t="n">
        <f aca="false">IF(Gate_actif=1,Gate*J251+J252,J255)</f>
        <v>416295.038280448</v>
      </c>
      <c r="K256" s="9" t="s">
        <v>449</v>
      </c>
    </row>
    <row r="257" customFormat="false" ht="22.35" hidden="false" customHeight="false" outlineLevel="0" collapsed="false">
      <c r="B257" s="7" t="s">
        <v>450</v>
      </c>
      <c r="C257" s="27" t="n">
        <f aca="false">0</f>
        <v>0</v>
      </c>
      <c r="D257" s="27" t="n">
        <f aca="false">IF(OR(C257=1,AND(Suspension_auto=1,C261&gt;=Reports_max)),1,0)</f>
        <v>0</v>
      </c>
      <c r="E257" s="27" t="n">
        <f aca="false">IF(OR(D257=1,AND(Suspension_auto=1,D261&gt;=Reports_max)),1,0)</f>
        <v>0</v>
      </c>
      <c r="F257" s="27" t="n">
        <f aca="false">IF(OR(E257=1,AND(Suspension_auto=1,E261&gt;=Reports_max)),1,0)</f>
        <v>0</v>
      </c>
      <c r="G257" s="27" t="n">
        <f aca="false">IF(OR(F257=1,AND(Suspension_auto=1,F261&gt;=Reports_max)),1,0)</f>
        <v>1</v>
      </c>
      <c r="H257" s="27" t="n">
        <f aca="false">IF(OR(G257=1,AND(Suspension_auto=1,G261&gt;=Reports_max)),1,0)</f>
        <v>1</v>
      </c>
      <c r="I257" s="27" t="n">
        <f aca="false">IF(OR(H257=1,AND(Suspension_auto=1,H261&gt;=Reports_max)),1,0)</f>
        <v>1</v>
      </c>
      <c r="J257" s="27" t="n">
        <f aca="false">IF(OR(I257=1,AND(Suspension_auto=1,I261&gt;=Reports_max)),1,0)</f>
        <v>1</v>
      </c>
      <c r="K257" s="9" t="s">
        <v>451</v>
      </c>
    </row>
    <row r="258" customFormat="false" ht="15" hidden="false" customHeight="false" outlineLevel="0" collapsed="false">
      <c r="B258" s="7" t="s">
        <v>452</v>
      </c>
      <c r="C258" s="22" t="n">
        <f aca="false">IF(C257=1,0,MIN(C255,C256))</f>
        <v>400000</v>
      </c>
      <c r="D258" s="22" t="n">
        <f aca="false">IF(D257=1,0,MIN(D255,D256))</f>
        <v>323453.542745145</v>
      </c>
      <c r="E258" s="22" t="n">
        <f aca="false">IF(E257=1,0,MIN(E255,E256))</f>
        <v>264533.097851088</v>
      </c>
      <c r="F258" s="22" t="n">
        <f aca="false">IF(F257=1,0,MIN(F255,F256))</f>
        <v>240885.379917839</v>
      </c>
      <c r="G258" s="22" t="n">
        <f aca="false">IF(G257=1,0,MIN(G255,G256))</f>
        <v>0</v>
      </c>
      <c r="H258" s="22" t="n">
        <f aca="false">IF(H257=1,0,MIN(H255,H256))</f>
        <v>0</v>
      </c>
      <c r="I258" s="22" t="n">
        <f aca="false">IF(I257=1,0,MIN(I255,I256))</f>
        <v>0</v>
      </c>
      <c r="J258" s="22" t="n">
        <f aca="false">IF(J257=1,0,MIN(J255,J256))</f>
        <v>0</v>
      </c>
      <c r="K258" s="9" t="s">
        <v>453</v>
      </c>
    </row>
    <row r="259" customFormat="false" ht="15" hidden="false" customHeight="false" outlineLevel="0" collapsed="false">
      <c r="B259" s="7" t="s">
        <v>454</v>
      </c>
      <c r="C259" s="22" t="n">
        <f aca="false">C255-C258</f>
        <v>2800000</v>
      </c>
      <c r="D259" s="22" t="n">
        <f aca="false">D255-D258</f>
        <v>3770360.62823544</v>
      </c>
      <c r="E259" s="22" t="n">
        <f aca="false">E255-E258</f>
        <v>4299426.82393761</v>
      </c>
      <c r="F259" s="22" t="n">
        <f aca="false">F255-F258</f>
        <v>4540312.20385545</v>
      </c>
      <c r="G259" s="22" t="n">
        <f aca="false">G255-G258</f>
        <v>4772196.70383346</v>
      </c>
      <c r="H259" s="22" t="n">
        <f aca="false">H255-H258</f>
        <v>4918909.81653166</v>
      </c>
      <c r="I259" s="22" t="n">
        <f aca="false">I255-I258</f>
        <v>5021957.24813268</v>
      </c>
      <c r="J259" s="22" t="n">
        <f aca="false">J255-J258</f>
        <v>5132969.2583408</v>
      </c>
      <c r="K259" s="9"/>
    </row>
    <row r="260" customFormat="false" ht="15" hidden="false" customHeight="false" outlineLevel="0" collapsed="false">
      <c r="B260" s="7" t="s">
        <v>455</v>
      </c>
      <c r="C260" s="27" t="n">
        <f aca="false">IF(C259&gt;1,1,0)</f>
        <v>1</v>
      </c>
      <c r="D260" s="27" t="n">
        <f aca="false">IF(D259&gt;1,1,0)</f>
        <v>1</v>
      </c>
      <c r="E260" s="27" t="n">
        <f aca="false">IF(E259&gt;1,1,0)</f>
        <v>1</v>
      </c>
      <c r="F260" s="27" t="n">
        <f aca="false">IF(F259&gt;1,1,0)</f>
        <v>1</v>
      </c>
      <c r="G260" s="27" t="n">
        <f aca="false">IF(G259&gt;1,1,0)</f>
        <v>1</v>
      </c>
      <c r="H260" s="27" t="n">
        <f aca="false">IF(H259&gt;1,1,0)</f>
        <v>1</v>
      </c>
      <c r="I260" s="27" t="n">
        <f aca="false">IF(I259&gt;1,1,0)</f>
        <v>1</v>
      </c>
      <c r="J260" s="27" t="n">
        <f aca="false">IF(J259&gt;1,1,0)</f>
        <v>1</v>
      </c>
      <c r="K260" s="9"/>
    </row>
    <row r="261" customFormat="false" ht="15" hidden="false" customHeight="false" outlineLevel="0" collapsed="false">
      <c r="B261" s="7" t="s">
        <v>456</v>
      </c>
      <c r="C261" s="27" t="n">
        <f aca="false">C260</f>
        <v>1</v>
      </c>
      <c r="D261" s="27" t="n">
        <f aca="false">IF(D260=1,C261+1,0)</f>
        <v>2</v>
      </c>
      <c r="E261" s="27" t="n">
        <f aca="false">IF(E260=1,D261+1,0)</f>
        <v>3</v>
      </c>
      <c r="F261" s="27" t="n">
        <f aca="false">IF(F260=1,E261+1,0)</f>
        <v>4</v>
      </c>
      <c r="G261" s="27" t="n">
        <f aca="false">IF(G260=1,F261+1,0)</f>
        <v>5</v>
      </c>
      <c r="H261" s="27" t="n">
        <f aca="false">IF(H260=1,G261+1,0)</f>
        <v>6</v>
      </c>
      <c r="I261" s="27" t="n">
        <f aca="false">IF(I260=1,H261+1,0)</f>
        <v>7</v>
      </c>
      <c r="J261" s="27" t="n">
        <f aca="false">IF(J260=1,I261+1,0)</f>
        <v>8</v>
      </c>
      <c r="K261" s="9"/>
    </row>
    <row r="262" customFormat="false" ht="15" hidden="false" customHeight="false" outlineLevel="0" collapsed="false">
      <c r="B262" s="7" t="s">
        <v>457</v>
      </c>
      <c r="C262" s="16" t="n">
        <f aca="false">C259/C251</f>
        <v>0.35</v>
      </c>
      <c r="D262" s="16" t="n">
        <f aca="false">D259/D251</f>
        <v>0.5828287729107</v>
      </c>
      <c r="E262" s="16" t="n">
        <f aca="false">E259/E251</f>
        <v>0.812644402319339</v>
      </c>
      <c r="F262" s="16" t="n">
        <f aca="false">F259/F251</f>
        <v>0.942421703924922</v>
      </c>
      <c r="G262" s="16" t="n">
        <f aca="false">G259/G251</f>
        <v>1.02900295282479</v>
      </c>
      <c r="H262" s="16" t="n">
        <f aca="false">H259/H251</f>
        <v>1.00582212306754</v>
      </c>
      <c r="I262" s="16" t="n">
        <f aca="false">I259/I251</f>
        <v>0.974688484731306</v>
      </c>
      <c r="J262" s="16" t="n">
        <f aca="false">J259/J251</f>
        <v>0.924759266806859</v>
      </c>
      <c r="K262" s="9"/>
    </row>
    <row r="264" customFormat="false" ht="15" hidden="false" customHeight="false" outlineLevel="0" collapsed="false">
      <c r="B264" s="7" t="s">
        <v>458</v>
      </c>
      <c r="C264" s="22" t="n">
        <f aca="false">Paramètres!$D$68*AN_depart</f>
        <v>2800000</v>
      </c>
      <c r="D264" s="22" t="n">
        <f aca="false">C296</f>
        <v>2343341.75654201</v>
      </c>
      <c r="E264" s="22" t="n">
        <f aca="false">D296</f>
        <v>1559272.75078674</v>
      </c>
      <c r="F264" s="22" t="n">
        <f aca="false">E296</f>
        <v>1027735.61239892</v>
      </c>
      <c r="G264" s="22" t="n">
        <f aca="false">F296</f>
        <v>759580.899382108</v>
      </c>
      <c r="H264" s="22" t="n">
        <f aca="false">G296</f>
        <v>866597.381629509</v>
      </c>
      <c r="I264" s="22" t="n">
        <f aca="false">H296</f>
        <v>927483.542073497</v>
      </c>
      <c r="J264" s="22" t="n">
        <f aca="false">I296</f>
        <v>989865.045261285</v>
      </c>
      <c r="K264" s="9"/>
    </row>
    <row r="265" customFormat="false" ht="15" hidden="false" customHeight="false" outlineLevel="0" collapsed="false">
      <c r="B265" s="7" t="s">
        <v>459</v>
      </c>
      <c r="C265" s="22" t="n">
        <f aca="false">Paramètres!$D$69*AN_depart</f>
        <v>0</v>
      </c>
      <c r="D265" s="22" t="n">
        <f aca="false">C297</f>
        <v>0</v>
      </c>
      <c r="E265" s="22" t="n">
        <f aca="false">D297</f>
        <v>0</v>
      </c>
      <c r="F265" s="22" t="n">
        <f aca="false">E297</f>
        <v>0</v>
      </c>
      <c r="G265" s="22" t="n">
        <f aca="false">F297</f>
        <v>0</v>
      </c>
      <c r="H265" s="22" t="n">
        <f aca="false">G297</f>
        <v>0</v>
      </c>
      <c r="I265" s="22" t="n">
        <f aca="false">H297</f>
        <v>0</v>
      </c>
      <c r="J265" s="22" t="n">
        <f aca="false">I297</f>
        <v>0</v>
      </c>
      <c r="K265" s="9"/>
    </row>
    <row r="266" customFormat="false" ht="15" hidden="false" customHeight="false" outlineLevel="0" collapsed="false">
      <c r="B266" s="7" t="s">
        <v>460</v>
      </c>
      <c r="C266" s="22" t="n">
        <f aca="false">Paramètres!$D$70*AN_depart</f>
        <v>1960000</v>
      </c>
      <c r="D266" s="22" t="n">
        <f aca="false">C298</f>
        <v>1967534.09111787</v>
      </c>
      <c r="E266" s="22" t="n">
        <f aca="false">D298</f>
        <v>1933506.78088716</v>
      </c>
      <c r="F266" s="22" t="n">
        <f aca="false">E298</f>
        <v>1985677.12935403</v>
      </c>
      <c r="G266" s="22" t="n">
        <f aca="false">F298</f>
        <v>2047580.6746929</v>
      </c>
      <c r="H266" s="22" t="n">
        <f aca="false">G298</f>
        <v>2102096.67571588</v>
      </c>
      <c r="I266" s="22" t="n">
        <f aca="false">H298</f>
        <v>2154718.12104403</v>
      </c>
      <c r="J266" s="22" t="n">
        <f aca="false">I298</f>
        <v>2203335.5158622</v>
      </c>
      <c r="K266" s="9"/>
    </row>
    <row r="267" customFormat="false" ht="15" hidden="false" customHeight="false" outlineLevel="0" collapsed="false">
      <c r="B267" s="7" t="s">
        <v>461</v>
      </c>
      <c r="C267" s="22" t="n">
        <f aca="false">Paramètres!$D$71*AN_depart</f>
        <v>1960000</v>
      </c>
      <c r="D267" s="22" t="n">
        <f aca="false">C299</f>
        <v>1866161.0562498</v>
      </c>
      <c r="E267" s="22" t="n">
        <f aca="false">D299</f>
        <v>1733191.71679883</v>
      </c>
      <c r="F267" s="22" t="n">
        <f aca="false">E299</f>
        <v>1751388.23703362</v>
      </c>
      <c r="G267" s="22" t="n">
        <f aca="false">F299</f>
        <v>1782351.34950164</v>
      </c>
      <c r="H267" s="22" t="n">
        <f aca="false">G299</f>
        <v>1807518.93567749</v>
      </c>
      <c r="I267" s="22" t="n">
        <f aca="false">H299</f>
        <v>1828349.74900331</v>
      </c>
      <c r="J267" s="22" t="n">
        <f aca="false">I299</f>
        <v>1842162.79127737</v>
      </c>
      <c r="K267" s="9"/>
    </row>
    <row r="268" customFormat="false" ht="15" hidden="false" customHeight="false" outlineLevel="0" collapsed="false">
      <c r="B268" s="7" t="s">
        <v>462</v>
      </c>
      <c r="C268" s="22" t="n">
        <f aca="false">Paramètres!$D$72*AN_depart</f>
        <v>880000</v>
      </c>
      <c r="D268" s="22" t="n">
        <f aca="false">C300</f>
        <v>212033.950993222</v>
      </c>
      <c r="E268" s="22" t="n">
        <f aca="false">D300</f>
        <v>0</v>
      </c>
      <c r="F268" s="22" t="n">
        <f aca="false">E300</f>
        <v>0</v>
      </c>
      <c r="G268" s="22" t="n">
        <f aca="false">F300</f>
        <v>0</v>
      </c>
      <c r="H268" s="22" t="n">
        <f aca="false">G300</f>
        <v>0</v>
      </c>
      <c r="I268" s="22" t="n">
        <f aca="false">H300</f>
        <v>0</v>
      </c>
      <c r="J268" s="22" t="n">
        <f aca="false">I300</f>
        <v>251178.114527493</v>
      </c>
      <c r="K268" s="9"/>
    </row>
    <row r="269" customFormat="false" ht="15" hidden="false" customHeight="false" outlineLevel="0" collapsed="false">
      <c r="B269" s="7" t="s">
        <v>463</v>
      </c>
      <c r="C269" s="22" t="n">
        <f aca="false">W_cash*AN_depart</f>
        <v>400000</v>
      </c>
      <c r="D269" s="22" t="n">
        <f aca="false">C294</f>
        <v>80000</v>
      </c>
      <c r="E269" s="22" t="n">
        <f aca="false">D294</f>
        <v>64690.7085490291</v>
      </c>
      <c r="F269" s="22" t="n">
        <f aca="false">E294</f>
        <v>52906.6195702176</v>
      </c>
      <c r="G269" s="22" t="n">
        <f aca="false">F294</f>
        <v>48177.0759835679</v>
      </c>
      <c r="H269" s="22" t="n">
        <f aca="false">G294</f>
        <v>114224.096917087</v>
      </c>
      <c r="I269" s="22" t="n">
        <f aca="false">H294</f>
        <v>241820.167930297</v>
      </c>
      <c r="J269" s="22" t="n">
        <f aca="false">I294</f>
        <v>264059.043477621</v>
      </c>
      <c r="K269" s="9"/>
    </row>
    <row r="270" customFormat="false" ht="15" hidden="false" customHeight="false" outlineLevel="0" collapsed="false">
      <c r="B270" s="7" t="s">
        <v>464</v>
      </c>
      <c r="C270" s="22" t="n">
        <f aca="false">NA_total</f>
        <v>1200000</v>
      </c>
      <c r="D270" s="22" t="n">
        <f aca="false">C301</f>
        <v>786733.630769231</v>
      </c>
      <c r="E270" s="22" t="n">
        <f aca="false">D301</f>
        <v>153495.376768117</v>
      </c>
      <c r="F270" s="22" t="n">
        <f aca="false">E301</f>
        <v>-66279.8499004534</v>
      </c>
      <c r="G270" s="22" t="n">
        <f aca="false">F301</f>
        <v>17857.3020815905</v>
      </c>
      <c r="H270" s="22" t="n">
        <f aca="false">G301</f>
        <v>0</v>
      </c>
      <c r="I270" s="22" t="n">
        <f aca="false">H301</f>
        <v>0</v>
      </c>
      <c r="J270" s="22" t="n">
        <f aca="false">I301</f>
        <v>0</v>
      </c>
      <c r="K270" s="9" t="s">
        <v>465</v>
      </c>
    </row>
    <row r="272" customFormat="false" ht="22.35" hidden="false" customHeight="false" outlineLevel="0" collapsed="false">
      <c r="B272" s="7" t="s">
        <v>466</v>
      </c>
      <c r="C272" s="22" t="n">
        <f aca="false">MIN(C270,NA_total*Appels_base*Paramètres!$C$146)</f>
        <v>400000</v>
      </c>
      <c r="D272" s="22" t="n">
        <f aca="false">MIN(D270,NA_total*Appels_base*Paramètres!$D$146)</f>
        <v>400000</v>
      </c>
      <c r="E272" s="22" t="n">
        <f aca="false">MIN(E270,NA_total*Appels_base*Paramètres!$E$146)</f>
        <v>153495.376768117</v>
      </c>
      <c r="F272" s="22" t="n">
        <f aca="false">MIN(F270,NA_total*Appels_base*Paramètres!$F$146)</f>
        <v>-66279.8499004534</v>
      </c>
      <c r="G272" s="22" t="n">
        <f aca="false">MIN(G270,NA_total*Appels_base*Paramètres!$G$146)</f>
        <v>17857.3020815905</v>
      </c>
      <c r="H272" s="22" t="n">
        <f aca="false">MIN(H270,NA_total*Appels_base*Paramètres!$H$146)</f>
        <v>0</v>
      </c>
      <c r="I272" s="22" t="n">
        <f aca="false">MIN(I270,NA_total*Appels_base*Paramètres!$I$146)</f>
        <v>0</v>
      </c>
      <c r="J272" s="22" t="n">
        <f aca="false">MIN(J270,NA_total*Appels_base*Paramètres!$J$146)</f>
        <v>0</v>
      </c>
      <c r="K272" s="9" t="s">
        <v>467</v>
      </c>
    </row>
    <row r="273" customFormat="false" ht="15" hidden="false" customHeight="false" outlineLevel="0" collapsed="false">
      <c r="B273" s="7" t="s">
        <v>468</v>
      </c>
      <c r="C273" s="22" t="n">
        <f aca="false">(C264*Paramètres!$D$79+C265*Paramètres!$D$80)/2*Paramètres!$C$141</f>
        <v>16800</v>
      </c>
      <c r="D273" s="22" t="n">
        <f aca="false">(D264*Paramètres!$D$79+D265*Paramètres!$D$80)/2*Paramètres!$D$141</f>
        <v>7030.02526962604</v>
      </c>
      <c r="E273" s="22" t="n">
        <f aca="false">(E264*Paramètres!$D$79+E265*Paramètres!$D$80)/2*Paramètres!$E$141</f>
        <v>4677.81825236021</v>
      </c>
      <c r="F273" s="22" t="n">
        <f aca="false">(F264*Paramètres!$D$79+F265*Paramètres!$D$80)/2*Paramètres!$F$141</f>
        <v>4624.81025579515</v>
      </c>
      <c r="G273" s="22" t="n">
        <f aca="false">(G264*Paramètres!$D$79+G265*Paramètres!$D$80)/2*Paramètres!$G$141</f>
        <v>5696.85674536581</v>
      </c>
      <c r="H273" s="22" t="n">
        <f aca="false">(H264*Paramètres!$D$79+H265*Paramètres!$D$80)/2*Paramètres!$H$141</f>
        <v>10399.1685795541</v>
      </c>
      <c r="I273" s="22" t="n">
        <f aca="false">(I264*Paramètres!$D$79+I265*Paramètres!$D$80)/2*Paramètres!$I$141</f>
        <v>13912.2531311025</v>
      </c>
      <c r="J273" s="22" t="n">
        <f aca="false">(J264*Paramètres!$D$79+J265*Paramètres!$D$80)/2*Paramètres!$J$141</f>
        <v>17817.5708147031</v>
      </c>
      <c r="K273" s="9" t="s">
        <v>469</v>
      </c>
    </row>
    <row r="274" customFormat="false" ht="15" hidden="false" customHeight="false" outlineLevel="0" collapsed="false">
      <c r="B274" s="7" t="s">
        <v>470</v>
      </c>
      <c r="C274" s="22" t="n">
        <f aca="false">(C266*Paramètres!$D$81+C267*Paramètres!$D$82)/2*Paramètres!$C$141</f>
        <v>13720</v>
      </c>
      <c r="D274" s="22" t="n">
        <f aca="false">(D266*Paramètres!$D$81+D267*Paramètres!$D$82)/2*Paramètres!$D$141</f>
        <v>6632.93673174238</v>
      </c>
      <c r="E274" s="22" t="n">
        <f aca="false">(E266*Paramètres!$D$81+E267*Paramètres!$D$82)/2*Paramètres!$E$141</f>
        <v>6266.48607288424</v>
      </c>
      <c r="F274" s="22" t="n">
        <f aca="false">(F266*Paramètres!$D$81+F267*Paramètres!$D$82)/2*Paramètres!$F$141</f>
        <v>9546.22158290713</v>
      </c>
      <c r="G274" s="22" t="n">
        <f aca="false">(G266*Paramètres!$D$81+G267*Paramètres!$D$82)/2*Paramètres!$G$141</f>
        <v>16258.6476211175</v>
      </c>
      <c r="H274" s="22" t="n">
        <f aca="false">(H266*Paramètres!$D$81+H267*Paramètres!$D$82)/2*Paramètres!$H$141</f>
        <v>26483.5760596384</v>
      </c>
      <c r="I274" s="22" t="n">
        <f aca="false">(I266*Paramètres!$D$81+I267*Paramètres!$D$82)/2*Paramètres!$I$141</f>
        <v>33627.9624677615</v>
      </c>
      <c r="J274" s="22" t="n">
        <f aca="false">(J266*Paramètres!$D$81+J267*Paramètres!$D$82)/2*Paramètres!$J$141</f>
        <v>40852.4549643338</v>
      </c>
      <c r="K274" s="9" t="s">
        <v>471</v>
      </c>
    </row>
    <row r="275" customFormat="false" ht="15" hidden="false" customHeight="false" outlineLevel="0" collapsed="false">
      <c r="B275" s="7" t="s">
        <v>472</v>
      </c>
      <c r="C275" s="22" t="n">
        <f aca="false">Frais_an/2*C251</f>
        <v>130396</v>
      </c>
      <c r="D275" s="22" t="n">
        <f aca="false">Frais_an/2*D251</f>
        <v>105442.62039949</v>
      </c>
      <c r="E275" s="22" t="n">
        <f aca="false">Frais_an/2*E251</f>
        <v>86235.1445684762</v>
      </c>
      <c r="F275" s="22" t="n">
        <f aca="false">Frais_an/2*F251</f>
        <v>78526.2249994165</v>
      </c>
      <c r="G275" s="22" t="n">
        <f aca="false">Frais_an/2*G251</f>
        <v>75592.0281478316</v>
      </c>
      <c r="H275" s="22" t="n">
        <f aca="false">Frais_an/2*H251</f>
        <v>79711.6793474765</v>
      </c>
      <c r="I275" s="22" t="n">
        <f aca="false">Frais_an/2*I251</f>
        <v>83981.0805690434</v>
      </c>
      <c r="J275" s="22" t="n">
        <f aca="false">Frais_an/2*J251</f>
        <v>90472.0130193621</v>
      </c>
      <c r="K275" s="9"/>
    </row>
    <row r="276" customFormat="false" ht="15" hidden="false" customHeight="false" outlineLevel="0" collapsed="false">
      <c r="B276" s="7" t="s">
        <v>473</v>
      </c>
      <c r="C276" s="22" t="n">
        <f aca="false">C269*Paramètres!$C$84/2</f>
        <v>5000</v>
      </c>
      <c r="D276" s="22" t="n">
        <f aca="false">D269*Paramètres!$C$84/2</f>
        <v>1000</v>
      </c>
      <c r="E276" s="22" t="n">
        <f aca="false">E269*Paramètres!$C$84/2</f>
        <v>808.633856862864</v>
      </c>
      <c r="F276" s="22" t="n">
        <f aca="false">F269*Paramètres!$C$84/2</f>
        <v>661.33274462772</v>
      </c>
      <c r="G276" s="22" t="n">
        <f aca="false">G269*Paramètres!$C$84/2</f>
        <v>602.213449794599</v>
      </c>
      <c r="H276" s="22" t="n">
        <f aca="false">H269*Paramètres!$C$84/2</f>
        <v>1427.80121146359</v>
      </c>
      <c r="I276" s="22" t="n">
        <f aca="false">I269*Paramètres!$C$84/2</f>
        <v>3022.75209912871</v>
      </c>
      <c r="J276" s="22" t="n">
        <f aca="false">J269*Paramètres!$C$84/2</f>
        <v>3300.73804347026</v>
      </c>
      <c r="K276" s="9"/>
    </row>
    <row r="277" customFormat="false" ht="15" hidden="false" customHeight="false" outlineLevel="0" collapsed="false">
      <c r="B277" s="7" t="s">
        <v>474</v>
      </c>
      <c r="C277" s="22" t="n">
        <f aca="false">C258+C272+C275-C252-C273-C274-C276</f>
        <v>894876</v>
      </c>
      <c r="D277" s="22" t="n">
        <f aca="false">D258+D272+D275-D252-D273-D274-D276</f>
        <v>814233.201143267</v>
      </c>
      <c r="E277" s="22" t="n">
        <f aca="false">E258+E272+E275-E252-E273-E274-E276</f>
        <v>492510.681005574</v>
      </c>
      <c r="F277" s="22" t="n">
        <f aca="false">F258+F272+F275-F252-F273-F274-F276</f>
        <v>238299.390433473</v>
      </c>
      <c r="G277" s="22" t="n">
        <f aca="false">G258+G272+G275-G252-G273-G274-G276</f>
        <v>70891.6124131443</v>
      </c>
      <c r="H277" s="22" t="n">
        <f aca="false">H258+H272+H275-H252-H273-H274-H276</f>
        <v>41401.1334968204</v>
      </c>
      <c r="I277" s="22" t="n">
        <f aca="false">I258+I272+I275-I252-I273-I274-I276</f>
        <v>-95391.1766302276</v>
      </c>
      <c r="J277" s="22" t="n">
        <f aca="false">J258+J272+J275-J252-J273-J274-J276</f>
        <v>-110263.763563294</v>
      </c>
      <c r="K277" s="9" t="s">
        <v>475</v>
      </c>
    </row>
    <row r="278" customFormat="false" ht="15" hidden="false" customHeight="false" outlineLevel="0" collapsed="false">
      <c r="B278" s="7" t="s">
        <v>476</v>
      </c>
      <c r="C278" s="22" t="n">
        <f aca="false">MAX(0,C269-Cash_min*C251)</f>
        <v>320000</v>
      </c>
      <c r="D278" s="22" t="n">
        <f aca="false">MAX(0,D269-Cash_min*D251)</f>
        <v>15309.2914509709</v>
      </c>
      <c r="E278" s="22" t="n">
        <f aca="false">MAX(0,E269-Cash_min*E251)</f>
        <v>11784.0889788115</v>
      </c>
      <c r="F278" s="22" t="n">
        <f aca="false">MAX(0,F269-Cash_min*F251)</f>
        <v>4729.54358664973</v>
      </c>
      <c r="G278" s="22" t="n">
        <f aca="false">MAX(0,G269-Cash_min*G251)</f>
        <v>1800.1759879658</v>
      </c>
      <c r="H278" s="22" t="n">
        <f aca="false">MAX(0,H269-Cash_min*H251)</f>
        <v>65319.7260176878</v>
      </c>
      <c r="I278" s="22" t="n">
        <f aca="false">MAX(0,I269-Cash_min*I251)</f>
        <v>190296.452129786</v>
      </c>
      <c r="J278" s="22" t="n">
        <f aca="false">MAX(0,J269-Cash_min*J251)</f>
        <v>208553.038373561</v>
      </c>
      <c r="K278" s="9" t="s">
        <v>477</v>
      </c>
    </row>
    <row r="279" customFormat="false" ht="15" hidden="false" customHeight="false" outlineLevel="0" collapsed="false">
      <c r="B279" s="7" t="s">
        <v>478</v>
      </c>
      <c r="C279" s="22" t="n">
        <f aca="false">MAX(0,C277-C278)</f>
        <v>574876</v>
      </c>
      <c r="D279" s="22" t="n">
        <f aca="false">MAX(0,D277-D278)</f>
        <v>798923.909692296</v>
      </c>
      <c r="E279" s="22" t="n">
        <f aca="false">MAX(0,E277-E278)</f>
        <v>480726.592026762</v>
      </c>
      <c r="F279" s="22" t="n">
        <f aca="false">MAX(0,F277-F278)</f>
        <v>233569.846846823</v>
      </c>
      <c r="G279" s="22" t="n">
        <f aca="false">MAX(0,G277-G278)</f>
        <v>69091.4364251785</v>
      </c>
      <c r="H279" s="22" t="n">
        <f aca="false">MAX(0,H277-H278)</f>
        <v>0</v>
      </c>
      <c r="I279" s="22" t="n">
        <f aca="false">MAX(0,I277-I278)</f>
        <v>0</v>
      </c>
      <c r="J279" s="22" t="n">
        <f aca="false">MAX(0,J277-J278)</f>
        <v>0</v>
      </c>
      <c r="K279" s="9"/>
    </row>
    <row r="280" customFormat="false" ht="15" hidden="false" customHeight="false" outlineLevel="0" collapsed="false">
      <c r="B280" s="7" t="s">
        <v>479</v>
      </c>
      <c r="C280" s="22" t="n">
        <f aca="false">MIN(C279,C268*(1+'MST Scénarios'!C95))</f>
        <v>574876</v>
      </c>
      <c r="D280" s="22" t="n">
        <f aca="false">MIN(D279,D268*(1+'MST Scénarios'!D95))</f>
        <v>206056.034200642</v>
      </c>
      <c r="E280" s="22" t="n">
        <f aca="false">MIN(E279,E268*(1+'MST Scénarios'!E95))</f>
        <v>0</v>
      </c>
      <c r="F280" s="22" t="n">
        <f aca="false">MIN(F279,F268*(1+'MST Scénarios'!F95))</f>
        <v>0</v>
      </c>
      <c r="G280" s="22" t="n">
        <f aca="false">MIN(G279,G268*(1+'MST Scénarios'!G95))</f>
        <v>0</v>
      </c>
      <c r="H280" s="22" t="n">
        <f aca="false">MIN(H279,H268*(1+'MST Scénarios'!H95))</f>
        <v>0</v>
      </c>
      <c r="I280" s="22" t="n">
        <f aca="false">MIN(I279,I268*(1+'MST Scénarios'!I95))</f>
        <v>0</v>
      </c>
      <c r="J280" s="22" t="n">
        <f aca="false">MIN(J279,J268*(1+'MST Scénarios'!J95))</f>
        <v>0</v>
      </c>
      <c r="K280" s="9" t="s">
        <v>480</v>
      </c>
    </row>
    <row r="281" customFormat="false" ht="15" hidden="false" customHeight="false" outlineLevel="0" collapsed="false">
      <c r="B281" s="7" t="s">
        <v>481</v>
      </c>
      <c r="C281" s="22" t="n">
        <f aca="false">C280*Paramètres!$L$83</f>
        <v>28743.8</v>
      </c>
      <c r="D281" s="22" t="n">
        <f aca="false">D280*Paramètres!$L$83</f>
        <v>10302.8017100321</v>
      </c>
      <c r="E281" s="22" t="n">
        <f aca="false">E280*Paramètres!$L$83</f>
        <v>0</v>
      </c>
      <c r="F281" s="22" t="n">
        <f aca="false">F280*Paramètres!$L$83</f>
        <v>0</v>
      </c>
      <c r="G281" s="22" t="n">
        <f aca="false">G280*Paramètres!$L$83</f>
        <v>0</v>
      </c>
      <c r="H281" s="22" t="n">
        <f aca="false">H280*Paramètres!$L$83</f>
        <v>0</v>
      </c>
      <c r="I281" s="22" t="n">
        <f aca="false">I280*Paramètres!$L$83</f>
        <v>0</v>
      </c>
      <c r="J281" s="22" t="n">
        <f aca="false">J280*Paramètres!$L$83</f>
        <v>0</v>
      </c>
      <c r="K281" s="9" t="s">
        <v>482</v>
      </c>
    </row>
    <row r="282" customFormat="false" ht="15" hidden="false" customHeight="false" outlineLevel="0" collapsed="false">
      <c r="B282" s="7" t="s">
        <v>483</v>
      </c>
      <c r="C282" s="22" t="n">
        <f aca="false">MAX(0,C279-C280*(1-Paramètres!$L$83))</f>
        <v>28743.8</v>
      </c>
      <c r="D282" s="22" t="n">
        <f aca="false">MAX(0,D279-D280*(1-Paramètres!$L$83))</f>
        <v>603170.677201686</v>
      </c>
      <c r="E282" s="22" t="n">
        <f aca="false">MAX(0,E279-E280*(1-Paramètres!$L$83))</f>
        <v>480726.592026762</v>
      </c>
      <c r="F282" s="22" t="n">
        <f aca="false">MAX(0,F279-F280*(1-Paramètres!$L$83))</f>
        <v>233569.846846823</v>
      </c>
      <c r="G282" s="22" t="n">
        <f aca="false">MAX(0,G279-G280*(1-Paramètres!$L$83))</f>
        <v>69091.4364251785</v>
      </c>
      <c r="H282" s="22" t="n">
        <f aca="false">MAX(0,H279-H280*(1-Paramètres!$L$83))</f>
        <v>0</v>
      </c>
      <c r="I282" s="22" t="n">
        <f aca="false">MAX(0,I279-I280*(1-Paramètres!$L$83))</f>
        <v>0</v>
      </c>
      <c r="J282" s="22" t="n">
        <f aca="false">MAX(0,J279-J280*(1-Paramètres!$L$83))</f>
        <v>0</v>
      </c>
      <c r="K282" s="9"/>
    </row>
    <row r="283" customFormat="false" ht="15" hidden="false" customHeight="false" outlineLevel="0" collapsed="false">
      <c r="B283" s="7" t="s">
        <v>484</v>
      </c>
      <c r="C283" s="22" t="n">
        <f aca="false">MAX(0,(C266*Paramètres!$F$70+C267*Paramètres!$F$71)*2*(1-Paramètres!$C$151)-C274)</f>
        <v>0</v>
      </c>
      <c r="D283" s="22" t="n">
        <f aca="false">MAX(0,(D266*Paramètres!$F$70+D267*Paramètres!$F$71)*2*(1-Paramètres!$D$151)-D274)</f>
        <v>0</v>
      </c>
      <c r="E283" s="22" t="n">
        <f aca="false">MAX(0,(E266*Paramètres!$F$70+E267*Paramètres!$F$71)*2*(1-Paramètres!$E$151)-E274)</f>
        <v>0</v>
      </c>
      <c r="F283" s="22" t="n">
        <f aca="false">MAX(0,(F266*Paramètres!$F$70+F267*Paramètres!$F$71)*2*(1-Paramètres!$F$151)-F274)</f>
        <v>65195.0857448459</v>
      </c>
      <c r="G283" s="22" t="n">
        <f aca="false">MAX(0,(G266*Paramètres!$F$70+G267*Paramètres!$F$71)*2*(1-Paramètres!$G$151)-G274)</f>
        <v>136938.633346664</v>
      </c>
      <c r="H283" s="22" t="n">
        <f aca="false">MAX(0,(H266*Paramètres!$F$70+H267*Paramètres!$F$71)*2*(1-Paramètres!$H$151)-H274)</f>
        <v>168997.20451003</v>
      </c>
      <c r="I283" s="22" t="n">
        <f aca="false">MAX(0,(I266*Paramètres!$F$70+I267*Paramètres!$F$71)*2*(1-Paramètres!$I$151)-I274)</f>
        <v>205356.109735079</v>
      </c>
      <c r="J283" s="22" t="n">
        <f aca="false">MAX(0,(J266*Paramètres!$F$70+J267*Paramètres!$F$71)*2*(1-Paramètres!$J$151)-J274)</f>
        <v>242332.426535436</v>
      </c>
      <c r="K283" s="9" t="s">
        <v>485</v>
      </c>
    </row>
    <row r="284" customFormat="false" ht="22.35" hidden="false" customHeight="false" outlineLevel="0" collapsed="false">
      <c r="B284" s="7" t="s">
        <v>486</v>
      </c>
      <c r="C284" s="22" t="n">
        <f aca="false">MAX(C282,Poche_min_exec*C251-(C269-C277+C280*(1-Paramètres!$L$83)+C268*(1+'MST Scénarios'!C95)-C280))</f>
        <v>536709.849006778</v>
      </c>
      <c r="D284" s="22" t="n">
        <f aca="false">MAX(D282,Poche_min_exec*D251-(D269-D277+D280*(1-Paramètres!$L$83)+D268*(1+'MST Scénarios'!D95)-D280))</f>
        <v>1185387.05414295</v>
      </c>
      <c r="E284" s="22" t="n">
        <f aca="false">MAX(E282,Poche_min_exec*E251-(E269-E277+E280*(1-Paramètres!$L$83)+E268*(1+'MST Scénarios'!E95)-E280))</f>
        <v>956886.168158721</v>
      </c>
      <c r="F284" s="22" t="n">
        <f aca="false">MAX(F282,Poche_min_exec*F251-(F269-F277+F280*(1-Paramètres!$L$83)+F268*(1+'MST Scénarios'!F95)-F280))</f>
        <v>667163.530698934</v>
      </c>
      <c r="G284" s="22" t="n">
        <f aca="false">MAX(G282,Poche_min_exec*G251-(G269-G277+G280*(1-Paramètres!$L$83)+G268*(1+'MST Scénarios'!G95)-G280))</f>
        <v>486483.536385597</v>
      </c>
      <c r="H284" s="22" t="n">
        <f aca="false">MAX(H282,Poche_min_exec*H251-(H269-H277+H280*(1-Paramètres!$L$83)+H268*(1+'MST Scénarios'!H95)-H280))</f>
        <v>416220.745573729</v>
      </c>
      <c r="I284" s="22" t="n">
        <f aca="false">MAX(I282,Poche_min_exec*I251-(I269-I277+I280*(1-Paramètres!$L$83)+I268*(1+'MST Scénarios'!I95)-I280))</f>
        <v>178025.813444589</v>
      </c>
      <c r="J284" s="22" t="n">
        <f aca="false">MAX(J282,Poche_min_exec*J251-(J269-J277+J280*(1-Paramètres!$L$83)+J268*(1+'MST Scénarios'!J95)-J280))</f>
        <v>0</v>
      </c>
      <c r="K284" s="9" t="s">
        <v>487</v>
      </c>
    </row>
    <row r="285" customFormat="false" ht="22.35" hidden="false" customHeight="false" outlineLevel="0" collapsed="false">
      <c r="B285" s="7" t="s">
        <v>488</v>
      </c>
      <c r="C285" s="22" t="n">
        <f aca="false">MAX(0,MIN(C284,C283))</f>
        <v>0</v>
      </c>
      <c r="D285" s="22" t="n">
        <f aca="false">MAX(0,MIN(D284,D283))</f>
        <v>0</v>
      </c>
      <c r="E285" s="22" t="n">
        <f aca="false">MAX(0,MIN(E284,E283))</f>
        <v>0</v>
      </c>
      <c r="F285" s="22" t="n">
        <f aca="false">MAX(0,MIN(F284,F283))</f>
        <v>65195.0857448459</v>
      </c>
      <c r="G285" s="22" t="n">
        <f aca="false">MAX(0,MIN(G284,G283))</f>
        <v>136938.633346664</v>
      </c>
      <c r="H285" s="22" t="n">
        <f aca="false">MAX(0,MIN(H284,H283))</f>
        <v>168997.20451003</v>
      </c>
      <c r="I285" s="22" t="n">
        <f aca="false">MAX(0,MIN(I284,I283))</f>
        <v>178025.813444589</v>
      </c>
      <c r="J285" s="22" t="n">
        <f aca="false">MAX(0,MIN(J284,J283))</f>
        <v>0</v>
      </c>
      <c r="K285" s="9" t="s">
        <v>489</v>
      </c>
    </row>
    <row r="286" customFormat="false" ht="15" hidden="false" customHeight="false" outlineLevel="0" collapsed="false">
      <c r="B286" s="7" t="s">
        <v>490</v>
      </c>
      <c r="C286" s="22" t="n">
        <f aca="false">MAX(0,C282-C285)</f>
        <v>28743.8</v>
      </c>
      <c r="D286" s="22" t="n">
        <f aca="false">MAX(0,D282-D285)</f>
        <v>603170.677201686</v>
      </c>
      <c r="E286" s="22" t="n">
        <f aca="false">MAX(0,E282-E285)</f>
        <v>480726.592026762</v>
      </c>
      <c r="F286" s="22" t="n">
        <f aca="false">MAX(0,F282-F285)</f>
        <v>168374.761101977</v>
      </c>
      <c r="G286" s="22" t="n">
        <f aca="false">MAX(0,G282-G285)</f>
        <v>0</v>
      </c>
      <c r="H286" s="22" t="n">
        <f aca="false">MAX(0,H282-H285)</f>
        <v>0</v>
      </c>
      <c r="I286" s="22" t="n">
        <f aca="false">MAX(0,I282-I285)</f>
        <v>0</v>
      </c>
      <c r="J286" s="22" t="n">
        <f aca="false">MAX(0,J282-J285)</f>
        <v>0</v>
      </c>
      <c r="K286" s="9"/>
    </row>
    <row r="287" customFormat="false" ht="15" hidden="false" customHeight="false" outlineLevel="0" collapsed="false">
      <c r="B287" s="7" t="s">
        <v>491</v>
      </c>
      <c r="C287" s="22" t="n">
        <f aca="false">IF(Cession_autorisee=1,MIN(C286/(1-Paramètres!$L$79),C264+C265),0)</f>
        <v>44221.2307692308</v>
      </c>
      <c r="D287" s="22" t="n">
        <f aca="false">IF(Cession_autorisee=1,MIN(D286/(1-Paramètres!$L$79),D264+D265),0)</f>
        <v>927954.888002594</v>
      </c>
      <c r="E287" s="22" t="n">
        <f aca="false">IF(Cession_autorisee=1,MIN(E286/(1-Paramètres!$L$79),E264+E265),0)</f>
        <v>739579.372348865</v>
      </c>
      <c r="F287" s="22" t="n">
        <f aca="false">IF(Cession_autorisee=1,MIN(F286/(1-Paramètres!$L$79),F264+F265),0)</f>
        <v>259038.094003042</v>
      </c>
      <c r="G287" s="22" t="n">
        <f aca="false">IF(Cession_autorisee=1,MIN(G286/(1-Paramètres!$L$79),G264+G265),0)</f>
        <v>0</v>
      </c>
      <c r="H287" s="22" t="n">
        <f aca="false">IF(Cession_autorisee=1,MIN(H286/(1-Paramètres!$L$79),H264+H265),0)</f>
        <v>0</v>
      </c>
      <c r="I287" s="22" t="n">
        <f aca="false">IF(Cession_autorisee=1,MIN(I286/(1-Paramètres!$L$79),I264+I265),0)</f>
        <v>0</v>
      </c>
      <c r="J287" s="22" t="n">
        <f aca="false">IF(Cession_autorisee=1,MIN(J286/(1-Paramètres!$L$79),J264+J265),0)</f>
        <v>0</v>
      </c>
      <c r="K287" s="9" t="s">
        <v>492</v>
      </c>
    </row>
    <row r="288" customFormat="false" ht="15" hidden="false" customHeight="false" outlineLevel="0" collapsed="false">
      <c r="B288" s="7" t="s">
        <v>493</v>
      </c>
      <c r="C288" s="22" t="n">
        <f aca="false">C287*Paramètres!$L$79</f>
        <v>15477.4307692308</v>
      </c>
      <c r="D288" s="22" t="n">
        <f aca="false">D287*Paramètres!$L$79</f>
        <v>324784.210800908</v>
      </c>
      <c r="E288" s="22" t="n">
        <f aca="false">E287*Paramètres!$L$79</f>
        <v>258852.780322103</v>
      </c>
      <c r="F288" s="22" t="n">
        <f aca="false">F287*Paramètres!$L$79</f>
        <v>90663.3329010645</v>
      </c>
      <c r="G288" s="22" t="n">
        <f aca="false">G287*Paramètres!$L$79</f>
        <v>0</v>
      </c>
      <c r="H288" s="22" t="n">
        <f aca="false">H287*Paramètres!$L$79</f>
        <v>0</v>
      </c>
      <c r="I288" s="22" t="n">
        <f aca="false">I287*Paramètres!$L$79</f>
        <v>0</v>
      </c>
      <c r="J288" s="22" t="n">
        <f aca="false">J287*Paramètres!$L$79</f>
        <v>0</v>
      </c>
      <c r="K288" s="9"/>
    </row>
    <row r="289" customFormat="false" ht="15" hidden="false" customHeight="false" outlineLevel="0" collapsed="false">
      <c r="B289" s="7" t="s">
        <v>494</v>
      </c>
      <c r="C289" s="22" t="n">
        <f aca="false">MAX(0,C286-C287*(1-Paramètres!$L$79))</f>
        <v>0</v>
      </c>
      <c r="D289" s="22" t="n">
        <f aca="false">MAX(0,D286-D287*(1-Paramètres!$L$79))</f>
        <v>0</v>
      </c>
      <c r="E289" s="22" t="n">
        <f aca="false">MAX(0,E286-E287*(1-Paramètres!$L$79))</f>
        <v>0</v>
      </c>
      <c r="F289" s="22" t="n">
        <f aca="false">MAX(0,F286-F287*(1-Paramètres!$L$79))</f>
        <v>0</v>
      </c>
      <c r="G289" s="22" t="n">
        <f aca="false">MAX(0,G286-G287*(1-Paramètres!$L$79))</f>
        <v>0</v>
      </c>
      <c r="H289" s="22" t="n">
        <f aca="false">MAX(0,H286-H287*(1-Paramètres!$L$79))</f>
        <v>0</v>
      </c>
      <c r="I289" s="22" t="n">
        <f aca="false">MAX(0,I286-I287*(1-Paramètres!$L$79))</f>
        <v>0</v>
      </c>
      <c r="J289" s="22" t="n">
        <f aca="false">MAX(0,J286-J287*(1-Paramètres!$L$79))</f>
        <v>0</v>
      </c>
      <c r="K289" s="9" t="s">
        <v>495</v>
      </c>
    </row>
    <row r="290" customFormat="false" ht="22.35" hidden="false" customHeight="false" outlineLevel="0" collapsed="false">
      <c r="B290" s="7" t="s">
        <v>496</v>
      </c>
      <c r="C290" s="22" t="n">
        <f aca="false">C269-C277+C280*(1-Paramètres!$L$83)+C285+C287*(1-Paramètres!$L$79)+C289</f>
        <v>80000</v>
      </c>
      <c r="D290" s="22" t="n">
        <f aca="false">D269-D277+D280*(1-Paramètres!$L$83)+D285+D287*(1-Paramètres!$L$79)+D289</f>
        <v>64690.7085490291</v>
      </c>
      <c r="E290" s="22" t="n">
        <f aca="false">E269-E277+E280*(1-Paramètres!$L$83)+E285+E287*(1-Paramètres!$L$79)+E289</f>
        <v>52906.6195702176</v>
      </c>
      <c r="F290" s="22" t="n">
        <f aca="false">F269-F277+F280*(1-Paramètres!$L$83)+F285+F287*(1-Paramètres!$L$79)+F289</f>
        <v>48177.0759835679</v>
      </c>
      <c r="G290" s="22" t="n">
        <f aca="false">G269-G277+G280*(1-Paramètres!$L$83)+G285+G287*(1-Paramètres!$L$79)+G289</f>
        <v>114224.096917087</v>
      </c>
      <c r="H290" s="22" t="n">
        <f aca="false">H269-H277+H280*(1-Paramètres!$L$83)+H285+H287*(1-Paramètres!$L$79)+H289</f>
        <v>241820.167930297</v>
      </c>
      <c r="I290" s="22" t="n">
        <f aca="false">I269-I277+I280*(1-Paramètres!$L$83)+I285+I287*(1-Paramètres!$L$79)+I289</f>
        <v>515237.158005113</v>
      </c>
      <c r="J290" s="22" t="n">
        <f aca="false">J269-J277+J280*(1-Paramètres!$L$83)+J285+J287*(1-Paramètres!$L$79)+J289</f>
        <v>374322.807040915</v>
      </c>
      <c r="K290" s="9" t="s">
        <v>497</v>
      </c>
    </row>
    <row r="291" customFormat="false" ht="15" hidden="false" customHeight="false" outlineLevel="0" collapsed="false">
      <c r="B291" s="7" t="s">
        <v>498</v>
      </c>
      <c r="C291" s="22" t="n">
        <f aca="false">MAX(0,C290-Cash_cible*(C251+C252-C258))*Reinvest_actif</f>
        <v>0</v>
      </c>
      <c r="D291" s="22" t="n">
        <f aca="false">MAX(0,D290-Cash_cible*(D251+D252-D258))*Reinvest_actif</f>
        <v>0</v>
      </c>
      <c r="E291" s="22" t="n">
        <f aca="false">MAX(0,E290-Cash_cible*(E251+E252-E258))*Reinvest_actif</f>
        <v>0</v>
      </c>
      <c r="F291" s="22" t="n">
        <f aca="false">MAX(0,F290-Cash_cible*(F251+F252-F258))*Reinvest_actif</f>
        <v>0</v>
      </c>
      <c r="G291" s="22" t="n">
        <f aca="false">MAX(0,G290-Cash_cible*(G251+G252-G258))*Reinvest_actif</f>
        <v>0</v>
      </c>
      <c r="H291" s="22" t="n">
        <f aca="false">MAX(0,H290-Cash_cible*(H251+H252-H258))*Reinvest_actif</f>
        <v>0</v>
      </c>
      <c r="I291" s="22" t="n">
        <f aca="false">MAX(0,I290-Cash_cible*(I251+I252-I258))*Reinvest_actif</f>
        <v>251178.114527493</v>
      </c>
      <c r="J291" s="22" t="n">
        <f aca="false">MAX(0,J290-Cash_cible*(J251+J252-J258))*Reinvest_actif</f>
        <v>89854.5308826089</v>
      </c>
      <c r="K291" s="9" t="s">
        <v>499</v>
      </c>
    </row>
    <row r="292" customFormat="false" ht="15" hidden="false" customHeight="false" outlineLevel="0" collapsed="false">
      <c r="B292" s="7" t="s">
        <v>500</v>
      </c>
      <c r="C292" s="22" t="n">
        <f aca="false">MIN(C291,MAX(0,(Liq_cible-Cash_cible)*(C251+C252-C258)-(C268*(1+'MST Scénarios'!C95)-C280)))</f>
        <v>0</v>
      </c>
      <c r="D292" s="22" t="n">
        <f aca="false">MIN(D291,MAX(0,(Liq_cible-Cash_cible)*(D251+D252-D258)-(D268*(1+'MST Scénarios'!D95)-D280)))</f>
        <v>0</v>
      </c>
      <c r="E292" s="22" t="n">
        <f aca="false">MIN(E291,MAX(0,(Liq_cible-Cash_cible)*(E251+E252-E258)-(E268*(1+'MST Scénarios'!E95)-E280)))</f>
        <v>0</v>
      </c>
      <c r="F292" s="22" t="n">
        <f aca="false">MIN(F291,MAX(0,(Liq_cible-Cash_cible)*(F251+F252-F258)-(F268*(1+'MST Scénarios'!F95)-F280)))</f>
        <v>0</v>
      </c>
      <c r="G292" s="22" t="n">
        <f aca="false">MIN(G291,MAX(0,(Liq_cible-Cash_cible)*(G251+G252-G258)-(G268*(1+'MST Scénarios'!G95)-G280)))</f>
        <v>0</v>
      </c>
      <c r="H292" s="22" t="n">
        <f aca="false">MIN(H291,MAX(0,(Liq_cible-Cash_cible)*(H251+H252-H258)-(H268*(1+'MST Scénarios'!H95)-H280)))</f>
        <v>0</v>
      </c>
      <c r="I292" s="22" t="n">
        <f aca="false">MIN(I291,MAX(0,(Liq_cible-Cash_cible)*(I251+I252-I258)-(I268*(1+'MST Scénarios'!I95)-I280)))</f>
        <v>251178.114527493</v>
      </c>
      <c r="J292" s="22" t="n">
        <f aca="false">MIN(J291,MAX(0,(Liq_cible-Cash_cible)*(J251+J252-J258)-(J268*(1+'MST Scénarios'!J95)-J280)))</f>
        <v>89854.5308826089</v>
      </c>
      <c r="K292" s="9"/>
    </row>
    <row r="293" customFormat="false" ht="22.35" hidden="false" customHeight="false" outlineLevel="0" collapsed="false">
      <c r="B293" s="7" t="s">
        <v>501</v>
      </c>
      <c r="C293" s="22" t="n">
        <f aca="false">C291-C292</f>
        <v>0</v>
      </c>
      <c r="D293" s="22" t="n">
        <f aca="false">D291-D292</f>
        <v>0</v>
      </c>
      <c r="E293" s="22" t="n">
        <f aca="false">E291-E292</f>
        <v>0</v>
      </c>
      <c r="F293" s="22" t="n">
        <f aca="false">F291-F292</f>
        <v>0</v>
      </c>
      <c r="G293" s="22" t="n">
        <f aca="false">G291-G292</f>
        <v>0</v>
      </c>
      <c r="H293" s="22" t="n">
        <f aca="false">H291-H292</f>
        <v>0</v>
      </c>
      <c r="I293" s="22" t="n">
        <f aca="false">I291-I292</f>
        <v>0</v>
      </c>
      <c r="J293" s="22" t="n">
        <f aca="false">J291-J292</f>
        <v>0</v>
      </c>
      <c r="K293" s="9" t="s">
        <v>502</v>
      </c>
    </row>
    <row r="294" customFormat="false" ht="15" hidden="false" customHeight="false" outlineLevel="0" collapsed="false">
      <c r="B294" s="7" t="s">
        <v>503</v>
      </c>
      <c r="C294" s="22" t="n">
        <f aca="false">C290-C292-C293</f>
        <v>80000</v>
      </c>
      <c r="D294" s="22" t="n">
        <f aca="false">D290-D292-D293</f>
        <v>64690.7085490291</v>
      </c>
      <c r="E294" s="22" t="n">
        <f aca="false">E290-E292-E293</f>
        <v>52906.6195702176</v>
      </c>
      <c r="F294" s="22" t="n">
        <f aca="false">F290-F292-F293</f>
        <v>48177.0759835679</v>
      </c>
      <c r="G294" s="22" t="n">
        <f aca="false">G290-G292-G293</f>
        <v>114224.096917087</v>
      </c>
      <c r="H294" s="22" t="n">
        <f aca="false">H290-H292-H293</f>
        <v>241820.167930297</v>
      </c>
      <c r="I294" s="22" t="n">
        <f aca="false">I290-I292-I293</f>
        <v>264059.043477621</v>
      </c>
      <c r="J294" s="22" t="n">
        <f aca="false">J290-J292-J293</f>
        <v>284468.276158306</v>
      </c>
      <c r="K294" s="9"/>
    </row>
    <row r="296" customFormat="false" ht="22.35" hidden="false" customHeight="false" outlineLevel="0" collapsed="false">
      <c r="B296" s="7" t="s">
        <v>504</v>
      </c>
      <c r="C296" s="22" t="n">
        <f aca="false">C264*(1+'MST Scénarios'!C91)+C272*Paramètres!$E$68*Paramètres!$D$68/(Paramètres!$E$68*Paramètres!$D$68+Paramètres!$E$69*Paramètres!$D$69)-C264*Paramètres!$D$79/2*Paramètres!$C$141-C287*C264/(C264+C265)</f>
        <v>2343341.75654201</v>
      </c>
      <c r="D296" s="22" t="n">
        <f aca="false">D264*(1+'MST Scénarios'!D91)+D272*Paramètres!$E$68*Paramètres!$D$68/(Paramètres!$E$68*Paramètres!$D$68+Paramètres!$E$69*Paramètres!$D$69)-D264*Paramètres!$D$79/2*Paramètres!$D$141-D287*D264/(D264+D265)</f>
        <v>1559272.75078674</v>
      </c>
      <c r="E296" s="22" t="n">
        <f aca="false">E264*(1+'MST Scénarios'!E91)+E272*Paramètres!$E$68*Paramètres!$D$68/(Paramètres!$E$68*Paramètres!$D$68+Paramètres!$E$69*Paramètres!$D$69)-E264*Paramètres!$D$79/2*Paramètres!$E$141-E287*E264/(E264+E265)</f>
        <v>1027735.61239892</v>
      </c>
      <c r="F296" s="22" t="n">
        <f aca="false">F264*(1+'MST Scénarios'!F91)+F272*Paramètres!$E$68*Paramètres!$D$68/(Paramètres!$E$68*Paramètres!$D$68+Paramètres!$E$69*Paramètres!$D$69)-F264*Paramètres!$D$79/2*Paramètres!$F$141-F287*F264/(F264+F265)</f>
        <v>759580.899382108</v>
      </c>
      <c r="G296" s="22" t="n">
        <f aca="false">G264*(1+'MST Scénarios'!G91)+G272*Paramètres!$E$68*Paramètres!$D$68/(Paramètres!$E$68*Paramètres!$D$68+Paramètres!$E$69*Paramètres!$D$69)-G264*Paramètres!$D$79/2*Paramètres!$G$141-G287*G264/(G264+G265)</f>
        <v>866597.381629509</v>
      </c>
      <c r="H296" s="22" t="n">
        <f aca="false">H264*(1+'MST Scénarios'!H91)+H272*Paramètres!$E$68*Paramètres!$D$68/(Paramètres!$E$68*Paramètres!$D$68+Paramètres!$E$69*Paramètres!$D$69)-H264*Paramètres!$D$79/2*Paramètres!$H$141-H287*H264/(H264+H265)</f>
        <v>927483.542073497</v>
      </c>
      <c r="I296" s="22" t="n">
        <f aca="false">I264*(1+'MST Scénarios'!I91)+I272*Paramètres!$E$68*Paramètres!$D$68/(Paramètres!$E$68*Paramètres!$D$68+Paramètres!$E$69*Paramètres!$D$69)-I264*Paramètres!$D$79/2*Paramètres!$I$141-I287*I264/(I264+I265)</f>
        <v>989865.045261285</v>
      </c>
      <c r="J296" s="22" t="n">
        <f aca="false">J264*(1+'MST Scénarios'!J91)+J272*Paramètres!$E$68*Paramètres!$D$68/(Paramètres!$E$68*Paramètres!$D$68+Paramètres!$E$69*Paramètres!$D$69)-J264*Paramètres!$D$79/2*Paramètres!$J$141-J287*J264/(J264+J265)</f>
        <v>1053472.66327841</v>
      </c>
      <c r="K296" s="9" t="s">
        <v>505</v>
      </c>
    </row>
    <row r="297" customFormat="false" ht="15" hidden="false" customHeight="false" outlineLevel="0" collapsed="false">
      <c r="B297" s="7" t="s">
        <v>506</v>
      </c>
      <c r="C297" s="22" t="n">
        <f aca="false">C265*(1+'MST Scénarios'!C92)+C272*Paramètres!$E$69*Paramètres!$D$69/(Paramètres!$E$68*Paramètres!$D$68+Paramètres!$E$69*Paramètres!$D$69)-C265*Paramètres!$D$80/2*Paramètres!$C$141-C287*C265/(C264+C265)</f>
        <v>0</v>
      </c>
      <c r="D297" s="22" t="n">
        <f aca="false">D265*(1+'MST Scénarios'!D92)+D272*Paramètres!$E$69*Paramètres!$D$69/(Paramètres!$E$68*Paramètres!$D$68+Paramètres!$E$69*Paramètres!$D$69)-D265*Paramètres!$D$80/2*Paramètres!$D$141-D287*D265/(D264+D265)</f>
        <v>0</v>
      </c>
      <c r="E297" s="22" t="n">
        <f aca="false">E265*(1+'MST Scénarios'!E92)+E272*Paramètres!$E$69*Paramètres!$D$69/(Paramètres!$E$68*Paramètres!$D$68+Paramètres!$E$69*Paramètres!$D$69)-E265*Paramètres!$D$80/2*Paramètres!$E$141-E287*E265/(E264+E265)</f>
        <v>0</v>
      </c>
      <c r="F297" s="22" t="n">
        <f aca="false">F265*(1+'MST Scénarios'!F92)+F272*Paramètres!$E$69*Paramètres!$D$69/(Paramètres!$E$68*Paramètres!$D$68+Paramètres!$E$69*Paramètres!$D$69)-F265*Paramètres!$D$80/2*Paramètres!$F$141-F287*F265/(F264+F265)</f>
        <v>0</v>
      </c>
      <c r="G297" s="22" t="n">
        <f aca="false">G265*(1+'MST Scénarios'!G92)+G272*Paramètres!$E$69*Paramètres!$D$69/(Paramètres!$E$68*Paramètres!$D$68+Paramètres!$E$69*Paramètres!$D$69)-G265*Paramètres!$D$80/2*Paramètres!$G$141-G287*G265/(G264+G265)</f>
        <v>0</v>
      </c>
      <c r="H297" s="22" t="n">
        <f aca="false">H265*(1+'MST Scénarios'!H92)+H272*Paramètres!$E$69*Paramètres!$D$69/(Paramètres!$E$68*Paramètres!$D$68+Paramètres!$E$69*Paramètres!$D$69)-H265*Paramètres!$D$80/2*Paramètres!$H$141-H287*H265/(H264+H265)</f>
        <v>0</v>
      </c>
      <c r="I297" s="22" t="n">
        <f aca="false">I265*(1+'MST Scénarios'!I92)+I272*Paramètres!$E$69*Paramètres!$D$69/(Paramètres!$E$68*Paramètres!$D$68+Paramètres!$E$69*Paramètres!$D$69)-I265*Paramètres!$D$80/2*Paramètres!$I$141-I287*I265/(I264+I265)</f>
        <v>0</v>
      </c>
      <c r="J297" s="22" t="n">
        <f aca="false">J265*(1+'MST Scénarios'!J92)+J272*Paramètres!$E$69*Paramètres!$D$69/(Paramètres!$E$68*Paramètres!$D$68+Paramètres!$E$69*Paramètres!$D$69)-J265*Paramètres!$D$80/2*Paramètres!$J$141-J287*J265/(J264+J265)</f>
        <v>0</v>
      </c>
      <c r="K297" s="9"/>
    </row>
    <row r="298" customFormat="false" ht="22.35" hidden="false" customHeight="false" outlineLevel="0" collapsed="false">
      <c r="B298" s="7" t="s">
        <v>507</v>
      </c>
      <c r="C298" s="22" t="n">
        <f aca="false">C266*(1+'MST Scénarios'!C93)-C266*Paramètres!$D$81/2*Paramètres!$C$141-C285*C266/(C266+C267)+C293/2</f>
        <v>1967534.09111787</v>
      </c>
      <c r="D298" s="22" t="n">
        <f aca="false">D266*(1+'MST Scénarios'!D93)-D266*Paramètres!$D$81/2*Paramètres!$D$141-D285*D266/(D266+D267)+D293/2</f>
        <v>1933506.78088716</v>
      </c>
      <c r="E298" s="22" t="n">
        <f aca="false">E266*(1+'MST Scénarios'!E93)-E266*Paramètres!$D$81/2*Paramètres!$E$141-E285*E266/(E266+E267)+E293/2</f>
        <v>1985677.12935403</v>
      </c>
      <c r="F298" s="22" t="n">
        <f aca="false">F266*(1+'MST Scénarios'!F93)-F266*Paramètres!$D$81/2*Paramètres!$F$141-F285*F266/(F266+F267)+F293/2</f>
        <v>2047580.6746929</v>
      </c>
      <c r="G298" s="22" t="n">
        <f aca="false">G266*(1+'MST Scénarios'!G93)-G266*Paramètres!$D$81/2*Paramètres!$G$141-G285*G266/(G266+G267)+G293/2</f>
        <v>2102096.67571588</v>
      </c>
      <c r="H298" s="22" t="n">
        <f aca="false">H266*(1+'MST Scénarios'!H93)-H266*Paramètres!$D$81/2*Paramètres!$H$141-H285*H266/(H266+H267)+H293/2</f>
        <v>2154718.12104403</v>
      </c>
      <c r="I298" s="22" t="n">
        <f aca="false">I266*(1+'MST Scénarios'!I93)-I266*Paramètres!$D$81/2*Paramètres!$I$141-I285*I266/(I266+I267)+I293/2</f>
        <v>2203335.5158622</v>
      </c>
      <c r="J298" s="22" t="n">
        <f aca="false">J266*(1+'MST Scénarios'!J93)-J266*Paramètres!$D$81/2*Paramètres!$J$141-J285*J266/(J266+J267)+J293/2</f>
        <v>2349326.05686434</v>
      </c>
      <c r="K298" s="9" t="s">
        <v>508</v>
      </c>
    </row>
    <row r="299" customFormat="false" ht="15" hidden="false" customHeight="false" outlineLevel="0" collapsed="false">
      <c r="B299" s="7" t="s">
        <v>509</v>
      </c>
      <c r="C299" s="22" t="n">
        <f aca="false">C267*(1+'MST Scénarios'!C94)-C267*Paramètres!$D$82/2*Paramètres!$C$141-C285*C267/(C266+C267)+C293/2</f>
        <v>1866161.0562498</v>
      </c>
      <c r="D299" s="22" t="n">
        <f aca="false">D267*(1+'MST Scénarios'!D94)-D267*Paramètres!$D$82/2*Paramètres!$D$141-D285*D267/(D266+D267)+D293/2</f>
        <v>1733191.71679883</v>
      </c>
      <c r="E299" s="22" t="n">
        <f aca="false">E267*(1+'MST Scénarios'!E94)-E267*Paramètres!$D$82/2*Paramètres!$E$141-E285*E267/(E266+E267)+E293/2</f>
        <v>1751388.23703362</v>
      </c>
      <c r="F299" s="22" t="n">
        <f aca="false">F267*(1+'MST Scénarios'!F94)-F267*Paramètres!$D$82/2*Paramètres!$F$141-F285*F267/(F266+F267)+F293/2</f>
        <v>1782351.34950164</v>
      </c>
      <c r="G299" s="22" t="n">
        <f aca="false">G267*(1+'MST Scénarios'!G94)-G267*Paramètres!$D$82/2*Paramètres!$G$141-G285*G267/(G266+G267)+G293/2</f>
        <v>1807518.93567749</v>
      </c>
      <c r="H299" s="22" t="n">
        <f aca="false">H267*(1+'MST Scénarios'!H94)-H267*Paramètres!$D$82/2*Paramètres!$H$141-H285*H267/(H266+H267)+H293/2</f>
        <v>1828349.74900331</v>
      </c>
      <c r="I299" s="22" t="n">
        <f aca="false">I267*(1+'MST Scénarios'!I94)-I267*Paramètres!$D$82/2*Paramètres!$I$141-I285*I267/(I266+I267)+I293/2</f>
        <v>1842162.79127737</v>
      </c>
      <c r="J299" s="22" t="n">
        <f aca="false">J267*(1+'MST Scénarios'!J94)-J267*Paramètres!$D$82/2*Paramètres!$J$141-J285*J267/(J266+J267)+J293/2</f>
        <v>1933811.44918568</v>
      </c>
      <c r="K299" s="9"/>
    </row>
    <row r="300" customFormat="false" ht="15" hidden="false" customHeight="false" outlineLevel="0" collapsed="false">
      <c r="B300" s="7" t="s">
        <v>510</v>
      </c>
      <c r="C300" s="22" t="n">
        <f aca="false">C268*(1+'MST Scénarios'!C95)-C280+C292</f>
        <v>212033.950993222</v>
      </c>
      <c r="D300" s="22" t="n">
        <f aca="false">D268*(1+'MST Scénarios'!D95)-D280+D292</f>
        <v>0</v>
      </c>
      <c r="E300" s="22" t="n">
        <f aca="false">E268*(1+'MST Scénarios'!E95)-E280+E292</f>
        <v>0</v>
      </c>
      <c r="F300" s="22" t="n">
        <f aca="false">F268*(1+'MST Scénarios'!F95)-F280+F292</f>
        <v>0</v>
      </c>
      <c r="G300" s="22" t="n">
        <f aca="false">G268*(1+'MST Scénarios'!G95)-G280+G292</f>
        <v>0</v>
      </c>
      <c r="H300" s="22" t="n">
        <f aca="false">H268*(1+'MST Scénarios'!H95)-H280+H292</f>
        <v>0</v>
      </c>
      <c r="I300" s="22" t="n">
        <f aca="false">I268*(1+'MST Scénarios'!I95)-I280+I292</f>
        <v>251178.114527493</v>
      </c>
      <c r="J300" s="22" t="n">
        <f aca="false">J268*(1+'MST Scénarios'!J95)-J280+J292</f>
        <v>353440.275406693</v>
      </c>
      <c r="K300" s="9"/>
    </row>
    <row r="301" customFormat="false" ht="15" hidden="false" customHeight="false" outlineLevel="0" collapsed="false">
      <c r="B301" s="7" t="s">
        <v>511</v>
      </c>
      <c r="C301" s="22" t="n">
        <f aca="false">C270-C272-C287*C270/(C264+C265+C270)</f>
        <v>786733.630769231</v>
      </c>
      <c r="D301" s="22" t="n">
        <f aca="false">D270-D272-D287*D270/(D264+D265+D270)</f>
        <v>153495.376768117</v>
      </c>
      <c r="E301" s="22" t="n">
        <f aca="false">E270-E272-E287*E270/(E264+E265+E270)</f>
        <v>-66279.8499004534</v>
      </c>
      <c r="F301" s="22" t="n">
        <f aca="false">F270-F272-F287*F270/(F264+F265+F270)</f>
        <v>17857.3020815905</v>
      </c>
      <c r="G301" s="22" t="n">
        <f aca="false">G270-G272-G287*G270/(G264+G265+G270)</f>
        <v>0</v>
      </c>
      <c r="H301" s="22" t="n">
        <f aca="false">H270-H272-H287*H270/(H264+H265+H270)</f>
        <v>0</v>
      </c>
      <c r="I301" s="22" t="n">
        <f aca="false">I270-I272-I287*I270/(I264+I265+I270)</f>
        <v>0</v>
      </c>
      <c r="J301" s="22" t="n">
        <f aca="false">J270-J272-J287*J270/(J264+J265+J270)</f>
        <v>0</v>
      </c>
      <c r="K301" s="9" t="s">
        <v>512</v>
      </c>
    </row>
    <row r="302" customFormat="false" ht="15" hidden="false" customHeight="false" outlineLevel="0" collapsed="false">
      <c r="B302" s="7" t="s">
        <v>513</v>
      </c>
      <c r="C302" s="22" t="n">
        <f aca="false">C296+C297+C298+C299+C300+C294</f>
        <v>6469070.85490291</v>
      </c>
      <c r="D302" s="22" t="n">
        <f aca="false">D296+D297+D298+D299+D300+D294</f>
        <v>5290661.95702176</v>
      </c>
      <c r="E302" s="22" t="n">
        <f aca="false">E296+E297+E298+E299+E300+E294</f>
        <v>4817707.59835679</v>
      </c>
      <c r="F302" s="22" t="n">
        <f aca="false">F296+F297+F298+F299+F300+F294</f>
        <v>4637689.99956021</v>
      </c>
      <c r="G302" s="22" t="n">
        <f aca="false">G296+G297+G298+G299+G300+G294</f>
        <v>4890437.08993997</v>
      </c>
      <c r="H302" s="22" t="n">
        <f aca="false">H296+H297+H298+H299+H300+H294</f>
        <v>5152371.58005113</v>
      </c>
      <c r="I302" s="22" t="n">
        <f aca="false">I296+I297+I298+I299+I300+I294</f>
        <v>5550600.51040597</v>
      </c>
      <c r="J302" s="22" t="n">
        <f aca="false">J296+J297+J298+J299+J300+J294</f>
        <v>5974518.72089343</v>
      </c>
      <c r="K302" s="9" t="s">
        <v>514</v>
      </c>
    </row>
    <row r="303" customFormat="false" ht="22.35" hidden="false" customHeight="false" outlineLevel="0" collapsed="false">
      <c r="B303" s="7" t="s">
        <v>515</v>
      </c>
      <c r="C303" s="22" t="n">
        <f aca="false">ROUND(C302-(C251+C252-C258+C289-C275+C276+C264*'MST Scénarios'!C91+C265*'MST Scénarios'!C92+C266*'MST Scénarios'!C93+C267*'MST Scénarios'!C94+C268*'MST Scénarios'!C95-C281-C288),0)</f>
        <v>0</v>
      </c>
      <c r="D303" s="22" t="n">
        <f aca="false">ROUND(D302-(D251+D252-D258+D289-D275+D276+D264*'MST Scénarios'!D91+D265*'MST Scénarios'!D92+D266*'MST Scénarios'!D93+D267*'MST Scénarios'!D94+D268*'MST Scénarios'!D95-D281-D288),0)</f>
        <v>0</v>
      </c>
      <c r="E303" s="22" t="n">
        <f aca="false">ROUND(E302-(E251+E252-E258+E289-E275+E276+E264*'MST Scénarios'!E91+E265*'MST Scénarios'!E92+E266*'MST Scénarios'!E93+E267*'MST Scénarios'!E94+E268*'MST Scénarios'!E95-E281-E288),0)</f>
        <v>0</v>
      </c>
      <c r="F303" s="22" t="n">
        <f aca="false">ROUND(F302-(F251+F252-F258+F289-F275+F276+F264*'MST Scénarios'!F91+F265*'MST Scénarios'!F92+F266*'MST Scénarios'!F93+F267*'MST Scénarios'!F94+F268*'MST Scénarios'!F95-F281-F288),0)</f>
        <v>0</v>
      </c>
      <c r="G303" s="22" t="n">
        <f aca="false">ROUND(G302-(G251+G252-G258+G289-G275+G276+G264*'MST Scénarios'!G91+G265*'MST Scénarios'!G92+G266*'MST Scénarios'!G93+G267*'MST Scénarios'!G94+G268*'MST Scénarios'!G95-G281-G288),0)</f>
        <v>0</v>
      </c>
      <c r="H303" s="22" t="n">
        <f aca="false">ROUND(H302-(H251+H252-H258+H289-H275+H276+H264*'MST Scénarios'!H91+H265*'MST Scénarios'!H92+H266*'MST Scénarios'!H93+H267*'MST Scénarios'!H94+H268*'MST Scénarios'!H95-H281-H288),0)</f>
        <v>0</v>
      </c>
      <c r="I303" s="22" t="n">
        <f aca="false">ROUND(I302-(I251+I252-I258+I289-I275+I276+I264*'MST Scénarios'!I91+I265*'MST Scénarios'!I92+I266*'MST Scénarios'!I93+I267*'MST Scénarios'!I94+I268*'MST Scénarios'!I95-I281-I288),0)</f>
        <v>0</v>
      </c>
      <c r="J303" s="22" t="n">
        <f aca="false">ROUND(J302-(J251+J252-J258+J289-J275+J276+J264*'MST Scénarios'!J91+J265*'MST Scénarios'!J92+J266*'MST Scénarios'!J93+J267*'MST Scénarios'!J94+J268*'MST Scénarios'!J95-J281-J288),0)</f>
        <v>0</v>
      </c>
      <c r="K303" s="9" t="s">
        <v>516</v>
      </c>
    </row>
    <row r="305" customFormat="false" ht="15" hidden="false" customHeight="false" outlineLevel="0" collapsed="false">
      <c r="B305" s="7" t="s">
        <v>517</v>
      </c>
      <c r="C305" s="16" t="n">
        <f aca="false">(C294+C300)/C302</f>
        <v>0.0451431059488071</v>
      </c>
      <c r="D305" s="16" t="n">
        <f aca="false">(D294+D300)/D302</f>
        <v>0.0122273373491897</v>
      </c>
      <c r="E305" s="16" t="n">
        <f aca="false">(E294+E300)/E302</f>
        <v>0.0109817000077512</v>
      </c>
      <c r="F305" s="16" t="n">
        <f aca="false">(F294+F300)/F302</f>
        <v>0.0103881622075077</v>
      </c>
      <c r="G305" s="16" t="n">
        <f aca="false">(G294+G300)/G302</f>
        <v>0.0233566233071592</v>
      </c>
      <c r="H305" s="16" t="n">
        <f aca="false">(H294+H300)/H302</f>
        <v>0.0469337593714266</v>
      </c>
      <c r="I305" s="16" t="n">
        <f aca="false">(I294+I300)/I302</f>
        <v>0.0928254802411332</v>
      </c>
      <c r="J305" s="16" t="n">
        <f aca="false">(J294+J300)/J302</f>
        <v>0.106771537820139</v>
      </c>
      <c r="K305" s="9" t="s">
        <v>518</v>
      </c>
    </row>
    <row r="306" customFormat="false" ht="22.35" hidden="false" customHeight="false" outlineLevel="0" collapsed="false">
      <c r="B306" s="7" t="s">
        <v>519</v>
      </c>
      <c r="C306" s="36" t="n">
        <f aca="false">(C294+C300+2*C283+2*(C273+C274)-2*MIN(C301,NA_total*Appels_base*Paramètres!$D$146))/(2*Gate*C302)</f>
        <v>-0.690865904905111</v>
      </c>
      <c r="D306" s="36" t="n">
        <f aca="false">(D294+D300+2*D283+2*(D273+D274)-2*MIN(D301,NA_total*Appels_base*Paramètres!$E$146))/(2*Gate*D302)</f>
        <v>-0.40632745529915</v>
      </c>
      <c r="E306" s="36" t="n">
        <f aca="false">(E294+E300+2*E283+2*(E273+E274)-2*MIN(E301,NA_total*Appels_base*Paramètres!$F$146))/(2*Gate*E302)</f>
        <v>0.430401645986853</v>
      </c>
      <c r="F306" s="36" t="n">
        <f aca="false">(F294+F300+2*F283+2*(F273+F274)-2*MIN(F301,NA_total*Appels_base*Paramètres!$G$146))/(2*Gate*F302)</f>
        <v>0.369137883307676</v>
      </c>
      <c r="G306" s="36" t="n">
        <f aca="false">(G294+G300+2*G283+2*(G273+G274)-2*MIN(G301,NA_total*Appels_base*Paramètres!$H$146))/(2*Gate*G302)</f>
        <v>0.88338192353413</v>
      </c>
      <c r="H306" s="36" t="n">
        <f aca="false">(H294+H300+2*H283+2*(H273+H274)-2*MIN(H301,NA_total*Appels_base*Paramètres!$I$146))/(2*Gate*H302)</f>
        <v>1.26850336019875</v>
      </c>
      <c r="I306" s="36" t="n">
        <f aca="false">(I294+I300+2*I283+2*(I273+I274)-2*MIN(I301,NA_total*Appels_base*Paramètres!$J$146))/(2*Gate*I302)</f>
        <v>1.83949431554086</v>
      </c>
      <c r="J306" s="36" t="n">
        <f aca="false">(J294+J300+2*J283+2*(J273+J274)-2*MIN(J301,NA_total*Appels_base*Paramètres!$J$146))/(2*Gate*J302)</f>
        <v>2.07533613018544</v>
      </c>
      <c r="K306" s="9" t="s">
        <v>520</v>
      </c>
    </row>
    <row r="307" customFormat="false" ht="15" hidden="false" customHeight="false" outlineLevel="0" collapsed="false">
      <c r="B307" s="7" t="s">
        <v>166</v>
      </c>
      <c r="C307" s="32" t="n">
        <f aca="false">(C302+C301)/C302</f>
        <v>1.12161462571908</v>
      </c>
      <c r="D307" s="32" t="n">
        <f aca="false">(D302+D301)/D302</f>
        <v>1.02901250883444</v>
      </c>
      <c r="E307" s="32" t="n">
        <f aca="false">(E302+E301)/E302</f>
        <v>0.986242450678605</v>
      </c>
      <c r="F307" s="32" t="n">
        <f aca="false">(F302+F301)/F302</f>
        <v>1.00385047342174</v>
      </c>
      <c r="G307" s="32" t="n">
        <f aca="false">(G302+G301)/G302</f>
        <v>1</v>
      </c>
      <c r="H307" s="32" t="n">
        <f aca="false">(H302+H301)/H302</f>
        <v>1</v>
      </c>
      <c r="I307" s="32" t="n">
        <f aca="false">(I302+I301)/I302</f>
        <v>1</v>
      </c>
      <c r="J307" s="32" t="n">
        <f aca="false">(J302+J301)/J302</f>
        <v>1</v>
      </c>
      <c r="K307" s="9" t="s">
        <v>167</v>
      </c>
    </row>
    <row r="308" customFormat="false" ht="15" hidden="false" customHeight="false" outlineLevel="0" collapsed="false">
      <c r="B308" s="7" t="s">
        <v>521</v>
      </c>
      <c r="C308" s="16" t="n">
        <f aca="false">(C296*Paramètres!$H$79+C297*Paramètres!$H$80)/C302</f>
        <v>0.362237763212316</v>
      </c>
      <c r="D308" s="16" t="n">
        <f aca="false">(D296*Paramètres!$H$79+D297*Paramètres!$H$80)/D302</f>
        <v>0.294721674424364</v>
      </c>
      <c r="E308" s="16" t="n">
        <f aca="false">(E296*Paramètres!$H$79+E297*Paramètres!$H$80)/E302</f>
        <v>0.213324613712434</v>
      </c>
      <c r="F308" s="16" t="n">
        <f aca="false">(F296*Paramètres!$H$79+F297*Paramètres!$H$80)/F302</f>
        <v>0.16378431923094</v>
      </c>
      <c r="G308" s="16" t="n">
        <f aca="false">(G296*Paramètres!$H$79+G297*Paramètres!$H$80)/G302</f>
        <v>0.17720243931001</v>
      </c>
      <c r="H308" s="16" t="n">
        <f aca="false">(H296*Paramètres!$H$79+H297*Paramètres!$H$80)/H302</f>
        <v>0.180010996424348</v>
      </c>
      <c r="I308" s="16" t="n">
        <f aca="false">(I296*Paramètres!$H$79+I297*Paramètres!$H$80)/I302</f>
        <v>0.178334766374474</v>
      </c>
      <c r="J308" s="16" t="n">
        <f aca="false">(J296*Paramètres!$H$79+J297*Paramètres!$H$80)/J302</f>
        <v>0.176327619427206</v>
      </c>
      <c r="K308" s="9"/>
    </row>
    <row r="309" customFormat="false" ht="22.35" hidden="false" customHeight="false" outlineLevel="0" collapsed="false">
      <c r="B309" s="7" t="s">
        <v>522</v>
      </c>
      <c r="C309" s="27" t="n">
        <f aca="false">IF(AND(Paramètres!$C$136&lt;0.5,Paramètres!$C$141&lt;0.5,(1-Paramètres!$C$151)&lt;0.5*(1-Paramètres!$C$148)),1,0)</f>
        <v>1</v>
      </c>
      <c r="D309" s="27" t="n">
        <f aca="false">IF(AND(Paramètres!$D$136&lt;0.5,Paramètres!$D$141&lt;0.5,(1-Paramètres!$D$151)&lt;0.5*(1-Paramètres!$D$148)),1,0)</f>
        <v>1</v>
      </c>
      <c r="E309" s="27" t="n">
        <f aca="false">IF(AND(Paramètres!$E$136&lt;0.5,Paramètres!$E$141&lt;0.5,(1-Paramètres!$E$151)&lt;0.5*(1-Paramètres!$E$148)),1,0)</f>
        <v>1</v>
      </c>
      <c r="F309" s="27" t="n">
        <f aca="false">IF(AND(Paramètres!$F$136&lt;0.5,Paramètres!$F$141&lt;0.5,(1-Paramètres!$F$151)&lt;0.5*(1-Paramètres!$F$148)),1,0)</f>
        <v>1</v>
      </c>
      <c r="G309" s="27" t="n">
        <f aca="false">IF(AND(Paramètres!$G$136&lt;0.5,Paramètres!$G$141&lt;0.5,(1-Paramètres!$G$151)&lt;0.5*(1-Paramètres!$G$148)),1,0)</f>
        <v>0</v>
      </c>
      <c r="H309" s="27" t="n">
        <f aca="false">IF(AND(Paramètres!$H$136&lt;0.5,Paramètres!$H$141&lt;0.5,(1-Paramètres!$H$151)&lt;0.5*(1-Paramètres!$H$148)),1,0)</f>
        <v>0</v>
      </c>
      <c r="I309" s="27" t="n">
        <f aca="false">IF(AND(Paramètres!$I$136&lt;0.5,Paramètres!$I$141&lt;0.5,(1-Paramètres!$I$151)&lt;0.5*(1-Paramètres!$I$148)),1,0)</f>
        <v>0</v>
      </c>
      <c r="J309" s="27" t="n">
        <f aca="false">IF(AND(Paramètres!$J$136&lt;0.5,Paramètres!$J$141&lt;0.5,(1-Paramètres!$J$151)&lt;0.5*(1-Paramètres!$J$148)),1,0)</f>
        <v>0</v>
      </c>
      <c r="K309" s="9" t="s">
        <v>523</v>
      </c>
    </row>
    <row r="310" customFormat="false" ht="15" hidden="false" customHeight="false" outlineLevel="0" collapsed="false">
      <c r="B310" s="7" t="s">
        <v>524</v>
      </c>
      <c r="C310" s="37" t="str">
        <f aca="false">IF(OR(C257=1,C289&gt;1,C262&gt;S_file_rouge,C305&lt;S_poche_rouge,C306&lt;S_couv_rouge),"Rouge",IF(OR(C260=1,C305&lt;S_poche_orange,C306&lt;S_couv_orange,C309=1),"Orange","Vert"))</f>
        <v>Rouge</v>
      </c>
      <c r="D310" s="37" t="str">
        <f aca="false">IF(OR(D257=1,D289&gt;1,D262&gt;S_file_rouge,D305&lt;S_poche_rouge,D306&lt;S_couv_rouge),"Rouge",IF(OR(D260=1,D305&lt;S_poche_orange,D306&lt;S_couv_orange,D309=1),"Orange","Vert"))</f>
        <v>Rouge</v>
      </c>
      <c r="E310" s="37" t="str">
        <f aca="false">IF(OR(E257=1,E289&gt;1,E262&gt;S_file_rouge,E305&lt;S_poche_rouge,E306&lt;S_couv_rouge),"Rouge",IF(OR(E260=1,E305&lt;S_poche_orange,E306&lt;S_couv_orange,E309=1),"Orange","Vert"))</f>
        <v>Rouge</v>
      </c>
      <c r="F310" s="37" t="str">
        <f aca="false">IF(OR(F257=1,F289&gt;1,F262&gt;S_file_rouge,F305&lt;S_poche_rouge,F306&lt;S_couv_rouge),"Rouge",IF(OR(F260=1,F305&lt;S_poche_orange,F306&lt;S_couv_orange,F309=1),"Orange","Vert"))</f>
        <v>Rouge</v>
      </c>
      <c r="G310" s="37" t="str">
        <f aca="false">IF(OR(G257=1,G289&gt;1,G262&gt;S_file_rouge,G305&lt;S_poche_rouge,G306&lt;S_couv_rouge),"Rouge",IF(OR(G260=1,G305&lt;S_poche_orange,G306&lt;S_couv_orange,G309=1),"Orange","Vert"))</f>
        <v>Rouge</v>
      </c>
      <c r="H310" s="37" t="str">
        <f aca="false">IF(OR(H257=1,H289&gt;1,H262&gt;S_file_rouge,H305&lt;S_poche_rouge,H306&lt;S_couv_rouge),"Rouge",IF(OR(H260=1,H305&lt;S_poche_orange,H306&lt;S_couv_orange,H309=1),"Orange","Vert"))</f>
        <v>Rouge</v>
      </c>
      <c r="I310" s="37" t="str">
        <f aca="false">IF(OR(I257=1,I289&gt;1,I262&gt;S_file_rouge,I305&lt;S_poche_rouge,I306&lt;S_couv_rouge),"Rouge",IF(OR(I260=1,I305&lt;S_poche_orange,I306&lt;S_couv_orange,I309=1),"Orange","Vert"))</f>
        <v>Rouge</v>
      </c>
      <c r="J310" s="37" t="str">
        <f aca="false">IF(OR(J257=1,J289&gt;1,J262&gt;S_file_rouge,J305&lt;S_poche_rouge,J306&lt;S_couv_rouge),"Rouge",IF(OR(J260=1,J305&lt;S_poche_orange,J306&lt;S_couv_orange,J309=1),"Orange","Vert"))</f>
        <v>Rouge</v>
      </c>
      <c r="K310" s="9" t="s">
        <v>525</v>
      </c>
    </row>
    <row r="312" customFormat="false" ht="15.75" hidden="false" customHeight="true" outlineLevel="0" collapsed="false">
      <c r="B312" s="5" t="s">
        <v>526</v>
      </c>
      <c r="C312" s="6" t="s">
        <v>3</v>
      </c>
      <c r="D312" s="6"/>
      <c r="E312" s="6"/>
      <c r="F312" s="6"/>
      <c r="G312" s="6"/>
      <c r="H312" s="6"/>
      <c r="I312" s="6"/>
      <c r="J312" s="6"/>
      <c r="K312" s="6" t="s">
        <v>4</v>
      </c>
    </row>
    <row r="313" customFormat="false" ht="15" hidden="false" customHeight="false" outlineLevel="0" collapsed="false">
      <c r="B313" s="7" t="s">
        <v>338</v>
      </c>
      <c r="C313" s="10" t="n">
        <f aca="false">SUM(C260:J260)</f>
        <v>8</v>
      </c>
      <c r="K313" s="9"/>
    </row>
    <row r="314" customFormat="false" ht="15" hidden="false" customHeight="false" outlineLevel="0" collapsed="false">
      <c r="B314" s="7" t="s">
        <v>527</v>
      </c>
      <c r="C314" s="11" t="n">
        <f aca="false">MAX(C262:J262)</f>
        <v>1.02900295282479</v>
      </c>
      <c r="K314" s="9"/>
    </row>
    <row r="315" customFormat="false" ht="22.35" hidden="false" customHeight="false" outlineLevel="0" collapsed="false">
      <c r="B315" s="7" t="s">
        <v>528</v>
      </c>
      <c r="C315" s="11" t="n">
        <f aca="false">J262</f>
        <v>0.924759266806859</v>
      </c>
      <c r="K315" s="9" t="s">
        <v>529</v>
      </c>
    </row>
    <row r="316" customFormat="false" ht="15" hidden="false" customHeight="false" outlineLevel="0" collapsed="false">
      <c r="B316" s="7" t="s">
        <v>530</v>
      </c>
      <c r="C316" s="15" t="n">
        <f aca="false">IFERROR(INDEX(C250:J250,MATCH(1,C257:J257,0)),"-")</f>
        <v>47848</v>
      </c>
      <c r="K316" s="9"/>
    </row>
    <row r="317" customFormat="false" ht="15" hidden="false" customHeight="false" outlineLevel="0" collapsed="false">
      <c r="B317" s="7" t="s">
        <v>531</v>
      </c>
      <c r="C317" s="11" t="n">
        <f aca="false">MIN(C305:J305)</f>
        <v>0.0103881622075077</v>
      </c>
      <c r="K317" s="9"/>
    </row>
    <row r="318" customFormat="false" ht="15" hidden="false" customHeight="false" outlineLevel="0" collapsed="false">
      <c r="B318" s="7" t="s">
        <v>342</v>
      </c>
      <c r="C318" s="39" t="n">
        <f aca="false">MIN(C306:J306)</f>
        <v>-0.690865904905111</v>
      </c>
      <c r="K318" s="9"/>
    </row>
    <row r="319" customFormat="false" ht="15" hidden="false" customHeight="false" outlineLevel="0" collapsed="false">
      <c r="B319" s="7" t="s">
        <v>532</v>
      </c>
      <c r="C319" s="8" t="n">
        <f aca="false">SUM(C285:J285)</f>
        <v>549156.737046128</v>
      </c>
      <c r="K319" s="9"/>
    </row>
    <row r="320" customFormat="false" ht="15" hidden="false" customHeight="false" outlineLevel="0" collapsed="false">
      <c r="B320" s="7" t="s">
        <v>533</v>
      </c>
      <c r="C320" s="8" t="n">
        <f aca="false">SUM(C287:J287)</f>
        <v>1970793.58512373</v>
      </c>
      <c r="K320" s="9"/>
    </row>
    <row r="321" customFormat="false" ht="15" hidden="false" customHeight="false" outlineLevel="0" collapsed="false">
      <c r="B321" s="7" t="s">
        <v>534</v>
      </c>
      <c r="C321" s="8" t="n">
        <f aca="false">SUM(C281:J281)+SUM(C288:J288)</f>
        <v>728824.356503338</v>
      </c>
      <c r="K321" s="9"/>
    </row>
    <row r="322" customFormat="false" ht="15" hidden="false" customHeight="false" outlineLevel="0" collapsed="false">
      <c r="B322" s="7" t="s">
        <v>535</v>
      </c>
      <c r="C322" s="8" t="n">
        <f aca="false">SUM(C289:J289)</f>
        <v>0</v>
      </c>
      <c r="K322" s="9"/>
    </row>
    <row r="323" customFormat="false" ht="15" hidden="false" customHeight="false" outlineLevel="0" collapsed="false">
      <c r="B323" s="7" t="s">
        <v>536</v>
      </c>
      <c r="C323" s="11" t="n">
        <f aca="false">J302/AN_depart-1</f>
        <v>-0.253185159888321</v>
      </c>
      <c r="K323" s="9"/>
    </row>
    <row r="324" customFormat="false" ht="15" hidden="false" customHeight="false" outlineLevel="0" collapsed="false">
      <c r="B324" s="7" t="s">
        <v>537</v>
      </c>
      <c r="C324" s="15" t="n">
        <f aca="false">IFERROR(INDEX(C250:J250,MATCH(1,C309:J309,0)),"-")</f>
        <v>47118</v>
      </c>
      <c r="K324" s="9"/>
    </row>
    <row r="325" customFormat="false" ht="15" hidden="false" customHeight="false" outlineLevel="0" collapsed="false">
      <c r="B325" s="7" t="s">
        <v>125</v>
      </c>
      <c r="C325" s="13" t="n">
        <f aca="false">MAX(C307:J307)</f>
        <v>1.12161462571908</v>
      </c>
      <c r="K325" s="9"/>
    </row>
    <row r="326" customFormat="false" ht="15" hidden="false" customHeight="false" outlineLevel="0" collapsed="false">
      <c r="B326" s="7" t="s">
        <v>538</v>
      </c>
      <c r="C326" s="38" t="str">
        <f aca="false">IF(COUNTIF(C310:J310,"Rouge")&gt;0,"Rouge",IF(COUNTIF(C310:J310,"Orange")&gt;0,"Orange","Vert"))</f>
        <v>Rouge</v>
      </c>
      <c r="K326" s="9" t="s">
        <v>539</v>
      </c>
    </row>
  </sheetData>
  <mergeCells count="1">
    <mergeCell ref="B3:K3"/>
  </mergeCells>
  <conditionalFormatting sqref="C67:J67">
    <cfRule type="expression" priority="2" aboveAverage="0" equalAverage="0" bottom="0" percent="0" rank="0" text="" dxfId="0">
      <formula>LEFT(C67,4)="Vert"</formula>
    </cfRule>
    <cfRule type="expression" priority="3" aboveAverage="0" equalAverage="0" bottom="0" percent="0" rank="0" text="" dxfId="1">
      <formula>LEFT(C67,6)="Orange"</formula>
    </cfRule>
    <cfRule type="expression" priority="4" aboveAverage="0" equalAverage="0" bottom="0" percent="0" rank="0" text="" dxfId="2">
      <formula>LEFT(C67,5)="Rouge"</formula>
    </cfRule>
  </conditionalFormatting>
  <conditionalFormatting sqref="C83">
    <cfRule type="expression" priority="5" aboveAverage="0" equalAverage="0" bottom="0" percent="0" rank="0" text="" dxfId="0">
      <formula>LEFT(C83,4)="Vert"</formula>
    </cfRule>
    <cfRule type="expression" priority="6" aboveAverage="0" equalAverage="0" bottom="0" percent="0" rank="0" text="" dxfId="1">
      <formula>LEFT(C83,6)="Orange"</formula>
    </cfRule>
    <cfRule type="expression" priority="7" aboveAverage="0" equalAverage="0" bottom="0" percent="0" rank="0" text="" dxfId="2">
      <formula>LEFT(C83,5)="Rouge"</formula>
    </cfRule>
  </conditionalFormatting>
  <conditionalFormatting sqref="C148:J148">
    <cfRule type="expression" priority="8" aboveAverage="0" equalAverage="0" bottom="0" percent="0" rank="0" text="" dxfId="0">
      <formula>LEFT(C148,4)="Vert"</formula>
    </cfRule>
    <cfRule type="expression" priority="9" aboveAverage="0" equalAverage="0" bottom="0" percent="0" rank="0" text="" dxfId="1">
      <formula>LEFT(C148,6)="Orange"</formula>
    </cfRule>
    <cfRule type="expression" priority="10" aboveAverage="0" equalAverage="0" bottom="0" percent="0" rank="0" text="" dxfId="2">
      <formula>LEFT(C148,5)="Rouge"</formula>
    </cfRule>
  </conditionalFormatting>
  <conditionalFormatting sqref="C164">
    <cfRule type="expression" priority="11" aboveAverage="0" equalAverage="0" bottom="0" percent="0" rank="0" text="" dxfId="0">
      <formula>LEFT(C164,4)="Vert"</formula>
    </cfRule>
    <cfRule type="expression" priority="12" aboveAverage="0" equalAverage="0" bottom="0" percent="0" rank="0" text="" dxfId="1">
      <formula>LEFT(C164,6)="Orange"</formula>
    </cfRule>
    <cfRule type="expression" priority="13" aboveAverage="0" equalAverage="0" bottom="0" percent="0" rank="0" text="" dxfId="2">
      <formula>LEFT(C164,5)="Rouge"</formula>
    </cfRule>
  </conditionalFormatting>
  <conditionalFormatting sqref="C229:J229">
    <cfRule type="expression" priority="14" aboveAverage="0" equalAverage="0" bottom="0" percent="0" rank="0" text="" dxfId="0">
      <formula>LEFT(C229,4)="Vert"</formula>
    </cfRule>
    <cfRule type="expression" priority="15" aboveAverage="0" equalAverage="0" bottom="0" percent="0" rank="0" text="" dxfId="1">
      <formula>LEFT(C229,6)="Orange"</formula>
    </cfRule>
    <cfRule type="expression" priority="16" aboveAverage="0" equalAverage="0" bottom="0" percent="0" rank="0" text="" dxfId="2">
      <formula>LEFT(C229,5)="Rouge"</formula>
    </cfRule>
  </conditionalFormatting>
  <conditionalFormatting sqref="C245">
    <cfRule type="expression" priority="17" aboveAverage="0" equalAverage="0" bottom="0" percent="0" rank="0" text="" dxfId="0">
      <formula>LEFT(C245,4)="Vert"</formula>
    </cfRule>
    <cfRule type="expression" priority="18" aboveAverage="0" equalAverage="0" bottom="0" percent="0" rank="0" text="" dxfId="1">
      <formula>LEFT(C245,6)="Orange"</formula>
    </cfRule>
    <cfRule type="expression" priority="19" aboveAverage="0" equalAverage="0" bottom="0" percent="0" rank="0" text="" dxfId="2">
      <formula>LEFT(C245,5)="Rouge"</formula>
    </cfRule>
  </conditionalFormatting>
  <conditionalFormatting sqref="C310:J310">
    <cfRule type="expression" priority="20" aboveAverage="0" equalAverage="0" bottom="0" percent="0" rank="0" text="" dxfId="0">
      <formula>LEFT(C310,4)="Vert"</formula>
    </cfRule>
    <cfRule type="expression" priority="21" aboveAverage="0" equalAverage="0" bottom="0" percent="0" rank="0" text="" dxfId="1">
      <formula>LEFT(C310,6)="Orange"</formula>
    </cfRule>
    <cfRule type="expression" priority="22" aboveAverage="0" equalAverage="0" bottom="0" percent="0" rank="0" text="" dxfId="2">
      <formula>LEFT(C310,5)="Rouge"</formula>
    </cfRule>
  </conditionalFormatting>
  <conditionalFormatting sqref="C326">
    <cfRule type="expression" priority="23" aboveAverage="0" equalAverage="0" bottom="0" percent="0" rank="0" text="" dxfId="0">
      <formula>LEFT(C326,4)="Vert"</formula>
    </cfRule>
    <cfRule type="expression" priority="24" aboveAverage="0" equalAverage="0" bottom="0" percent="0" rank="0" text="" dxfId="1">
      <formula>LEFT(C326,6)="Orange"</formula>
    </cfRule>
    <cfRule type="expression" priority="25" aboveAverage="0" equalAverage="0" bottom="0" percent="0" rank="0" text="" dxfId="2">
      <formula>LEFT(C326,5)="Rouge"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P1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0" min="3" style="0" width="11"/>
    <col collapsed="false" customWidth="true" hidden="false" outlineLevel="0" max="11" min="11" style="0" width="3"/>
    <col collapsed="false" customWidth="true" hidden="false" outlineLevel="0" max="15" min="12" style="0" width="12"/>
    <col collapsed="false" customWidth="true" hidden="false" outlineLevel="0" max="16" min="16" style="0" width="34"/>
  </cols>
  <sheetData>
    <row r="2" customFormat="false" ht="15" hidden="false" customHeight="false" outlineLevel="0" collapsed="false">
      <c r="B2" s="1" t="s">
        <v>543</v>
      </c>
    </row>
    <row r="3" customFormat="false" ht="42" hidden="false" customHeight="true" outlineLevel="0" collapsed="false">
      <c r="B3" s="20" t="s">
        <v>544</v>
      </c>
      <c r="C3" s="20"/>
      <c r="D3" s="20"/>
      <c r="E3" s="20"/>
      <c r="F3" s="20"/>
      <c r="G3" s="20"/>
      <c r="H3" s="20"/>
      <c r="I3" s="20"/>
      <c r="J3" s="20"/>
      <c r="K3" s="20"/>
      <c r="L3" s="20"/>
      <c r="M3" s="20"/>
      <c r="N3" s="20"/>
      <c r="O3" s="20"/>
      <c r="P3" s="20"/>
    </row>
    <row r="5" customFormat="false" ht="18" hidden="false" customHeight="true" outlineLevel="0" collapsed="false">
      <c r="B5" s="3" t="s">
        <v>545</v>
      </c>
      <c r="C5" s="4"/>
      <c r="D5" s="4"/>
      <c r="E5" s="4"/>
      <c r="F5" s="4"/>
      <c r="G5" s="4"/>
      <c r="H5" s="4"/>
      <c r="I5" s="4"/>
      <c r="J5" s="4"/>
      <c r="K5" s="4"/>
      <c r="L5" s="4"/>
      <c r="M5" s="4"/>
      <c r="N5" s="4"/>
      <c r="O5" s="4"/>
      <c r="P5" s="4"/>
    </row>
    <row r="6" customFormat="false" ht="15.75" hidden="false" customHeight="true" outlineLevel="0" collapsed="false">
      <c r="B6" s="5" t="s">
        <v>546</v>
      </c>
      <c r="C6" s="6" t="s">
        <v>292</v>
      </c>
      <c r="D6" s="6" t="s">
        <v>293</v>
      </c>
      <c r="E6" s="6" t="s">
        <v>294</v>
      </c>
      <c r="F6" s="6" t="s">
        <v>295</v>
      </c>
      <c r="G6" s="6" t="s">
        <v>296</v>
      </c>
      <c r="H6" s="6" t="s">
        <v>297</v>
      </c>
      <c r="I6" s="6" t="s">
        <v>298</v>
      </c>
      <c r="J6" s="6" t="s">
        <v>299</v>
      </c>
      <c r="K6" s="6"/>
      <c r="L6" s="6"/>
      <c r="M6" s="6"/>
      <c r="N6" s="6"/>
      <c r="O6" s="6" t="s">
        <v>53</v>
      </c>
    </row>
    <row r="7" customFormat="false" ht="43.25" hidden="false" customHeight="false" outlineLevel="0" collapsed="false">
      <c r="B7" s="7" t="s">
        <v>547</v>
      </c>
      <c r="C7" s="16" t="n">
        <f aca="false">(Paramètres!$D$70*Paramètres!$F$70+Paramètres!$D$71*Paramètres!$F$71)*2*(1-CHOOSE(Reverse_flux,Paramètres!$C$148,Paramètres!$C$149,Paramètres!$C$150,Paramètres!$C$151))</f>
        <v>0.0343</v>
      </c>
      <c r="D7" s="16" t="n">
        <f aca="false">(Paramètres!$D$70*Paramètres!$F$70+Paramètres!$D$71*Paramètres!$F$71)*2*(1-CHOOSE(Reverse_flux,Paramètres!$D$148,Paramètres!$D$149,Paramètres!$D$150,Paramètres!$D$151))</f>
        <v>0.0343</v>
      </c>
      <c r="E7" s="16" t="n">
        <f aca="false">(Paramètres!$D$70*Paramètres!$F$70+Paramètres!$D$71*Paramètres!$F$71)*2*(1-CHOOSE(Reverse_flux,Paramètres!$E$148,Paramètres!$E$149,Paramètres!$E$150,Paramètres!$E$151))</f>
        <v>0.0343</v>
      </c>
      <c r="F7" s="16" t="n">
        <f aca="false">(Paramètres!$D$70*Paramètres!$F$70+Paramètres!$D$71*Paramètres!$F$71)*2*(1-CHOOSE(Reverse_flux,Paramètres!$F$148,Paramètres!$F$149,Paramètres!$F$150,Paramètres!$F$151))</f>
        <v>0.0343</v>
      </c>
      <c r="G7" s="16" t="n">
        <f aca="false">(Paramètres!$D$70*Paramètres!$F$70+Paramètres!$D$71*Paramètres!$F$71)*2*(1-CHOOSE(Reverse_flux,Paramètres!$G$148,Paramètres!$G$149,Paramètres!$G$150,Paramètres!$G$151))</f>
        <v>0.0343</v>
      </c>
      <c r="H7" s="16" t="n">
        <f aca="false">(Paramètres!$D$70*Paramètres!$F$70+Paramètres!$D$71*Paramètres!$F$71)*2*(1-CHOOSE(Reverse_flux,Paramètres!$H$148,Paramètres!$H$149,Paramètres!$H$150,Paramètres!$H$151))</f>
        <v>0.0343</v>
      </c>
      <c r="I7" s="16" t="n">
        <f aca="false">(Paramètres!$D$70*Paramètres!$F$70+Paramètres!$D$71*Paramètres!$F$71)*2*(1-CHOOSE(Reverse_flux,Paramètres!$I$148,Paramètres!$I$149,Paramètres!$I$150,Paramètres!$I$151))</f>
        <v>0.0343</v>
      </c>
      <c r="J7" s="16" t="n">
        <f aca="false">(Paramètres!$D$70*Paramètres!$F$70+Paramètres!$D$71*Paramètres!$F$71)*2*(1-CHOOSE(Reverse_flux,Paramètres!$J$148,Paramètres!$J$149,Paramètres!$J$150,Paramètres!$J$151))</f>
        <v>0.0343</v>
      </c>
      <c r="O7" s="9" t="s">
        <v>548</v>
      </c>
    </row>
    <row r="8" customFormat="false" ht="22.35" hidden="false" customHeight="false" outlineLevel="0" collapsed="false">
      <c r="B8" s="7" t="s">
        <v>549</v>
      </c>
      <c r="C8" s="16" t="n">
        <f aca="false">((Paramètres!$D$68*Paramètres!$D$79+Paramètres!$D$69*Paramètres!$D$80)+(Paramètres!$D$70*Paramètres!$D$81+Paramètres!$D$71*Paramètres!$D$82))/2*CHOOSE(Reverse_flux,Paramètres!$C$138,Paramètres!$C$139,Paramètres!$C$140,Paramètres!$C$141)</f>
        <v>0.019075</v>
      </c>
      <c r="D8" s="16" t="n">
        <f aca="false">((Paramètres!$D$68*Paramètres!$D$79+Paramètres!$D$69*Paramètres!$D$80)+(Paramètres!$D$70*Paramètres!$D$81+Paramètres!$D$71*Paramètres!$D$82))/2*CHOOSE(Reverse_flux,Paramètres!$D$138,Paramètres!$D$139,Paramètres!$D$140,Paramètres!$D$141)</f>
        <v>0.019075</v>
      </c>
      <c r="E8" s="16" t="n">
        <f aca="false">((Paramètres!$D$68*Paramètres!$D$79+Paramètres!$D$69*Paramètres!$D$80)+(Paramètres!$D$70*Paramètres!$D$81+Paramètres!$D$71*Paramètres!$D$82))/2*CHOOSE(Reverse_flux,Paramètres!$E$138,Paramètres!$E$139,Paramètres!$E$140,Paramètres!$E$141)</f>
        <v>0.019075</v>
      </c>
      <c r="F8" s="16" t="n">
        <f aca="false">((Paramètres!$D$68*Paramètres!$D$79+Paramètres!$D$69*Paramètres!$D$80)+(Paramètres!$D$70*Paramètres!$D$81+Paramètres!$D$71*Paramètres!$D$82))/2*CHOOSE(Reverse_flux,Paramètres!$F$138,Paramètres!$F$139,Paramètres!$F$140,Paramètres!$F$141)</f>
        <v>0.019075</v>
      </c>
      <c r="G8" s="16" t="n">
        <f aca="false">((Paramètres!$D$68*Paramètres!$D$79+Paramètres!$D$69*Paramètres!$D$80)+(Paramètres!$D$70*Paramètres!$D$81+Paramètres!$D$71*Paramètres!$D$82))/2*CHOOSE(Reverse_flux,Paramètres!$G$138,Paramètres!$G$139,Paramètres!$G$140,Paramètres!$G$141)</f>
        <v>0.019075</v>
      </c>
      <c r="H8" s="16" t="n">
        <f aca="false">((Paramètres!$D$68*Paramètres!$D$79+Paramètres!$D$69*Paramètres!$D$80)+(Paramètres!$D$70*Paramètres!$D$81+Paramètres!$D$71*Paramètres!$D$82))/2*CHOOSE(Reverse_flux,Paramètres!$H$138,Paramètres!$H$139,Paramètres!$H$140,Paramètres!$H$141)</f>
        <v>0.019075</v>
      </c>
      <c r="I8" s="16" t="n">
        <f aca="false">((Paramètres!$D$68*Paramètres!$D$79+Paramètres!$D$69*Paramètres!$D$80)+(Paramètres!$D$70*Paramètres!$D$81+Paramètres!$D$71*Paramètres!$D$82))/2*CHOOSE(Reverse_flux,Paramètres!$I$138,Paramètres!$I$139,Paramètres!$I$140,Paramètres!$I$141)</f>
        <v>0.019075</v>
      </c>
      <c r="J8" s="16" t="n">
        <f aca="false">((Paramètres!$D$68*Paramètres!$D$79+Paramètres!$D$69*Paramètres!$D$80)+(Paramètres!$D$70*Paramètres!$D$81+Paramètres!$D$71*Paramètres!$D$82))/2*CHOOSE(Reverse_flux,Paramètres!$J$138,Paramètres!$J$139,Paramètres!$J$140,Paramètres!$J$141)</f>
        <v>0.019075</v>
      </c>
      <c r="O8" s="9" t="s">
        <v>550</v>
      </c>
    </row>
    <row r="9" customFormat="false" ht="32.8" hidden="false" customHeight="false" outlineLevel="0" collapsed="false">
      <c r="B9" s="7" t="s">
        <v>551</v>
      </c>
      <c r="C9" s="16" t="n">
        <f aca="false">MIN(NA_total/AN_depart,NA_total/AN_depart*Appels_base*CHOOSE(Reverse_flux,Paramètres!$C$143,Paramètres!$C$144,Paramètres!$C$145,Paramètres!$C$146))</f>
        <v>0.025</v>
      </c>
      <c r="D9" s="16" t="n">
        <f aca="false">MIN(MAX(0,NA_total/AN_depart-SUM($C$9:C$9)),NA_total/AN_depart*Appels_base*CHOOSE(Reverse_flux,Paramètres!$D$143,Paramètres!$D$144,Paramètres!$D$145,Paramètres!$D$146))</f>
        <v>0.025</v>
      </c>
      <c r="E9" s="16" t="n">
        <f aca="false">MIN(MAX(0,NA_total/AN_depart-SUM($C$9:D$9)),NA_total/AN_depart*Appels_base*CHOOSE(Reverse_flux,Paramètres!$E$143,Paramètres!$E$144,Paramètres!$E$145,Paramètres!$E$146))</f>
        <v>0.025</v>
      </c>
      <c r="F9" s="16" t="n">
        <f aca="false">MIN(MAX(0,NA_total/AN_depart-SUM($C$9:E$9)),NA_total/AN_depart*Appels_base*CHOOSE(Reverse_flux,Paramètres!$F$143,Paramètres!$F$144,Paramètres!$F$145,Paramètres!$F$146))</f>
        <v>0.025</v>
      </c>
      <c r="G9" s="16" t="n">
        <f aca="false">MIN(MAX(0,NA_total/AN_depart-SUM($C$9:F$9)),NA_total/AN_depart*Appels_base*CHOOSE(Reverse_flux,Paramètres!$G$143,Paramètres!$G$144,Paramètres!$G$145,Paramètres!$G$146))</f>
        <v>0.025</v>
      </c>
      <c r="H9" s="16" t="n">
        <f aca="false">MIN(MAX(0,NA_total/AN_depart-SUM($C$9:G$9)),NA_total/AN_depart*Appels_base*CHOOSE(Reverse_flux,Paramètres!$H$143,Paramètres!$H$144,Paramètres!$H$145,Paramètres!$H$146))</f>
        <v>0.025</v>
      </c>
      <c r="I9" s="16" t="n">
        <f aca="false">MIN(MAX(0,NA_total/AN_depart-SUM($C$9:H$9)),NA_total/AN_depart*Appels_base*CHOOSE(Reverse_flux,Paramètres!$I$143,Paramètres!$I$144,Paramètres!$I$145,Paramètres!$I$146))</f>
        <v>0</v>
      </c>
      <c r="J9" s="16" t="n">
        <f aca="false">MIN(MAX(0,NA_total/AN_depart-SUM($C$9:I$9)),NA_total/AN_depart*Appels_base*CHOOSE(Reverse_flux,Paramètres!$J$143,Paramètres!$J$144,Paramètres!$J$145,Paramètres!$J$146))</f>
        <v>0</v>
      </c>
      <c r="O9" s="9" t="s">
        <v>552</v>
      </c>
    </row>
    <row r="10" customFormat="false" ht="15" hidden="false" customHeight="false" outlineLevel="0" collapsed="false">
      <c r="B10" s="7" t="s">
        <v>472</v>
      </c>
      <c r="C10" s="16" t="n">
        <f aca="false">Frais_an/2</f>
        <v>0.0162995</v>
      </c>
      <c r="D10" s="16" t="n">
        <f aca="false">Frais_an/2</f>
        <v>0.0162995</v>
      </c>
      <c r="E10" s="16" t="n">
        <f aca="false">Frais_an/2</f>
        <v>0.0162995</v>
      </c>
      <c r="F10" s="16" t="n">
        <f aca="false">Frais_an/2</f>
        <v>0.0162995</v>
      </c>
      <c r="G10" s="16" t="n">
        <f aca="false">Frais_an/2</f>
        <v>0.0162995</v>
      </c>
      <c r="H10" s="16" t="n">
        <f aca="false">Frais_an/2</f>
        <v>0.0162995</v>
      </c>
      <c r="I10" s="16" t="n">
        <f aca="false">Frais_an/2</f>
        <v>0.0162995</v>
      </c>
      <c r="J10" s="16" t="n">
        <f aca="false">Frais_an/2</f>
        <v>0.0162995</v>
      </c>
      <c r="O10" s="9"/>
    </row>
    <row r="11" customFormat="false" ht="43.25" hidden="false" customHeight="false" outlineLevel="0" collapsed="false">
      <c r="B11" s="7" t="s">
        <v>553</v>
      </c>
      <c r="C11" s="11" t="n">
        <f aca="false">C8-C9-C10</f>
        <v>-0.0222245</v>
      </c>
      <c r="D11" s="11" t="n">
        <f aca="false">D8-D9-D10</f>
        <v>-0.0222245</v>
      </c>
      <c r="E11" s="11" t="n">
        <f aca="false">E8-E9-E10</f>
        <v>-0.0222245</v>
      </c>
      <c r="F11" s="11" t="n">
        <f aca="false">F8-F9-F10</f>
        <v>-0.0222245</v>
      </c>
      <c r="G11" s="11" t="n">
        <f aca="false">G8-G9-G10</f>
        <v>-0.0222245</v>
      </c>
      <c r="H11" s="11" t="n">
        <f aca="false">H8-H9-H10</f>
        <v>-0.0222245</v>
      </c>
      <c r="I11" s="11" t="n">
        <f aca="false">I8-I9-I10</f>
        <v>0.0027755</v>
      </c>
      <c r="J11" s="11" t="n">
        <f aca="false">J8-J9-J10</f>
        <v>0.0027755</v>
      </c>
      <c r="O11" s="9" t="s">
        <v>554</v>
      </c>
    </row>
    <row r="13" customFormat="false" ht="18" hidden="false" customHeight="true" outlineLevel="0" collapsed="false">
      <c r="B13" s="3" t="s">
        <v>555</v>
      </c>
      <c r="C13" s="4"/>
      <c r="D13" s="4"/>
      <c r="E13" s="4"/>
      <c r="F13" s="4"/>
      <c r="G13" s="4"/>
      <c r="H13" s="4"/>
      <c r="I13" s="4"/>
      <c r="J13" s="4"/>
      <c r="K13" s="4"/>
      <c r="L13" s="4"/>
      <c r="M13" s="4"/>
      <c r="N13" s="4"/>
      <c r="O13" s="4"/>
      <c r="P13" s="4"/>
    </row>
    <row r="14" customFormat="false" ht="27.75" hidden="false" customHeight="true" outlineLevel="0" collapsed="false">
      <c r="B14" s="5" t="s">
        <v>556</v>
      </c>
      <c r="C14" s="6" t="s">
        <v>292</v>
      </c>
      <c r="D14" s="6" t="s">
        <v>293</v>
      </c>
      <c r="E14" s="6" t="s">
        <v>294</v>
      </c>
      <c r="F14" s="6" t="s">
        <v>295</v>
      </c>
      <c r="G14" s="6" t="s">
        <v>296</v>
      </c>
      <c r="H14" s="6" t="s">
        <v>297</v>
      </c>
      <c r="I14" s="6" t="s">
        <v>298</v>
      </c>
      <c r="J14" s="6" t="s">
        <v>299</v>
      </c>
      <c r="K14" s="6"/>
      <c r="L14" s="6" t="s">
        <v>557</v>
      </c>
      <c r="M14" s="6" t="s">
        <v>558</v>
      </c>
      <c r="N14" s="6" t="s">
        <v>559</v>
      </c>
      <c r="O14" s="6" t="s">
        <v>560</v>
      </c>
      <c r="P14" s="6" t="s">
        <v>414</v>
      </c>
    </row>
    <row r="15" customFormat="false" ht="15" hidden="false" customHeight="false" outlineLevel="0" collapsed="false">
      <c r="B15" s="40" t="n">
        <v>0.025</v>
      </c>
      <c r="L15" s="41" t="n">
        <f aca="false">J18</f>
        <v>0</v>
      </c>
      <c r="M15" s="41" t="n">
        <f aca="false">MIN(C22:J22)</f>
        <v>0.048153</v>
      </c>
      <c r="N15" s="41" t="n">
        <f aca="false">F23</f>
        <v>0</v>
      </c>
      <c r="O15" s="41" t="n">
        <f aca="false">J23</f>
        <v>0</v>
      </c>
      <c r="P15" s="7" t="str">
        <f aca="false">IF(AND($B$15&gt;Gate+0.0001,Reports_max&lt;8,Suspension_auto=1),"Rouge : suspension à la date "&amp;(Reports_max+1),IF(N15&gt;0.0001,"Rouge : cessions décotées",IF(M15&lt;S_poche_rouge,"Rouge : poche sous 5 %",IF(OR(M15&lt;S_poche_orange,$B$15&gt;Gate+0.0001),"Orange","Vert"))))</f>
        <v>Rouge : poche sous 5 %</v>
      </c>
    </row>
    <row r="16" customFormat="false" ht="15" hidden="false" customHeight="false" outlineLevel="0" collapsed="false">
      <c r="B16" s="9" t="s">
        <v>561</v>
      </c>
      <c r="C16" s="16" t="n">
        <f aca="false">$B$15</f>
        <v>0.025</v>
      </c>
      <c r="D16" s="16" t="n">
        <f aca="false">$B$15+C18</f>
        <v>0.025</v>
      </c>
      <c r="E16" s="16" t="n">
        <f aca="false">$B$15+D18</f>
        <v>0.025</v>
      </c>
      <c r="F16" s="16" t="n">
        <f aca="false">$B$15+E18</f>
        <v>0.025</v>
      </c>
      <c r="G16" s="16" t="n">
        <f aca="false">$B$15+F18</f>
        <v>0.025</v>
      </c>
      <c r="H16" s="16" t="n">
        <f aca="false">$B$15+G18</f>
        <v>0.025</v>
      </c>
      <c r="I16" s="16" t="n">
        <f aca="false">$B$15+H18</f>
        <v>0.025</v>
      </c>
      <c r="J16" s="16" t="n">
        <f aca="false">$B$15+I18</f>
        <v>0.025</v>
      </c>
    </row>
    <row r="17" customFormat="false" ht="15" hidden="false" customHeight="false" outlineLevel="0" collapsed="false">
      <c r="B17" s="9" t="s">
        <v>562</v>
      </c>
      <c r="C17" s="16" t="n">
        <f aca="false">IF(AND($B$15&gt;Gate+0.0001,1&gt;Reports_max,Suspension_auto=1),0,MIN(C16,Gate))</f>
        <v>0.025</v>
      </c>
      <c r="D17" s="16" t="n">
        <f aca="false">IF(AND($B$15&gt;Gate+0.0001,2&gt;Reports_max,Suspension_auto=1),0,MIN(D16,Gate))</f>
        <v>0.025</v>
      </c>
      <c r="E17" s="16" t="n">
        <f aca="false">IF(AND($B$15&gt;Gate+0.0001,3&gt;Reports_max,Suspension_auto=1),0,MIN(E16,Gate))</f>
        <v>0.025</v>
      </c>
      <c r="F17" s="16" t="n">
        <f aca="false">IF(AND($B$15&gt;Gate+0.0001,4&gt;Reports_max,Suspension_auto=1),0,MIN(F16,Gate))</f>
        <v>0.025</v>
      </c>
      <c r="G17" s="16" t="n">
        <f aca="false">IF(AND($B$15&gt;Gate+0.0001,5&gt;Reports_max,Suspension_auto=1),0,MIN(G16,Gate))</f>
        <v>0.025</v>
      </c>
      <c r="H17" s="16" t="n">
        <f aca="false">IF(AND($B$15&gt;Gate+0.0001,6&gt;Reports_max,Suspension_auto=1),0,MIN(H16,Gate))</f>
        <v>0.025</v>
      </c>
      <c r="I17" s="16" t="n">
        <f aca="false">IF(AND($B$15&gt;Gate+0.0001,7&gt;Reports_max,Suspension_auto=1),0,MIN(I16,Gate))</f>
        <v>0.025</v>
      </c>
      <c r="J17" s="16" t="n">
        <f aca="false">IF(AND($B$15&gt;Gate+0.0001,8&gt;Reports_max,Suspension_auto=1),0,MIN(J16,Gate))</f>
        <v>0.025</v>
      </c>
    </row>
    <row r="18" customFormat="false" ht="15" hidden="false" customHeight="false" outlineLevel="0" collapsed="false">
      <c r="B18" s="9" t="s">
        <v>563</v>
      </c>
      <c r="C18" s="16" t="n">
        <f aca="false">C16-C17</f>
        <v>0</v>
      </c>
      <c r="D18" s="16" t="n">
        <f aca="false">D16-D17</f>
        <v>0</v>
      </c>
      <c r="E18" s="16" t="n">
        <f aca="false">E16-E17</f>
        <v>0</v>
      </c>
      <c r="F18" s="16" t="n">
        <f aca="false">F16-F17</f>
        <v>0</v>
      </c>
      <c r="G18" s="16" t="n">
        <f aca="false">G16-G17</f>
        <v>0</v>
      </c>
      <c r="H18" s="16" t="n">
        <f aca="false">H16-H17</f>
        <v>0</v>
      </c>
      <c r="I18" s="16" t="n">
        <f aca="false">I16-I17</f>
        <v>0</v>
      </c>
      <c r="J18" s="16" t="n">
        <f aca="false">J16-J17</f>
        <v>0</v>
      </c>
    </row>
    <row r="19" customFormat="false" ht="15" hidden="false" customHeight="false" outlineLevel="0" collapsed="false">
      <c r="B19" s="9" t="s">
        <v>564</v>
      </c>
      <c r="C19" s="16" t="n">
        <f aca="false">W_cash+W_HY-C17+C11</f>
        <v>0.1127755</v>
      </c>
      <c r="D19" s="16" t="n">
        <f aca="false">C22-D17+D11</f>
        <v>0.065551</v>
      </c>
      <c r="E19" s="16" t="n">
        <f aca="false">D22-E17+E11</f>
        <v>0.0526265</v>
      </c>
      <c r="F19" s="16" t="n">
        <f aca="false">E22-F17+F11</f>
        <v>0.039702</v>
      </c>
      <c r="G19" s="16" t="n">
        <f aca="false">F22-G17+G11</f>
        <v>0.0267775</v>
      </c>
      <c r="H19" s="16" t="n">
        <f aca="false">G22-H17+H11</f>
        <v>0.013853</v>
      </c>
      <c r="I19" s="16" t="n">
        <f aca="false">H22-I17+I11</f>
        <v>0.0259285</v>
      </c>
      <c r="J19" s="16" t="n">
        <f aca="false">I22-J17+J11</f>
        <v>0.038004</v>
      </c>
    </row>
    <row r="20" customFormat="false" ht="15" hidden="false" customHeight="false" outlineLevel="0" collapsed="false">
      <c r="B20" s="9" t="s">
        <v>565</v>
      </c>
      <c r="C20" s="16" t="n">
        <f aca="false">MIN(C7,MAX(0,Poche_min_exec-C19))</f>
        <v>0</v>
      </c>
      <c r="D20" s="16" t="n">
        <f aca="false">MIN(D7,MAX(0,Poche_min_exec-D19))</f>
        <v>0.0343</v>
      </c>
      <c r="E20" s="16" t="n">
        <f aca="false">MIN(E7,MAX(0,Poche_min_exec-E19))</f>
        <v>0.0343</v>
      </c>
      <c r="F20" s="16" t="n">
        <f aca="false">MIN(F7,MAX(0,Poche_min_exec-F19))</f>
        <v>0.0343</v>
      </c>
      <c r="G20" s="16" t="n">
        <f aca="false">MIN(G7,MAX(0,Poche_min_exec-G19))</f>
        <v>0.0343</v>
      </c>
      <c r="H20" s="16" t="n">
        <f aca="false">MIN(H7,MAX(0,Poche_min_exec-H19))</f>
        <v>0.0343</v>
      </c>
      <c r="I20" s="16" t="n">
        <f aca="false">MIN(I7,MAX(0,Poche_min_exec-I19))</f>
        <v>0.0343</v>
      </c>
      <c r="J20" s="16" t="n">
        <f aca="false">MIN(J7,MAX(0,Poche_min_exec-J19))</f>
        <v>0.0343</v>
      </c>
    </row>
    <row r="21" customFormat="false" ht="15" hidden="false" customHeight="false" outlineLevel="0" collapsed="false">
      <c r="B21" s="9" t="s">
        <v>566</v>
      </c>
      <c r="C21" s="16" t="n">
        <f aca="false">IF(Cession_autorisee=1,MAX(0,Cash_min-(C19+C20))/(1-CHOOSE(Reverse_flux,Paramètres!$J$79,Paramètres!$J$79,Paramètres!$K$79,Paramètres!$L$79)),0)</f>
        <v>0</v>
      </c>
      <c r="D21" s="16" t="n">
        <f aca="false">IF(Cession_autorisee=1,MAX(0,Cash_min-(D19+D20))/(1-CHOOSE(Reverse_flux,Paramètres!$J$79,Paramètres!$J$79,Paramètres!$K$79,Paramètres!$L$79)),0)</f>
        <v>0</v>
      </c>
      <c r="E21" s="16" t="n">
        <f aca="false">IF(Cession_autorisee=1,MAX(0,Cash_min-(E19+E20))/(1-CHOOSE(Reverse_flux,Paramètres!$J$79,Paramètres!$J$79,Paramètres!$K$79,Paramètres!$L$79)),0)</f>
        <v>0</v>
      </c>
      <c r="F21" s="16" t="n">
        <f aca="false">IF(Cession_autorisee=1,MAX(0,Cash_min-(F19+F20))/(1-CHOOSE(Reverse_flux,Paramètres!$J$79,Paramètres!$J$79,Paramètres!$K$79,Paramètres!$L$79)),0)</f>
        <v>0</v>
      </c>
      <c r="G21" s="16" t="n">
        <f aca="false">IF(Cession_autorisee=1,MAX(0,Cash_min-(G19+G20))/(1-CHOOSE(Reverse_flux,Paramètres!$J$79,Paramètres!$J$79,Paramètres!$K$79,Paramètres!$L$79)),0)</f>
        <v>0</v>
      </c>
      <c r="H21" s="16" t="n">
        <f aca="false">IF(Cession_autorisee=1,MAX(0,Cash_min-(H19+H20))/(1-CHOOSE(Reverse_flux,Paramètres!$J$79,Paramètres!$J$79,Paramètres!$K$79,Paramètres!$L$79)),0)</f>
        <v>0</v>
      </c>
      <c r="I21" s="16" t="n">
        <f aca="false">IF(Cession_autorisee=1,MAX(0,Cash_min-(I19+I20))/(1-CHOOSE(Reverse_flux,Paramètres!$J$79,Paramètres!$J$79,Paramètres!$K$79,Paramètres!$L$79)),0)</f>
        <v>0</v>
      </c>
      <c r="J21" s="16" t="n">
        <f aca="false">IF(Cession_autorisee=1,MAX(0,Cash_min-(J19+J20))/(1-CHOOSE(Reverse_flux,Paramètres!$J$79,Paramètres!$J$79,Paramètres!$K$79,Paramètres!$L$79)),0)</f>
        <v>0</v>
      </c>
    </row>
    <row r="22" customFormat="false" ht="15" hidden="false" customHeight="false" outlineLevel="0" collapsed="false">
      <c r="B22" s="9" t="s">
        <v>567</v>
      </c>
      <c r="C22" s="16" t="n">
        <f aca="false">C19+C20+C21*(1-CHOOSE(Reverse_flux,Paramètres!$J$79,Paramètres!$J$79,Paramètres!$K$79,Paramètres!$L$79))</f>
        <v>0.1127755</v>
      </c>
      <c r="D22" s="16" t="n">
        <f aca="false">D19+D20+D21*(1-CHOOSE(Reverse_flux,Paramètres!$J$79,Paramètres!$J$79,Paramètres!$K$79,Paramètres!$L$79))</f>
        <v>0.099851</v>
      </c>
      <c r="E22" s="16" t="n">
        <f aca="false">E19+E20+E21*(1-CHOOSE(Reverse_flux,Paramètres!$J$79,Paramètres!$J$79,Paramètres!$K$79,Paramètres!$L$79))</f>
        <v>0.0869265</v>
      </c>
      <c r="F22" s="16" t="n">
        <f aca="false">F19+F20+F21*(1-CHOOSE(Reverse_flux,Paramètres!$J$79,Paramètres!$J$79,Paramètres!$K$79,Paramètres!$L$79))</f>
        <v>0.074002</v>
      </c>
      <c r="G22" s="16" t="n">
        <f aca="false">G19+G20+G21*(1-CHOOSE(Reverse_flux,Paramètres!$J$79,Paramètres!$J$79,Paramètres!$K$79,Paramètres!$L$79))</f>
        <v>0.0610775</v>
      </c>
      <c r="H22" s="16" t="n">
        <f aca="false">H19+H20+H21*(1-CHOOSE(Reverse_flux,Paramètres!$J$79,Paramètres!$J$79,Paramètres!$K$79,Paramètres!$L$79))</f>
        <v>0.048153</v>
      </c>
      <c r="I22" s="16" t="n">
        <f aca="false">I19+I20+I21*(1-CHOOSE(Reverse_flux,Paramètres!$J$79,Paramètres!$J$79,Paramètres!$K$79,Paramètres!$L$79))</f>
        <v>0.0602285</v>
      </c>
      <c r="J22" s="16" t="n">
        <f aca="false">J19+J20+J21*(1-CHOOSE(Reverse_flux,Paramètres!$J$79,Paramètres!$J$79,Paramètres!$K$79,Paramètres!$L$79))</f>
        <v>0.072304</v>
      </c>
    </row>
    <row r="23" customFormat="false" ht="15" hidden="false" customHeight="false" outlineLevel="0" collapsed="false">
      <c r="B23" s="9" t="s">
        <v>568</v>
      </c>
      <c r="C23" s="16" t="n">
        <f aca="false">SUM($C$21:C21)</f>
        <v>0</v>
      </c>
      <c r="D23" s="16" t="n">
        <f aca="false">SUM($C$21:D21)</f>
        <v>0</v>
      </c>
      <c r="E23" s="16" t="n">
        <f aca="false">SUM($C$21:E21)</f>
        <v>0</v>
      </c>
      <c r="F23" s="16" t="n">
        <f aca="false">SUM($C$21:F21)</f>
        <v>0</v>
      </c>
      <c r="G23" s="16" t="n">
        <f aca="false">SUM($C$21:G21)</f>
        <v>0</v>
      </c>
      <c r="H23" s="16" t="n">
        <f aca="false">SUM($C$21:H21)</f>
        <v>0</v>
      </c>
      <c r="I23" s="16" t="n">
        <f aca="false">SUM($C$21:I21)</f>
        <v>0</v>
      </c>
      <c r="J23" s="16" t="n">
        <f aca="false">SUM($C$21:J21)</f>
        <v>0</v>
      </c>
    </row>
    <row r="24" customFormat="false" ht="15" hidden="false" customHeight="false" outlineLevel="0" collapsed="false">
      <c r="B24" s="40" t="n">
        <v>0.05</v>
      </c>
      <c r="L24" s="41" t="n">
        <f aca="false">J27</f>
        <v>0</v>
      </c>
      <c r="M24" s="41" t="n">
        <f aca="false">MIN(C31:J31)</f>
        <v>0.01</v>
      </c>
      <c r="N24" s="41" t="n">
        <f aca="false">F32</f>
        <v>0.0279688235294118</v>
      </c>
      <c r="O24" s="41" t="n">
        <f aca="false">J32</f>
        <v>0.147613529411765</v>
      </c>
      <c r="P24" s="7" t="str">
        <f aca="false">IF(AND($B$24&gt;Gate+0.0001,Reports_max&lt;8,Suspension_auto=1),"Rouge : suspension à la date "&amp;(Reports_max+1),IF(N24&gt;0.0001,"Rouge : cessions décotées",IF(M24&lt;S_poche_rouge,"Rouge : poche sous 5 %",IF(OR(M24&lt;S_poche_orange,$B$24&gt;Gate+0.0001),"Orange","Vert"))))</f>
        <v>Rouge : cessions décotées</v>
      </c>
    </row>
    <row r="25" customFormat="false" ht="15" hidden="false" customHeight="false" outlineLevel="0" collapsed="false">
      <c r="B25" s="9" t="s">
        <v>561</v>
      </c>
      <c r="C25" s="16" t="n">
        <f aca="false">$B$24</f>
        <v>0.05</v>
      </c>
      <c r="D25" s="16" t="n">
        <f aca="false">$B$24+C27</f>
        <v>0.05</v>
      </c>
      <c r="E25" s="16" t="n">
        <f aca="false">$B$24+D27</f>
        <v>0.05</v>
      </c>
      <c r="F25" s="16" t="n">
        <f aca="false">$B$24+E27</f>
        <v>0.05</v>
      </c>
      <c r="G25" s="16" t="n">
        <f aca="false">$B$24+F27</f>
        <v>0.05</v>
      </c>
      <c r="H25" s="16" t="n">
        <f aca="false">$B$24+G27</f>
        <v>0.05</v>
      </c>
      <c r="I25" s="16" t="n">
        <f aca="false">$B$24+H27</f>
        <v>0.05</v>
      </c>
      <c r="J25" s="16" t="n">
        <f aca="false">$B$24+I27</f>
        <v>0.05</v>
      </c>
    </row>
    <row r="26" customFormat="false" ht="15" hidden="false" customHeight="false" outlineLevel="0" collapsed="false">
      <c r="B26" s="9" t="s">
        <v>562</v>
      </c>
      <c r="C26" s="16" t="n">
        <f aca="false">IF(AND($B$24&gt;Gate+0.0001,1&gt;Reports_max,Suspension_auto=1),0,MIN(C25,Gate))</f>
        <v>0.05</v>
      </c>
      <c r="D26" s="16" t="n">
        <f aca="false">IF(AND($B$24&gt;Gate+0.0001,2&gt;Reports_max,Suspension_auto=1),0,MIN(D25,Gate))</f>
        <v>0.05</v>
      </c>
      <c r="E26" s="16" t="n">
        <f aca="false">IF(AND($B$24&gt;Gate+0.0001,3&gt;Reports_max,Suspension_auto=1),0,MIN(E25,Gate))</f>
        <v>0.05</v>
      </c>
      <c r="F26" s="16" t="n">
        <f aca="false">IF(AND($B$24&gt;Gate+0.0001,4&gt;Reports_max,Suspension_auto=1),0,MIN(F25,Gate))</f>
        <v>0.05</v>
      </c>
      <c r="G26" s="16" t="n">
        <f aca="false">IF(AND($B$24&gt;Gate+0.0001,5&gt;Reports_max,Suspension_auto=1),0,MIN(G25,Gate))</f>
        <v>0.05</v>
      </c>
      <c r="H26" s="16" t="n">
        <f aca="false">IF(AND($B$24&gt;Gate+0.0001,6&gt;Reports_max,Suspension_auto=1),0,MIN(H25,Gate))</f>
        <v>0.05</v>
      </c>
      <c r="I26" s="16" t="n">
        <f aca="false">IF(AND($B$24&gt;Gate+0.0001,7&gt;Reports_max,Suspension_auto=1),0,MIN(I25,Gate))</f>
        <v>0.05</v>
      </c>
      <c r="J26" s="16" t="n">
        <f aca="false">IF(AND($B$24&gt;Gate+0.0001,8&gt;Reports_max,Suspension_auto=1),0,MIN(J25,Gate))</f>
        <v>0.05</v>
      </c>
    </row>
    <row r="27" customFormat="false" ht="15" hidden="false" customHeight="false" outlineLevel="0" collapsed="false">
      <c r="B27" s="9" t="s">
        <v>563</v>
      </c>
      <c r="C27" s="16" t="n">
        <f aca="false">C25-C26</f>
        <v>0</v>
      </c>
      <c r="D27" s="16" t="n">
        <f aca="false">D25-D26</f>
        <v>0</v>
      </c>
      <c r="E27" s="16" t="n">
        <f aca="false">E25-E26</f>
        <v>0</v>
      </c>
      <c r="F27" s="16" t="n">
        <f aca="false">F25-F26</f>
        <v>0</v>
      </c>
      <c r="G27" s="16" t="n">
        <f aca="false">G25-G26</f>
        <v>0</v>
      </c>
      <c r="H27" s="16" t="n">
        <f aca="false">H25-H26</f>
        <v>0</v>
      </c>
      <c r="I27" s="16" t="n">
        <f aca="false">I25-I26</f>
        <v>0</v>
      </c>
      <c r="J27" s="16" t="n">
        <f aca="false">J25-J26</f>
        <v>0</v>
      </c>
    </row>
    <row r="28" customFormat="false" ht="15" hidden="false" customHeight="false" outlineLevel="0" collapsed="false">
      <c r="B28" s="9" t="s">
        <v>564</v>
      </c>
      <c r="C28" s="16" t="n">
        <f aca="false">W_cash+W_HY-C26+C11</f>
        <v>0.0877755</v>
      </c>
      <c r="D28" s="16" t="n">
        <f aca="false">C31-D26+D11</f>
        <v>0.0277755</v>
      </c>
      <c r="E28" s="16" t="n">
        <f aca="false">D31-E26+E11</f>
        <v>-0.010149</v>
      </c>
      <c r="F28" s="16" t="n">
        <f aca="false">E31-F26+F11</f>
        <v>-0.0480735</v>
      </c>
      <c r="G28" s="16" t="n">
        <f aca="false">F31-G26+G11</f>
        <v>-0.0622245</v>
      </c>
      <c r="H28" s="16" t="n">
        <f aca="false">G31-H26+H11</f>
        <v>-0.0622245</v>
      </c>
      <c r="I28" s="16" t="n">
        <f aca="false">H31-I26+I11</f>
        <v>-0.0372245</v>
      </c>
      <c r="J28" s="16" t="n">
        <f aca="false">I31-J26+J11</f>
        <v>-0.0372245</v>
      </c>
    </row>
    <row r="29" customFormat="false" ht="15" hidden="false" customHeight="false" outlineLevel="0" collapsed="false">
      <c r="B29" s="9" t="s">
        <v>565</v>
      </c>
      <c r="C29" s="16" t="n">
        <f aca="false">MIN(C7,MAX(0,Poche_min_exec-C28))</f>
        <v>0.0122245</v>
      </c>
      <c r="D29" s="16" t="n">
        <f aca="false">MIN(D7,MAX(0,Poche_min_exec-D28))</f>
        <v>0.0343</v>
      </c>
      <c r="E29" s="16" t="n">
        <f aca="false">MIN(E7,MAX(0,Poche_min_exec-E28))</f>
        <v>0.0343</v>
      </c>
      <c r="F29" s="16" t="n">
        <f aca="false">MIN(F7,MAX(0,Poche_min_exec-F28))</f>
        <v>0.0343</v>
      </c>
      <c r="G29" s="16" t="n">
        <f aca="false">MIN(G7,MAX(0,Poche_min_exec-G28))</f>
        <v>0.0343</v>
      </c>
      <c r="H29" s="16" t="n">
        <f aca="false">MIN(H7,MAX(0,Poche_min_exec-H28))</f>
        <v>0.0343</v>
      </c>
      <c r="I29" s="16" t="n">
        <f aca="false">MIN(I7,MAX(0,Poche_min_exec-I28))</f>
        <v>0.0343</v>
      </c>
      <c r="J29" s="16" t="n">
        <f aca="false">MIN(J7,MAX(0,Poche_min_exec-J28))</f>
        <v>0.0343</v>
      </c>
    </row>
    <row r="30" customFormat="false" ht="15" hidden="false" customHeight="false" outlineLevel="0" collapsed="false">
      <c r="B30" s="9" t="s">
        <v>566</v>
      </c>
      <c r="C30" s="16" t="n">
        <f aca="false">IF(Cession_autorisee=1,MAX(0,Cash_min-(C28+C29))/(1-CHOOSE(Reverse_flux,Paramètres!$J$79,Paramètres!$J$79,Paramètres!$K$79,Paramètres!$L$79)),0)</f>
        <v>0</v>
      </c>
      <c r="D30" s="16" t="n">
        <f aca="false">IF(Cession_autorisee=1,MAX(0,Cash_min-(D28+D29))/(1-CHOOSE(Reverse_flux,Paramètres!$J$79,Paramètres!$J$79,Paramètres!$K$79,Paramètres!$L$79)),0)</f>
        <v>0</v>
      </c>
      <c r="E30" s="16" t="n">
        <f aca="false">IF(Cession_autorisee=1,MAX(0,Cash_min-(E28+E29))/(1-CHOOSE(Reverse_flux,Paramètres!$J$79,Paramètres!$J$79,Paramètres!$K$79,Paramètres!$L$79)),0)</f>
        <v>0</v>
      </c>
      <c r="F30" s="16" t="n">
        <f aca="false">IF(Cession_autorisee=1,MAX(0,Cash_min-(F28+F29))/(1-CHOOSE(Reverse_flux,Paramètres!$J$79,Paramètres!$J$79,Paramètres!$K$79,Paramètres!$L$79)),0)</f>
        <v>0.0279688235294118</v>
      </c>
      <c r="G30" s="16" t="n">
        <f aca="false">IF(Cession_autorisee=1,MAX(0,Cash_min-(G28+G29))/(1-CHOOSE(Reverse_flux,Paramètres!$J$79,Paramètres!$J$79,Paramètres!$K$79,Paramètres!$L$79)),0)</f>
        <v>0.0446170588235294</v>
      </c>
      <c r="H30" s="16" t="n">
        <f aca="false">IF(Cession_autorisee=1,MAX(0,Cash_min-(H28+H29))/(1-CHOOSE(Reverse_flux,Paramètres!$J$79,Paramètres!$J$79,Paramètres!$K$79,Paramètres!$L$79)),0)</f>
        <v>0.0446170588235294</v>
      </c>
      <c r="I30" s="16" t="n">
        <f aca="false">IF(Cession_autorisee=1,MAX(0,Cash_min-(I28+I29))/(1-CHOOSE(Reverse_flux,Paramètres!$J$79,Paramètres!$J$79,Paramètres!$K$79,Paramètres!$L$79)),0)</f>
        <v>0.0152052941176471</v>
      </c>
      <c r="J30" s="16" t="n">
        <f aca="false">IF(Cession_autorisee=1,MAX(0,Cash_min-(J28+J29))/(1-CHOOSE(Reverse_flux,Paramètres!$J$79,Paramètres!$J$79,Paramètres!$K$79,Paramètres!$L$79)),0)</f>
        <v>0.0152052941176471</v>
      </c>
    </row>
    <row r="31" customFormat="false" ht="15" hidden="false" customHeight="false" outlineLevel="0" collapsed="false">
      <c r="B31" s="9" t="s">
        <v>567</v>
      </c>
      <c r="C31" s="16" t="n">
        <f aca="false">C28+C29+C30*(1-CHOOSE(Reverse_flux,Paramètres!$J$79,Paramètres!$J$79,Paramètres!$K$79,Paramètres!$L$79))</f>
        <v>0.1</v>
      </c>
      <c r="D31" s="16" t="n">
        <f aca="false">D28+D29+D30*(1-CHOOSE(Reverse_flux,Paramètres!$J$79,Paramètres!$J$79,Paramètres!$K$79,Paramètres!$L$79))</f>
        <v>0.0620755</v>
      </c>
      <c r="E31" s="16" t="n">
        <f aca="false">E28+E29+E30*(1-CHOOSE(Reverse_flux,Paramètres!$J$79,Paramètres!$J$79,Paramètres!$K$79,Paramètres!$L$79))</f>
        <v>0.024151</v>
      </c>
      <c r="F31" s="16" t="n">
        <f aca="false">F28+F29+F30*(1-CHOOSE(Reverse_flux,Paramètres!$J$79,Paramètres!$J$79,Paramètres!$K$79,Paramètres!$L$79))</f>
        <v>0.01</v>
      </c>
      <c r="G31" s="16" t="n">
        <f aca="false">G28+G29+G30*(1-CHOOSE(Reverse_flux,Paramètres!$J$79,Paramètres!$J$79,Paramètres!$K$79,Paramètres!$L$79))</f>
        <v>0.01</v>
      </c>
      <c r="H31" s="16" t="n">
        <f aca="false">H28+H29+H30*(1-CHOOSE(Reverse_flux,Paramètres!$J$79,Paramètres!$J$79,Paramètres!$K$79,Paramètres!$L$79))</f>
        <v>0.01</v>
      </c>
      <c r="I31" s="16" t="n">
        <f aca="false">I28+I29+I30*(1-CHOOSE(Reverse_flux,Paramètres!$J$79,Paramètres!$J$79,Paramètres!$K$79,Paramètres!$L$79))</f>
        <v>0.01</v>
      </c>
      <c r="J31" s="16" t="n">
        <f aca="false">J28+J29+J30*(1-CHOOSE(Reverse_flux,Paramètres!$J$79,Paramètres!$J$79,Paramètres!$K$79,Paramètres!$L$79))</f>
        <v>0.01</v>
      </c>
    </row>
    <row r="32" customFormat="false" ht="15" hidden="false" customHeight="false" outlineLevel="0" collapsed="false">
      <c r="B32" s="9" t="s">
        <v>568</v>
      </c>
      <c r="C32" s="16" t="n">
        <f aca="false">SUM($C$30:C30)</f>
        <v>0</v>
      </c>
      <c r="D32" s="16" t="n">
        <f aca="false">SUM($C$30:D30)</f>
        <v>0</v>
      </c>
      <c r="E32" s="16" t="n">
        <f aca="false">SUM($C$30:E30)</f>
        <v>0</v>
      </c>
      <c r="F32" s="16" t="n">
        <f aca="false">SUM($C$30:F30)</f>
        <v>0.0279688235294118</v>
      </c>
      <c r="G32" s="16" t="n">
        <f aca="false">SUM($C$30:G30)</f>
        <v>0.0725858823529412</v>
      </c>
      <c r="H32" s="16" t="n">
        <f aca="false">SUM($C$30:H30)</f>
        <v>0.117202941176471</v>
      </c>
      <c r="I32" s="16" t="n">
        <f aca="false">SUM($C$30:I30)</f>
        <v>0.132408235294118</v>
      </c>
      <c r="J32" s="16" t="n">
        <f aca="false">SUM($C$30:J30)</f>
        <v>0.147613529411765</v>
      </c>
    </row>
    <row r="33" customFormat="false" ht="15" hidden="false" customHeight="false" outlineLevel="0" collapsed="false">
      <c r="B33" s="40" t="n">
        <v>0.075</v>
      </c>
      <c r="L33" s="41" t="n">
        <f aca="false">J36</f>
        <v>0.4</v>
      </c>
      <c r="M33" s="41" t="n">
        <f aca="false">MIN(C40:J40)</f>
        <v>0.01</v>
      </c>
      <c r="N33" s="41" t="n">
        <f aca="false">F41</f>
        <v>0.0279688235294118</v>
      </c>
      <c r="O33" s="41" t="n">
        <f aca="false">J41</f>
        <v>0.0279688235294118</v>
      </c>
      <c r="P33" s="7" t="str">
        <f aca="false">IF(AND($B$33&gt;Gate+0.0001,Reports_max&lt;8,Suspension_auto=1),"Rouge : suspension à la date "&amp;(Reports_max+1),IF(N33&gt;0.0001,"Rouge : cessions décotées",IF(M33&lt;S_poche_rouge,"Rouge : poche sous 5 %",IF(OR(M33&lt;S_poche_orange,$B$33&gt;Gate+0.0001),"Orange","Vert"))))</f>
        <v>Rouge : suspension à la date 5</v>
      </c>
    </row>
    <row r="34" customFormat="false" ht="15" hidden="false" customHeight="false" outlineLevel="0" collapsed="false">
      <c r="B34" s="9" t="s">
        <v>561</v>
      </c>
      <c r="C34" s="16" t="n">
        <f aca="false">$B$33</f>
        <v>0.075</v>
      </c>
      <c r="D34" s="16" t="n">
        <f aca="false">$B$33+C36</f>
        <v>0.1</v>
      </c>
      <c r="E34" s="16" t="n">
        <f aca="false">$B$33+D36</f>
        <v>0.125</v>
      </c>
      <c r="F34" s="16" t="n">
        <f aca="false">$B$33+E36</f>
        <v>0.15</v>
      </c>
      <c r="G34" s="16" t="n">
        <f aca="false">$B$33+F36</f>
        <v>0.175</v>
      </c>
      <c r="H34" s="16" t="n">
        <f aca="false">$B$33+G36</f>
        <v>0.25</v>
      </c>
      <c r="I34" s="16" t="n">
        <f aca="false">$B$33+H36</f>
        <v>0.325</v>
      </c>
      <c r="J34" s="16" t="n">
        <f aca="false">$B$33+I36</f>
        <v>0.4</v>
      </c>
    </row>
    <row r="35" customFormat="false" ht="15" hidden="false" customHeight="false" outlineLevel="0" collapsed="false">
      <c r="B35" s="9" t="s">
        <v>562</v>
      </c>
      <c r="C35" s="16" t="n">
        <f aca="false">IF(AND($B$33&gt;Gate+0.0001,1&gt;Reports_max,Suspension_auto=1),0,MIN(C34,Gate))</f>
        <v>0.05</v>
      </c>
      <c r="D35" s="16" t="n">
        <f aca="false">IF(AND($B$33&gt;Gate+0.0001,2&gt;Reports_max,Suspension_auto=1),0,MIN(D34,Gate))</f>
        <v>0.05</v>
      </c>
      <c r="E35" s="16" t="n">
        <f aca="false">IF(AND($B$33&gt;Gate+0.0001,3&gt;Reports_max,Suspension_auto=1),0,MIN(E34,Gate))</f>
        <v>0.05</v>
      </c>
      <c r="F35" s="16" t="n">
        <f aca="false">IF(AND($B$33&gt;Gate+0.0001,4&gt;Reports_max,Suspension_auto=1),0,MIN(F34,Gate))</f>
        <v>0.05</v>
      </c>
      <c r="G35" s="16" t="n">
        <f aca="false">IF(AND($B$33&gt;Gate+0.0001,5&gt;Reports_max,Suspension_auto=1),0,MIN(G34,Gate))</f>
        <v>0</v>
      </c>
      <c r="H35" s="16" t="n">
        <f aca="false">IF(AND($B$33&gt;Gate+0.0001,6&gt;Reports_max,Suspension_auto=1),0,MIN(H34,Gate))</f>
        <v>0</v>
      </c>
      <c r="I35" s="16" t="n">
        <f aca="false">IF(AND($B$33&gt;Gate+0.0001,7&gt;Reports_max,Suspension_auto=1),0,MIN(I34,Gate))</f>
        <v>0</v>
      </c>
      <c r="J35" s="16" t="n">
        <f aca="false">IF(AND($B$33&gt;Gate+0.0001,8&gt;Reports_max,Suspension_auto=1),0,MIN(J34,Gate))</f>
        <v>0</v>
      </c>
    </row>
    <row r="36" customFormat="false" ht="15" hidden="false" customHeight="false" outlineLevel="0" collapsed="false">
      <c r="B36" s="9" t="s">
        <v>563</v>
      </c>
      <c r="C36" s="16" t="n">
        <f aca="false">C34-C35</f>
        <v>0.025</v>
      </c>
      <c r="D36" s="16" t="n">
        <f aca="false">D34-D35</f>
        <v>0.05</v>
      </c>
      <c r="E36" s="16" t="n">
        <f aca="false">E34-E35</f>
        <v>0.075</v>
      </c>
      <c r="F36" s="16" t="n">
        <f aca="false">F34-F35</f>
        <v>0.1</v>
      </c>
      <c r="G36" s="16" t="n">
        <f aca="false">G34-G35</f>
        <v>0.175</v>
      </c>
      <c r="H36" s="16" t="n">
        <f aca="false">H34-H35</f>
        <v>0.25</v>
      </c>
      <c r="I36" s="16" t="n">
        <f aca="false">I34-I35</f>
        <v>0.325</v>
      </c>
      <c r="J36" s="16" t="n">
        <f aca="false">J34-J35</f>
        <v>0.4</v>
      </c>
    </row>
    <row r="37" customFormat="false" ht="15" hidden="false" customHeight="false" outlineLevel="0" collapsed="false">
      <c r="B37" s="9" t="s">
        <v>564</v>
      </c>
      <c r="C37" s="16" t="n">
        <f aca="false">W_cash+W_HY-C35+C11</f>
        <v>0.0877755</v>
      </c>
      <c r="D37" s="16" t="n">
        <f aca="false">C40-D35+D11</f>
        <v>0.0277755</v>
      </c>
      <c r="E37" s="16" t="n">
        <f aca="false">D40-E35+E11</f>
        <v>-0.010149</v>
      </c>
      <c r="F37" s="16" t="n">
        <f aca="false">E40-F35+F11</f>
        <v>-0.0480735</v>
      </c>
      <c r="G37" s="16" t="n">
        <f aca="false">F40-G35+G11</f>
        <v>-0.0122245</v>
      </c>
      <c r="H37" s="16" t="n">
        <f aca="false">G40-H35+H11</f>
        <v>-0.00014900000000001</v>
      </c>
      <c r="I37" s="16" t="n">
        <f aca="false">H40-I35+I11</f>
        <v>0.0369265</v>
      </c>
      <c r="J37" s="16" t="n">
        <f aca="false">I40-J35+J11</f>
        <v>0.074002</v>
      </c>
    </row>
    <row r="38" customFormat="false" ht="15" hidden="false" customHeight="false" outlineLevel="0" collapsed="false">
      <c r="B38" s="9" t="s">
        <v>565</v>
      </c>
      <c r="C38" s="16" t="n">
        <f aca="false">MIN(C7,MAX(0,Poche_min_exec-C37))</f>
        <v>0.0122245</v>
      </c>
      <c r="D38" s="16" t="n">
        <f aca="false">MIN(D7,MAX(0,Poche_min_exec-D37))</f>
        <v>0.0343</v>
      </c>
      <c r="E38" s="16" t="n">
        <f aca="false">MIN(E7,MAX(0,Poche_min_exec-E37))</f>
        <v>0.0343</v>
      </c>
      <c r="F38" s="16" t="n">
        <f aca="false">MIN(F7,MAX(0,Poche_min_exec-F37))</f>
        <v>0.0343</v>
      </c>
      <c r="G38" s="16" t="n">
        <f aca="false">MIN(G7,MAX(0,Poche_min_exec-G37))</f>
        <v>0.0343</v>
      </c>
      <c r="H38" s="16" t="n">
        <f aca="false">MIN(H7,MAX(0,Poche_min_exec-H37))</f>
        <v>0.0343</v>
      </c>
      <c r="I38" s="16" t="n">
        <f aca="false">MIN(I7,MAX(0,Poche_min_exec-I37))</f>
        <v>0.0343</v>
      </c>
      <c r="J38" s="16" t="n">
        <f aca="false">MIN(J7,MAX(0,Poche_min_exec-J37))</f>
        <v>0.025998</v>
      </c>
    </row>
    <row r="39" customFormat="false" ht="15" hidden="false" customHeight="false" outlineLevel="0" collapsed="false">
      <c r="B39" s="9" t="s">
        <v>566</v>
      </c>
      <c r="C39" s="16" t="n">
        <f aca="false">IF(Cession_autorisee=1,MAX(0,Cash_min-(C37+C38))/(1-CHOOSE(Reverse_flux,Paramètres!$J$79,Paramètres!$J$79,Paramètres!$K$79,Paramètres!$L$79)),0)</f>
        <v>0</v>
      </c>
      <c r="D39" s="16" t="n">
        <f aca="false">IF(Cession_autorisee=1,MAX(0,Cash_min-(D37+D38))/(1-CHOOSE(Reverse_flux,Paramètres!$J$79,Paramètres!$J$79,Paramètres!$K$79,Paramètres!$L$79)),0)</f>
        <v>0</v>
      </c>
      <c r="E39" s="16" t="n">
        <f aca="false">IF(Cession_autorisee=1,MAX(0,Cash_min-(E37+E38))/(1-CHOOSE(Reverse_flux,Paramètres!$J$79,Paramètres!$J$79,Paramètres!$K$79,Paramètres!$L$79)),0)</f>
        <v>0</v>
      </c>
      <c r="F39" s="16" t="n">
        <f aca="false">IF(Cession_autorisee=1,MAX(0,Cash_min-(F37+F38))/(1-CHOOSE(Reverse_flux,Paramètres!$J$79,Paramètres!$J$79,Paramètres!$K$79,Paramètres!$L$79)),0)</f>
        <v>0.0279688235294118</v>
      </c>
      <c r="G39" s="16" t="n">
        <f aca="false">IF(Cession_autorisee=1,MAX(0,Cash_min-(G37+G38))/(1-CHOOSE(Reverse_flux,Paramètres!$J$79,Paramètres!$J$79,Paramètres!$K$79,Paramètres!$L$79)),0)</f>
        <v>0</v>
      </c>
      <c r="H39" s="16" t="n">
        <f aca="false">IF(Cession_autorisee=1,MAX(0,Cash_min-(H37+H38))/(1-CHOOSE(Reverse_flux,Paramètres!$J$79,Paramètres!$J$79,Paramètres!$K$79,Paramètres!$L$79)),0)</f>
        <v>0</v>
      </c>
      <c r="I39" s="16" t="n">
        <f aca="false">IF(Cession_autorisee=1,MAX(0,Cash_min-(I37+I38))/(1-CHOOSE(Reverse_flux,Paramètres!$J$79,Paramètres!$J$79,Paramètres!$K$79,Paramètres!$L$79)),0)</f>
        <v>0</v>
      </c>
      <c r="J39" s="16" t="n">
        <f aca="false">IF(Cession_autorisee=1,MAX(0,Cash_min-(J37+J38))/(1-CHOOSE(Reverse_flux,Paramètres!$J$79,Paramètres!$J$79,Paramètres!$K$79,Paramètres!$L$79)),0)</f>
        <v>0</v>
      </c>
    </row>
    <row r="40" customFormat="false" ht="15" hidden="false" customHeight="false" outlineLevel="0" collapsed="false">
      <c r="B40" s="9" t="s">
        <v>567</v>
      </c>
      <c r="C40" s="16" t="n">
        <f aca="false">C37+C38+C39*(1-CHOOSE(Reverse_flux,Paramètres!$J$79,Paramètres!$J$79,Paramètres!$K$79,Paramètres!$L$79))</f>
        <v>0.1</v>
      </c>
      <c r="D40" s="16" t="n">
        <f aca="false">D37+D38+D39*(1-CHOOSE(Reverse_flux,Paramètres!$J$79,Paramètres!$J$79,Paramètres!$K$79,Paramètres!$L$79))</f>
        <v>0.0620755</v>
      </c>
      <c r="E40" s="16" t="n">
        <f aca="false">E37+E38+E39*(1-CHOOSE(Reverse_flux,Paramètres!$J$79,Paramètres!$J$79,Paramètres!$K$79,Paramètres!$L$79))</f>
        <v>0.024151</v>
      </c>
      <c r="F40" s="16" t="n">
        <f aca="false">F37+F38+F39*(1-CHOOSE(Reverse_flux,Paramètres!$J$79,Paramètres!$J$79,Paramètres!$K$79,Paramètres!$L$79))</f>
        <v>0.01</v>
      </c>
      <c r="G40" s="16" t="n">
        <f aca="false">G37+G38+G39*(1-CHOOSE(Reverse_flux,Paramètres!$J$79,Paramètres!$J$79,Paramètres!$K$79,Paramètres!$L$79))</f>
        <v>0.0220755</v>
      </c>
      <c r="H40" s="16" t="n">
        <f aca="false">H37+H38+H39*(1-CHOOSE(Reverse_flux,Paramètres!$J$79,Paramètres!$J$79,Paramètres!$K$79,Paramètres!$L$79))</f>
        <v>0.034151</v>
      </c>
      <c r="I40" s="16" t="n">
        <f aca="false">I37+I38+I39*(1-CHOOSE(Reverse_flux,Paramètres!$J$79,Paramètres!$J$79,Paramètres!$K$79,Paramètres!$L$79))</f>
        <v>0.0712265</v>
      </c>
      <c r="J40" s="16" t="n">
        <f aca="false">J37+J38+J39*(1-CHOOSE(Reverse_flux,Paramètres!$J$79,Paramètres!$J$79,Paramètres!$K$79,Paramètres!$L$79))</f>
        <v>0.1</v>
      </c>
    </row>
    <row r="41" customFormat="false" ht="15" hidden="false" customHeight="false" outlineLevel="0" collapsed="false">
      <c r="B41" s="9" t="s">
        <v>568</v>
      </c>
      <c r="C41" s="16" t="n">
        <f aca="false">SUM($C$39:C39)</f>
        <v>0</v>
      </c>
      <c r="D41" s="16" t="n">
        <f aca="false">SUM($C$39:D39)</f>
        <v>0</v>
      </c>
      <c r="E41" s="16" t="n">
        <f aca="false">SUM($C$39:E39)</f>
        <v>0</v>
      </c>
      <c r="F41" s="16" t="n">
        <f aca="false">SUM($C$39:F39)</f>
        <v>0.0279688235294118</v>
      </c>
      <c r="G41" s="16" t="n">
        <f aca="false">SUM($C$39:G39)</f>
        <v>0.0279688235294118</v>
      </c>
      <c r="H41" s="16" t="n">
        <f aca="false">SUM($C$39:H39)</f>
        <v>0.0279688235294118</v>
      </c>
      <c r="I41" s="16" t="n">
        <f aca="false">SUM($C$39:I39)</f>
        <v>0.0279688235294118</v>
      </c>
      <c r="J41" s="16" t="n">
        <f aca="false">SUM($C$39:J39)</f>
        <v>0.0279688235294118</v>
      </c>
    </row>
    <row r="42" customFormat="false" ht="15" hidden="false" customHeight="false" outlineLevel="0" collapsed="false">
      <c r="B42" s="40" t="n">
        <v>0.1</v>
      </c>
      <c r="L42" s="41" t="n">
        <f aca="false">J45</f>
        <v>0.6</v>
      </c>
      <c r="M42" s="41" t="n">
        <f aca="false">MIN(C49:J49)</f>
        <v>0.01</v>
      </c>
      <c r="N42" s="41" t="n">
        <f aca="false">F50</f>
        <v>0.0279688235294118</v>
      </c>
      <c r="O42" s="41" t="n">
        <f aca="false">J50</f>
        <v>0.0279688235294118</v>
      </c>
      <c r="P42" s="7" t="str">
        <f aca="false">IF(AND($B$42&gt;Gate+0.0001,Reports_max&lt;8,Suspension_auto=1),"Rouge : suspension à la date "&amp;(Reports_max+1),IF(N42&gt;0.0001,"Rouge : cessions décotées",IF(M42&lt;S_poche_rouge,"Rouge : poche sous 5 %",IF(OR(M42&lt;S_poche_orange,$B$42&gt;Gate+0.0001),"Orange","Vert"))))</f>
        <v>Rouge : suspension à la date 5</v>
      </c>
    </row>
    <row r="43" customFormat="false" ht="15" hidden="false" customHeight="false" outlineLevel="0" collapsed="false">
      <c r="B43" s="9" t="s">
        <v>561</v>
      </c>
      <c r="C43" s="16" t="n">
        <f aca="false">$B$42</f>
        <v>0.1</v>
      </c>
      <c r="D43" s="16" t="n">
        <f aca="false">$B$42+C45</f>
        <v>0.15</v>
      </c>
      <c r="E43" s="16" t="n">
        <f aca="false">$B$42+D45</f>
        <v>0.2</v>
      </c>
      <c r="F43" s="16" t="n">
        <f aca="false">$B$42+E45</f>
        <v>0.25</v>
      </c>
      <c r="G43" s="16" t="n">
        <f aca="false">$B$42+F45</f>
        <v>0.3</v>
      </c>
      <c r="H43" s="16" t="n">
        <f aca="false">$B$42+G45</f>
        <v>0.4</v>
      </c>
      <c r="I43" s="16" t="n">
        <f aca="false">$B$42+H45</f>
        <v>0.5</v>
      </c>
      <c r="J43" s="16" t="n">
        <f aca="false">$B$42+I45</f>
        <v>0.6</v>
      </c>
    </row>
    <row r="44" customFormat="false" ht="15" hidden="false" customHeight="false" outlineLevel="0" collapsed="false">
      <c r="B44" s="9" t="s">
        <v>562</v>
      </c>
      <c r="C44" s="16" t="n">
        <f aca="false">IF(AND($B$42&gt;Gate+0.0001,1&gt;Reports_max,Suspension_auto=1),0,MIN(C43,Gate))</f>
        <v>0.05</v>
      </c>
      <c r="D44" s="16" t="n">
        <f aca="false">IF(AND($B$42&gt;Gate+0.0001,2&gt;Reports_max,Suspension_auto=1),0,MIN(D43,Gate))</f>
        <v>0.05</v>
      </c>
      <c r="E44" s="16" t="n">
        <f aca="false">IF(AND($B$42&gt;Gate+0.0001,3&gt;Reports_max,Suspension_auto=1),0,MIN(E43,Gate))</f>
        <v>0.05</v>
      </c>
      <c r="F44" s="16" t="n">
        <f aca="false">IF(AND($B$42&gt;Gate+0.0001,4&gt;Reports_max,Suspension_auto=1),0,MIN(F43,Gate))</f>
        <v>0.05</v>
      </c>
      <c r="G44" s="16" t="n">
        <f aca="false">IF(AND($B$42&gt;Gate+0.0001,5&gt;Reports_max,Suspension_auto=1),0,MIN(G43,Gate))</f>
        <v>0</v>
      </c>
      <c r="H44" s="16" t="n">
        <f aca="false">IF(AND($B$42&gt;Gate+0.0001,6&gt;Reports_max,Suspension_auto=1),0,MIN(H43,Gate))</f>
        <v>0</v>
      </c>
      <c r="I44" s="16" t="n">
        <f aca="false">IF(AND($B$42&gt;Gate+0.0001,7&gt;Reports_max,Suspension_auto=1),0,MIN(I43,Gate))</f>
        <v>0</v>
      </c>
      <c r="J44" s="16" t="n">
        <f aca="false">IF(AND($B$42&gt;Gate+0.0001,8&gt;Reports_max,Suspension_auto=1),0,MIN(J43,Gate))</f>
        <v>0</v>
      </c>
    </row>
    <row r="45" customFormat="false" ht="15" hidden="false" customHeight="false" outlineLevel="0" collapsed="false">
      <c r="B45" s="9" t="s">
        <v>563</v>
      </c>
      <c r="C45" s="16" t="n">
        <f aca="false">C43-C44</f>
        <v>0.05</v>
      </c>
      <c r="D45" s="16" t="n">
        <f aca="false">D43-D44</f>
        <v>0.1</v>
      </c>
      <c r="E45" s="16" t="n">
        <f aca="false">E43-E44</f>
        <v>0.15</v>
      </c>
      <c r="F45" s="16" t="n">
        <f aca="false">F43-F44</f>
        <v>0.2</v>
      </c>
      <c r="G45" s="16" t="n">
        <f aca="false">G43-G44</f>
        <v>0.3</v>
      </c>
      <c r="H45" s="16" t="n">
        <f aca="false">H43-H44</f>
        <v>0.4</v>
      </c>
      <c r="I45" s="16" t="n">
        <f aca="false">I43-I44</f>
        <v>0.5</v>
      </c>
      <c r="J45" s="16" t="n">
        <f aca="false">J43-J44</f>
        <v>0.6</v>
      </c>
    </row>
    <row r="46" customFormat="false" ht="15" hidden="false" customHeight="false" outlineLevel="0" collapsed="false">
      <c r="B46" s="9" t="s">
        <v>564</v>
      </c>
      <c r="C46" s="16" t="n">
        <f aca="false">W_cash+W_HY-C44+C11</f>
        <v>0.0877755</v>
      </c>
      <c r="D46" s="16" t="n">
        <f aca="false">C49-D44+D11</f>
        <v>0.0277755</v>
      </c>
      <c r="E46" s="16" t="n">
        <f aca="false">D49-E44+E11</f>
        <v>-0.010149</v>
      </c>
      <c r="F46" s="16" t="n">
        <f aca="false">E49-F44+F11</f>
        <v>-0.0480735</v>
      </c>
      <c r="G46" s="16" t="n">
        <f aca="false">F49-G44+G11</f>
        <v>-0.0122245</v>
      </c>
      <c r="H46" s="16" t="n">
        <f aca="false">G49-H44+H11</f>
        <v>-0.00014900000000001</v>
      </c>
      <c r="I46" s="16" t="n">
        <f aca="false">H49-I44+I11</f>
        <v>0.0369265</v>
      </c>
      <c r="J46" s="16" t="n">
        <f aca="false">I49-J44+J11</f>
        <v>0.074002</v>
      </c>
    </row>
    <row r="47" customFormat="false" ht="15" hidden="false" customHeight="false" outlineLevel="0" collapsed="false">
      <c r="B47" s="9" t="s">
        <v>565</v>
      </c>
      <c r="C47" s="16" t="n">
        <f aca="false">MIN(C7,MAX(0,Poche_min_exec-C46))</f>
        <v>0.0122245</v>
      </c>
      <c r="D47" s="16" t="n">
        <f aca="false">MIN(D7,MAX(0,Poche_min_exec-D46))</f>
        <v>0.0343</v>
      </c>
      <c r="E47" s="16" t="n">
        <f aca="false">MIN(E7,MAX(0,Poche_min_exec-E46))</f>
        <v>0.0343</v>
      </c>
      <c r="F47" s="16" t="n">
        <f aca="false">MIN(F7,MAX(0,Poche_min_exec-F46))</f>
        <v>0.0343</v>
      </c>
      <c r="G47" s="16" t="n">
        <f aca="false">MIN(G7,MAX(0,Poche_min_exec-G46))</f>
        <v>0.0343</v>
      </c>
      <c r="H47" s="16" t="n">
        <f aca="false">MIN(H7,MAX(0,Poche_min_exec-H46))</f>
        <v>0.0343</v>
      </c>
      <c r="I47" s="16" t="n">
        <f aca="false">MIN(I7,MAX(0,Poche_min_exec-I46))</f>
        <v>0.0343</v>
      </c>
      <c r="J47" s="16" t="n">
        <f aca="false">MIN(J7,MAX(0,Poche_min_exec-J46))</f>
        <v>0.025998</v>
      </c>
    </row>
    <row r="48" customFormat="false" ht="15" hidden="false" customHeight="false" outlineLevel="0" collapsed="false">
      <c r="B48" s="9" t="s">
        <v>566</v>
      </c>
      <c r="C48" s="16" t="n">
        <f aca="false">IF(Cession_autorisee=1,MAX(0,Cash_min-(C46+C47))/(1-CHOOSE(Reverse_flux,Paramètres!$J$79,Paramètres!$J$79,Paramètres!$K$79,Paramètres!$L$79)),0)</f>
        <v>0</v>
      </c>
      <c r="D48" s="16" t="n">
        <f aca="false">IF(Cession_autorisee=1,MAX(0,Cash_min-(D46+D47))/(1-CHOOSE(Reverse_flux,Paramètres!$J$79,Paramètres!$J$79,Paramètres!$K$79,Paramètres!$L$79)),0)</f>
        <v>0</v>
      </c>
      <c r="E48" s="16" t="n">
        <f aca="false">IF(Cession_autorisee=1,MAX(0,Cash_min-(E46+E47))/(1-CHOOSE(Reverse_flux,Paramètres!$J$79,Paramètres!$J$79,Paramètres!$K$79,Paramètres!$L$79)),0)</f>
        <v>0</v>
      </c>
      <c r="F48" s="16" t="n">
        <f aca="false">IF(Cession_autorisee=1,MAX(0,Cash_min-(F46+F47))/(1-CHOOSE(Reverse_flux,Paramètres!$J$79,Paramètres!$J$79,Paramètres!$K$79,Paramètres!$L$79)),0)</f>
        <v>0.0279688235294118</v>
      </c>
      <c r="G48" s="16" t="n">
        <f aca="false">IF(Cession_autorisee=1,MAX(0,Cash_min-(G46+G47))/(1-CHOOSE(Reverse_flux,Paramètres!$J$79,Paramètres!$J$79,Paramètres!$K$79,Paramètres!$L$79)),0)</f>
        <v>0</v>
      </c>
      <c r="H48" s="16" t="n">
        <f aca="false">IF(Cession_autorisee=1,MAX(0,Cash_min-(H46+H47))/(1-CHOOSE(Reverse_flux,Paramètres!$J$79,Paramètres!$J$79,Paramètres!$K$79,Paramètres!$L$79)),0)</f>
        <v>0</v>
      </c>
      <c r="I48" s="16" t="n">
        <f aca="false">IF(Cession_autorisee=1,MAX(0,Cash_min-(I46+I47))/(1-CHOOSE(Reverse_flux,Paramètres!$J$79,Paramètres!$J$79,Paramètres!$K$79,Paramètres!$L$79)),0)</f>
        <v>0</v>
      </c>
      <c r="J48" s="16" t="n">
        <f aca="false">IF(Cession_autorisee=1,MAX(0,Cash_min-(J46+J47))/(1-CHOOSE(Reverse_flux,Paramètres!$J$79,Paramètres!$J$79,Paramètres!$K$79,Paramètres!$L$79)),0)</f>
        <v>0</v>
      </c>
    </row>
    <row r="49" customFormat="false" ht="15" hidden="false" customHeight="false" outlineLevel="0" collapsed="false">
      <c r="B49" s="9" t="s">
        <v>567</v>
      </c>
      <c r="C49" s="16" t="n">
        <f aca="false">C46+C47+C48*(1-CHOOSE(Reverse_flux,Paramètres!$J$79,Paramètres!$J$79,Paramètres!$K$79,Paramètres!$L$79))</f>
        <v>0.1</v>
      </c>
      <c r="D49" s="16" t="n">
        <f aca="false">D46+D47+D48*(1-CHOOSE(Reverse_flux,Paramètres!$J$79,Paramètres!$J$79,Paramètres!$K$79,Paramètres!$L$79))</f>
        <v>0.0620755</v>
      </c>
      <c r="E49" s="16" t="n">
        <f aca="false">E46+E47+E48*(1-CHOOSE(Reverse_flux,Paramètres!$J$79,Paramètres!$J$79,Paramètres!$K$79,Paramètres!$L$79))</f>
        <v>0.024151</v>
      </c>
      <c r="F49" s="16" t="n">
        <f aca="false">F46+F47+F48*(1-CHOOSE(Reverse_flux,Paramètres!$J$79,Paramètres!$J$79,Paramètres!$K$79,Paramètres!$L$79))</f>
        <v>0.01</v>
      </c>
      <c r="G49" s="16" t="n">
        <f aca="false">G46+G47+G48*(1-CHOOSE(Reverse_flux,Paramètres!$J$79,Paramètres!$J$79,Paramètres!$K$79,Paramètres!$L$79))</f>
        <v>0.0220755</v>
      </c>
      <c r="H49" s="16" t="n">
        <f aca="false">H46+H47+H48*(1-CHOOSE(Reverse_flux,Paramètres!$J$79,Paramètres!$J$79,Paramètres!$K$79,Paramètres!$L$79))</f>
        <v>0.034151</v>
      </c>
      <c r="I49" s="16" t="n">
        <f aca="false">I46+I47+I48*(1-CHOOSE(Reverse_flux,Paramètres!$J$79,Paramètres!$J$79,Paramètres!$K$79,Paramètres!$L$79))</f>
        <v>0.0712265</v>
      </c>
      <c r="J49" s="16" t="n">
        <f aca="false">J46+J47+J48*(1-CHOOSE(Reverse_flux,Paramètres!$J$79,Paramètres!$J$79,Paramètres!$K$79,Paramètres!$L$79))</f>
        <v>0.1</v>
      </c>
    </row>
    <row r="50" customFormat="false" ht="15" hidden="false" customHeight="false" outlineLevel="0" collapsed="false">
      <c r="B50" s="9" t="s">
        <v>568</v>
      </c>
      <c r="C50" s="16" t="n">
        <f aca="false">SUM($C$48:C48)</f>
        <v>0</v>
      </c>
      <c r="D50" s="16" t="n">
        <f aca="false">SUM($C$48:D48)</f>
        <v>0</v>
      </c>
      <c r="E50" s="16" t="n">
        <f aca="false">SUM($C$48:E48)</f>
        <v>0</v>
      </c>
      <c r="F50" s="16" t="n">
        <f aca="false">SUM($C$48:F48)</f>
        <v>0.0279688235294118</v>
      </c>
      <c r="G50" s="16" t="n">
        <f aca="false">SUM($C$48:G48)</f>
        <v>0.0279688235294118</v>
      </c>
      <c r="H50" s="16" t="n">
        <f aca="false">SUM($C$48:H48)</f>
        <v>0.0279688235294118</v>
      </c>
      <c r="I50" s="16" t="n">
        <f aca="false">SUM($C$48:I48)</f>
        <v>0.0279688235294118</v>
      </c>
      <c r="J50" s="16" t="n">
        <f aca="false">SUM($C$48:J48)</f>
        <v>0.0279688235294118</v>
      </c>
    </row>
    <row r="51" customFormat="false" ht="15" hidden="false" customHeight="false" outlineLevel="0" collapsed="false">
      <c r="B51" s="40" t="n">
        <v>0.125</v>
      </c>
      <c r="L51" s="41" t="n">
        <f aca="false">J54</f>
        <v>0.8</v>
      </c>
      <c r="M51" s="41" t="n">
        <f aca="false">MIN(C58:J58)</f>
        <v>0.01</v>
      </c>
      <c r="N51" s="41" t="n">
        <f aca="false">F59</f>
        <v>0.0279688235294118</v>
      </c>
      <c r="O51" s="41" t="n">
        <f aca="false">J59</f>
        <v>0.0279688235294118</v>
      </c>
      <c r="P51" s="7" t="str">
        <f aca="false">IF(AND($B$51&gt;Gate+0.0001,Reports_max&lt;8,Suspension_auto=1),"Rouge : suspension à la date "&amp;(Reports_max+1),IF(N51&gt;0.0001,"Rouge : cessions décotées",IF(M51&lt;S_poche_rouge,"Rouge : poche sous 5 %",IF(OR(M51&lt;S_poche_orange,$B$51&gt;Gate+0.0001),"Orange","Vert"))))</f>
        <v>Rouge : suspension à la date 5</v>
      </c>
    </row>
    <row r="52" customFormat="false" ht="15" hidden="false" customHeight="false" outlineLevel="0" collapsed="false">
      <c r="B52" s="9" t="s">
        <v>561</v>
      </c>
      <c r="C52" s="16" t="n">
        <f aca="false">$B$51</f>
        <v>0.125</v>
      </c>
      <c r="D52" s="16" t="n">
        <f aca="false">$B$51+C54</f>
        <v>0.2</v>
      </c>
      <c r="E52" s="16" t="n">
        <f aca="false">$B$51+D54</f>
        <v>0.275</v>
      </c>
      <c r="F52" s="16" t="n">
        <f aca="false">$B$51+E54</f>
        <v>0.35</v>
      </c>
      <c r="G52" s="16" t="n">
        <f aca="false">$B$51+F54</f>
        <v>0.425</v>
      </c>
      <c r="H52" s="16" t="n">
        <f aca="false">$B$51+G54</f>
        <v>0.55</v>
      </c>
      <c r="I52" s="16" t="n">
        <f aca="false">$B$51+H54</f>
        <v>0.675</v>
      </c>
      <c r="J52" s="16" t="n">
        <f aca="false">$B$51+I54</f>
        <v>0.8</v>
      </c>
    </row>
    <row r="53" customFormat="false" ht="15" hidden="false" customHeight="false" outlineLevel="0" collapsed="false">
      <c r="B53" s="9" t="s">
        <v>562</v>
      </c>
      <c r="C53" s="16" t="n">
        <f aca="false">IF(AND($B$51&gt;Gate+0.0001,1&gt;Reports_max,Suspension_auto=1),0,MIN(C52,Gate))</f>
        <v>0.05</v>
      </c>
      <c r="D53" s="16" t="n">
        <f aca="false">IF(AND($B$51&gt;Gate+0.0001,2&gt;Reports_max,Suspension_auto=1),0,MIN(D52,Gate))</f>
        <v>0.05</v>
      </c>
      <c r="E53" s="16" t="n">
        <f aca="false">IF(AND($B$51&gt;Gate+0.0001,3&gt;Reports_max,Suspension_auto=1),0,MIN(E52,Gate))</f>
        <v>0.05</v>
      </c>
      <c r="F53" s="16" t="n">
        <f aca="false">IF(AND($B$51&gt;Gate+0.0001,4&gt;Reports_max,Suspension_auto=1),0,MIN(F52,Gate))</f>
        <v>0.05</v>
      </c>
      <c r="G53" s="16" t="n">
        <f aca="false">IF(AND($B$51&gt;Gate+0.0001,5&gt;Reports_max,Suspension_auto=1),0,MIN(G52,Gate))</f>
        <v>0</v>
      </c>
      <c r="H53" s="16" t="n">
        <f aca="false">IF(AND($B$51&gt;Gate+0.0001,6&gt;Reports_max,Suspension_auto=1),0,MIN(H52,Gate))</f>
        <v>0</v>
      </c>
      <c r="I53" s="16" t="n">
        <f aca="false">IF(AND($B$51&gt;Gate+0.0001,7&gt;Reports_max,Suspension_auto=1),0,MIN(I52,Gate))</f>
        <v>0</v>
      </c>
      <c r="J53" s="16" t="n">
        <f aca="false">IF(AND($B$51&gt;Gate+0.0001,8&gt;Reports_max,Suspension_auto=1),0,MIN(J52,Gate))</f>
        <v>0</v>
      </c>
    </row>
    <row r="54" customFormat="false" ht="15" hidden="false" customHeight="false" outlineLevel="0" collapsed="false">
      <c r="B54" s="9" t="s">
        <v>563</v>
      </c>
      <c r="C54" s="16" t="n">
        <f aca="false">C52-C53</f>
        <v>0.075</v>
      </c>
      <c r="D54" s="16" t="n">
        <f aca="false">D52-D53</f>
        <v>0.15</v>
      </c>
      <c r="E54" s="16" t="n">
        <f aca="false">E52-E53</f>
        <v>0.225</v>
      </c>
      <c r="F54" s="16" t="n">
        <f aca="false">F52-F53</f>
        <v>0.3</v>
      </c>
      <c r="G54" s="16" t="n">
        <f aca="false">G52-G53</f>
        <v>0.425</v>
      </c>
      <c r="H54" s="16" t="n">
        <f aca="false">H52-H53</f>
        <v>0.55</v>
      </c>
      <c r="I54" s="16" t="n">
        <f aca="false">I52-I53</f>
        <v>0.675</v>
      </c>
      <c r="J54" s="16" t="n">
        <f aca="false">J52-J53</f>
        <v>0.8</v>
      </c>
    </row>
    <row r="55" customFormat="false" ht="15" hidden="false" customHeight="false" outlineLevel="0" collapsed="false">
      <c r="B55" s="9" t="s">
        <v>564</v>
      </c>
      <c r="C55" s="16" t="n">
        <f aca="false">W_cash+W_HY-C53+C11</f>
        <v>0.0877755</v>
      </c>
      <c r="D55" s="16" t="n">
        <f aca="false">C58-D53+D11</f>
        <v>0.0277755</v>
      </c>
      <c r="E55" s="16" t="n">
        <f aca="false">D58-E53+E11</f>
        <v>-0.010149</v>
      </c>
      <c r="F55" s="16" t="n">
        <f aca="false">E58-F53+F11</f>
        <v>-0.0480735</v>
      </c>
      <c r="G55" s="16" t="n">
        <f aca="false">F58-G53+G11</f>
        <v>-0.0122245</v>
      </c>
      <c r="H55" s="16" t="n">
        <f aca="false">G58-H53+H11</f>
        <v>-0.00014900000000001</v>
      </c>
      <c r="I55" s="16" t="n">
        <f aca="false">H58-I53+I11</f>
        <v>0.0369265</v>
      </c>
      <c r="J55" s="16" t="n">
        <f aca="false">I58-J53+J11</f>
        <v>0.074002</v>
      </c>
    </row>
    <row r="56" customFormat="false" ht="15" hidden="false" customHeight="false" outlineLevel="0" collapsed="false">
      <c r="B56" s="9" t="s">
        <v>565</v>
      </c>
      <c r="C56" s="16" t="n">
        <f aca="false">MIN(C7,MAX(0,Poche_min_exec-C55))</f>
        <v>0.0122245</v>
      </c>
      <c r="D56" s="16" t="n">
        <f aca="false">MIN(D7,MAX(0,Poche_min_exec-D55))</f>
        <v>0.0343</v>
      </c>
      <c r="E56" s="16" t="n">
        <f aca="false">MIN(E7,MAX(0,Poche_min_exec-E55))</f>
        <v>0.0343</v>
      </c>
      <c r="F56" s="16" t="n">
        <f aca="false">MIN(F7,MAX(0,Poche_min_exec-F55))</f>
        <v>0.0343</v>
      </c>
      <c r="G56" s="16" t="n">
        <f aca="false">MIN(G7,MAX(0,Poche_min_exec-G55))</f>
        <v>0.0343</v>
      </c>
      <c r="H56" s="16" t="n">
        <f aca="false">MIN(H7,MAX(0,Poche_min_exec-H55))</f>
        <v>0.0343</v>
      </c>
      <c r="I56" s="16" t="n">
        <f aca="false">MIN(I7,MAX(0,Poche_min_exec-I55))</f>
        <v>0.0343</v>
      </c>
      <c r="J56" s="16" t="n">
        <f aca="false">MIN(J7,MAX(0,Poche_min_exec-J55))</f>
        <v>0.025998</v>
      </c>
    </row>
    <row r="57" customFormat="false" ht="15" hidden="false" customHeight="false" outlineLevel="0" collapsed="false">
      <c r="B57" s="9" t="s">
        <v>566</v>
      </c>
      <c r="C57" s="16" t="n">
        <f aca="false">IF(Cession_autorisee=1,MAX(0,Cash_min-(C55+C56))/(1-CHOOSE(Reverse_flux,Paramètres!$J$79,Paramètres!$J$79,Paramètres!$K$79,Paramètres!$L$79)),0)</f>
        <v>0</v>
      </c>
      <c r="D57" s="16" t="n">
        <f aca="false">IF(Cession_autorisee=1,MAX(0,Cash_min-(D55+D56))/(1-CHOOSE(Reverse_flux,Paramètres!$J$79,Paramètres!$J$79,Paramètres!$K$79,Paramètres!$L$79)),0)</f>
        <v>0</v>
      </c>
      <c r="E57" s="16" t="n">
        <f aca="false">IF(Cession_autorisee=1,MAX(0,Cash_min-(E55+E56))/(1-CHOOSE(Reverse_flux,Paramètres!$J$79,Paramètres!$J$79,Paramètres!$K$79,Paramètres!$L$79)),0)</f>
        <v>0</v>
      </c>
      <c r="F57" s="16" t="n">
        <f aca="false">IF(Cession_autorisee=1,MAX(0,Cash_min-(F55+F56))/(1-CHOOSE(Reverse_flux,Paramètres!$J$79,Paramètres!$J$79,Paramètres!$K$79,Paramètres!$L$79)),0)</f>
        <v>0.0279688235294118</v>
      </c>
      <c r="G57" s="16" t="n">
        <f aca="false">IF(Cession_autorisee=1,MAX(0,Cash_min-(G55+G56))/(1-CHOOSE(Reverse_flux,Paramètres!$J$79,Paramètres!$J$79,Paramètres!$K$79,Paramètres!$L$79)),0)</f>
        <v>0</v>
      </c>
      <c r="H57" s="16" t="n">
        <f aca="false">IF(Cession_autorisee=1,MAX(0,Cash_min-(H55+H56))/(1-CHOOSE(Reverse_flux,Paramètres!$J$79,Paramètres!$J$79,Paramètres!$K$79,Paramètres!$L$79)),0)</f>
        <v>0</v>
      </c>
      <c r="I57" s="16" t="n">
        <f aca="false">IF(Cession_autorisee=1,MAX(0,Cash_min-(I55+I56))/(1-CHOOSE(Reverse_flux,Paramètres!$J$79,Paramètres!$J$79,Paramètres!$K$79,Paramètres!$L$79)),0)</f>
        <v>0</v>
      </c>
      <c r="J57" s="16" t="n">
        <f aca="false">IF(Cession_autorisee=1,MAX(0,Cash_min-(J55+J56))/(1-CHOOSE(Reverse_flux,Paramètres!$J$79,Paramètres!$J$79,Paramètres!$K$79,Paramètres!$L$79)),0)</f>
        <v>0</v>
      </c>
    </row>
    <row r="58" customFormat="false" ht="15" hidden="false" customHeight="false" outlineLevel="0" collapsed="false">
      <c r="B58" s="9" t="s">
        <v>567</v>
      </c>
      <c r="C58" s="16" t="n">
        <f aca="false">C55+C56+C57*(1-CHOOSE(Reverse_flux,Paramètres!$J$79,Paramètres!$J$79,Paramètres!$K$79,Paramètres!$L$79))</f>
        <v>0.1</v>
      </c>
      <c r="D58" s="16" t="n">
        <f aca="false">D55+D56+D57*(1-CHOOSE(Reverse_flux,Paramètres!$J$79,Paramètres!$J$79,Paramètres!$K$79,Paramètres!$L$79))</f>
        <v>0.0620755</v>
      </c>
      <c r="E58" s="16" t="n">
        <f aca="false">E55+E56+E57*(1-CHOOSE(Reverse_flux,Paramètres!$J$79,Paramètres!$J$79,Paramètres!$K$79,Paramètres!$L$79))</f>
        <v>0.024151</v>
      </c>
      <c r="F58" s="16" t="n">
        <f aca="false">F55+F56+F57*(1-CHOOSE(Reverse_flux,Paramètres!$J$79,Paramètres!$J$79,Paramètres!$K$79,Paramètres!$L$79))</f>
        <v>0.01</v>
      </c>
      <c r="G58" s="16" t="n">
        <f aca="false">G55+G56+G57*(1-CHOOSE(Reverse_flux,Paramètres!$J$79,Paramètres!$J$79,Paramètres!$K$79,Paramètres!$L$79))</f>
        <v>0.0220755</v>
      </c>
      <c r="H58" s="16" t="n">
        <f aca="false">H55+H56+H57*(1-CHOOSE(Reverse_flux,Paramètres!$J$79,Paramètres!$J$79,Paramètres!$K$79,Paramètres!$L$79))</f>
        <v>0.034151</v>
      </c>
      <c r="I58" s="16" t="n">
        <f aca="false">I55+I56+I57*(1-CHOOSE(Reverse_flux,Paramètres!$J$79,Paramètres!$J$79,Paramètres!$K$79,Paramètres!$L$79))</f>
        <v>0.0712265</v>
      </c>
      <c r="J58" s="16" t="n">
        <f aca="false">J55+J56+J57*(1-CHOOSE(Reverse_flux,Paramètres!$J$79,Paramètres!$J$79,Paramètres!$K$79,Paramètres!$L$79))</f>
        <v>0.1</v>
      </c>
    </row>
    <row r="59" customFormat="false" ht="15" hidden="false" customHeight="false" outlineLevel="0" collapsed="false">
      <c r="B59" s="9" t="s">
        <v>568</v>
      </c>
      <c r="C59" s="16" t="n">
        <f aca="false">SUM($C$57:C57)</f>
        <v>0</v>
      </c>
      <c r="D59" s="16" t="n">
        <f aca="false">SUM($C$57:D57)</f>
        <v>0</v>
      </c>
      <c r="E59" s="16" t="n">
        <f aca="false">SUM($C$57:E57)</f>
        <v>0</v>
      </c>
      <c r="F59" s="16" t="n">
        <f aca="false">SUM($C$57:F57)</f>
        <v>0.0279688235294118</v>
      </c>
      <c r="G59" s="16" t="n">
        <f aca="false">SUM($C$57:G57)</f>
        <v>0.0279688235294118</v>
      </c>
      <c r="H59" s="16" t="n">
        <f aca="false">SUM($C$57:H57)</f>
        <v>0.0279688235294118</v>
      </c>
      <c r="I59" s="16" t="n">
        <f aca="false">SUM($C$57:I57)</f>
        <v>0.0279688235294118</v>
      </c>
      <c r="J59" s="16" t="n">
        <f aca="false">SUM($C$57:J57)</f>
        <v>0.0279688235294118</v>
      </c>
    </row>
    <row r="60" customFormat="false" ht="15" hidden="false" customHeight="false" outlineLevel="0" collapsed="false">
      <c r="B60" s="40" t="n">
        <v>0.15</v>
      </c>
      <c r="L60" s="41" t="n">
        <f aca="false">J63</f>
        <v>1</v>
      </c>
      <c r="M60" s="41" t="n">
        <f aca="false">MIN(C67:J67)</f>
        <v>0.01</v>
      </c>
      <c r="N60" s="41" t="n">
        <f aca="false">F68</f>
        <v>0.0279688235294118</v>
      </c>
      <c r="O60" s="41" t="n">
        <f aca="false">J68</f>
        <v>0.0279688235294118</v>
      </c>
      <c r="P60" s="7" t="str">
        <f aca="false">IF(AND($B$60&gt;Gate+0.0001,Reports_max&lt;8,Suspension_auto=1),"Rouge : suspension à la date "&amp;(Reports_max+1),IF(N60&gt;0.0001,"Rouge : cessions décotées",IF(M60&lt;S_poche_rouge,"Rouge : poche sous 5 %",IF(OR(M60&lt;S_poche_orange,$B$60&gt;Gate+0.0001),"Orange","Vert"))))</f>
        <v>Rouge : suspension à la date 5</v>
      </c>
    </row>
    <row r="61" customFormat="false" ht="15" hidden="false" customHeight="false" outlineLevel="0" collapsed="false">
      <c r="B61" s="9" t="s">
        <v>561</v>
      </c>
      <c r="C61" s="16" t="n">
        <f aca="false">$B$60</f>
        <v>0.15</v>
      </c>
      <c r="D61" s="16" t="n">
        <f aca="false">$B$60+C63</f>
        <v>0.25</v>
      </c>
      <c r="E61" s="16" t="n">
        <f aca="false">$B$60+D63</f>
        <v>0.35</v>
      </c>
      <c r="F61" s="16" t="n">
        <f aca="false">$B$60+E63</f>
        <v>0.45</v>
      </c>
      <c r="G61" s="16" t="n">
        <f aca="false">$B$60+F63</f>
        <v>0.55</v>
      </c>
      <c r="H61" s="16" t="n">
        <f aca="false">$B$60+G63</f>
        <v>0.7</v>
      </c>
      <c r="I61" s="16" t="n">
        <f aca="false">$B$60+H63</f>
        <v>0.85</v>
      </c>
      <c r="J61" s="16" t="n">
        <f aca="false">$B$60+I63</f>
        <v>1</v>
      </c>
    </row>
    <row r="62" customFormat="false" ht="15" hidden="false" customHeight="false" outlineLevel="0" collapsed="false">
      <c r="B62" s="9" t="s">
        <v>562</v>
      </c>
      <c r="C62" s="16" t="n">
        <f aca="false">IF(AND($B$60&gt;Gate+0.0001,1&gt;Reports_max,Suspension_auto=1),0,MIN(C61,Gate))</f>
        <v>0.05</v>
      </c>
      <c r="D62" s="16" t="n">
        <f aca="false">IF(AND($B$60&gt;Gate+0.0001,2&gt;Reports_max,Suspension_auto=1),0,MIN(D61,Gate))</f>
        <v>0.05</v>
      </c>
      <c r="E62" s="16" t="n">
        <f aca="false">IF(AND($B$60&gt;Gate+0.0001,3&gt;Reports_max,Suspension_auto=1),0,MIN(E61,Gate))</f>
        <v>0.05</v>
      </c>
      <c r="F62" s="16" t="n">
        <f aca="false">IF(AND($B$60&gt;Gate+0.0001,4&gt;Reports_max,Suspension_auto=1),0,MIN(F61,Gate))</f>
        <v>0.05</v>
      </c>
      <c r="G62" s="16" t="n">
        <f aca="false">IF(AND($B$60&gt;Gate+0.0001,5&gt;Reports_max,Suspension_auto=1),0,MIN(G61,Gate))</f>
        <v>0</v>
      </c>
      <c r="H62" s="16" t="n">
        <f aca="false">IF(AND($B$60&gt;Gate+0.0001,6&gt;Reports_max,Suspension_auto=1),0,MIN(H61,Gate))</f>
        <v>0</v>
      </c>
      <c r="I62" s="16" t="n">
        <f aca="false">IF(AND($B$60&gt;Gate+0.0001,7&gt;Reports_max,Suspension_auto=1),0,MIN(I61,Gate))</f>
        <v>0</v>
      </c>
      <c r="J62" s="16" t="n">
        <f aca="false">IF(AND($B$60&gt;Gate+0.0001,8&gt;Reports_max,Suspension_auto=1),0,MIN(J61,Gate))</f>
        <v>0</v>
      </c>
    </row>
    <row r="63" customFormat="false" ht="15" hidden="false" customHeight="false" outlineLevel="0" collapsed="false">
      <c r="B63" s="9" t="s">
        <v>563</v>
      </c>
      <c r="C63" s="16" t="n">
        <f aca="false">C61-C62</f>
        <v>0.1</v>
      </c>
      <c r="D63" s="16" t="n">
        <f aca="false">D61-D62</f>
        <v>0.2</v>
      </c>
      <c r="E63" s="16" t="n">
        <f aca="false">E61-E62</f>
        <v>0.3</v>
      </c>
      <c r="F63" s="16" t="n">
        <f aca="false">F61-F62</f>
        <v>0.4</v>
      </c>
      <c r="G63" s="16" t="n">
        <f aca="false">G61-G62</f>
        <v>0.55</v>
      </c>
      <c r="H63" s="16" t="n">
        <f aca="false">H61-H62</f>
        <v>0.7</v>
      </c>
      <c r="I63" s="16" t="n">
        <f aca="false">I61-I62</f>
        <v>0.85</v>
      </c>
      <c r="J63" s="16" t="n">
        <f aca="false">J61-J62</f>
        <v>1</v>
      </c>
    </row>
    <row r="64" customFormat="false" ht="15" hidden="false" customHeight="false" outlineLevel="0" collapsed="false">
      <c r="B64" s="9" t="s">
        <v>564</v>
      </c>
      <c r="C64" s="16" t="n">
        <f aca="false">W_cash+W_HY-C62+C11</f>
        <v>0.0877755</v>
      </c>
      <c r="D64" s="16" t="n">
        <f aca="false">C67-D62+D11</f>
        <v>0.0277755</v>
      </c>
      <c r="E64" s="16" t="n">
        <f aca="false">D67-E62+E11</f>
        <v>-0.010149</v>
      </c>
      <c r="F64" s="16" t="n">
        <f aca="false">E67-F62+F11</f>
        <v>-0.0480735</v>
      </c>
      <c r="G64" s="16" t="n">
        <f aca="false">F67-G62+G11</f>
        <v>-0.0122245</v>
      </c>
      <c r="H64" s="16" t="n">
        <f aca="false">G67-H62+H11</f>
        <v>-0.00014900000000001</v>
      </c>
      <c r="I64" s="16" t="n">
        <f aca="false">H67-I62+I11</f>
        <v>0.0369265</v>
      </c>
      <c r="J64" s="16" t="n">
        <f aca="false">I67-J62+J11</f>
        <v>0.074002</v>
      </c>
    </row>
    <row r="65" customFormat="false" ht="15" hidden="false" customHeight="false" outlineLevel="0" collapsed="false">
      <c r="B65" s="9" t="s">
        <v>565</v>
      </c>
      <c r="C65" s="16" t="n">
        <f aca="false">MIN(C7,MAX(0,Poche_min_exec-C64))</f>
        <v>0.0122245</v>
      </c>
      <c r="D65" s="16" t="n">
        <f aca="false">MIN(D7,MAX(0,Poche_min_exec-D64))</f>
        <v>0.0343</v>
      </c>
      <c r="E65" s="16" t="n">
        <f aca="false">MIN(E7,MAX(0,Poche_min_exec-E64))</f>
        <v>0.0343</v>
      </c>
      <c r="F65" s="16" t="n">
        <f aca="false">MIN(F7,MAX(0,Poche_min_exec-F64))</f>
        <v>0.0343</v>
      </c>
      <c r="G65" s="16" t="n">
        <f aca="false">MIN(G7,MAX(0,Poche_min_exec-G64))</f>
        <v>0.0343</v>
      </c>
      <c r="H65" s="16" t="n">
        <f aca="false">MIN(H7,MAX(0,Poche_min_exec-H64))</f>
        <v>0.0343</v>
      </c>
      <c r="I65" s="16" t="n">
        <f aca="false">MIN(I7,MAX(0,Poche_min_exec-I64))</f>
        <v>0.0343</v>
      </c>
      <c r="J65" s="16" t="n">
        <f aca="false">MIN(J7,MAX(0,Poche_min_exec-J64))</f>
        <v>0.025998</v>
      </c>
    </row>
    <row r="66" customFormat="false" ht="15" hidden="false" customHeight="false" outlineLevel="0" collapsed="false">
      <c r="B66" s="9" t="s">
        <v>566</v>
      </c>
      <c r="C66" s="16" t="n">
        <f aca="false">IF(Cession_autorisee=1,MAX(0,Cash_min-(C64+C65))/(1-CHOOSE(Reverse_flux,Paramètres!$J$79,Paramètres!$J$79,Paramètres!$K$79,Paramètres!$L$79)),0)</f>
        <v>0</v>
      </c>
      <c r="D66" s="16" t="n">
        <f aca="false">IF(Cession_autorisee=1,MAX(0,Cash_min-(D64+D65))/(1-CHOOSE(Reverse_flux,Paramètres!$J$79,Paramètres!$J$79,Paramètres!$K$79,Paramètres!$L$79)),0)</f>
        <v>0</v>
      </c>
      <c r="E66" s="16" t="n">
        <f aca="false">IF(Cession_autorisee=1,MAX(0,Cash_min-(E64+E65))/(1-CHOOSE(Reverse_flux,Paramètres!$J$79,Paramètres!$J$79,Paramètres!$K$79,Paramètres!$L$79)),0)</f>
        <v>0</v>
      </c>
      <c r="F66" s="16" t="n">
        <f aca="false">IF(Cession_autorisee=1,MAX(0,Cash_min-(F64+F65))/(1-CHOOSE(Reverse_flux,Paramètres!$J$79,Paramètres!$J$79,Paramètres!$K$79,Paramètres!$L$79)),0)</f>
        <v>0.0279688235294118</v>
      </c>
      <c r="G66" s="16" t="n">
        <f aca="false">IF(Cession_autorisee=1,MAX(0,Cash_min-(G64+G65))/(1-CHOOSE(Reverse_flux,Paramètres!$J$79,Paramètres!$J$79,Paramètres!$K$79,Paramètres!$L$79)),0)</f>
        <v>0</v>
      </c>
      <c r="H66" s="16" t="n">
        <f aca="false">IF(Cession_autorisee=1,MAX(0,Cash_min-(H64+H65))/(1-CHOOSE(Reverse_flux,Paramètres!$J$79,Paramètres!$J$79,Paramètres!$K$79,Paramètres!$L$79)),0)</f>
        <v>0</v>
      </c>
      <c r="I66" s="16" t="n">
        <f aca="false">IF(Cession_autorisee=1,MAX(0,Cash_min-(I64+I65))/(1-CHOOSE(Reverse_flux,Paramètres!$J$79,Paramètres!$J$79,Paramètres!$K$79,Paramètres!$L$79)),0)</f>
        <v>0</v>
      </c>
      <c r="J66" s="16" t="n">
        <f aca="false">IF(Cession_autorisee=1,MAX(0,Cash_min-(J64+J65))/(1-CHOOSE(Reverse_flux,Paramètres!$J$79,Paramètres!$J$79,Paramètres!$K$79,Paramètres!$L$79)),0)</f>
        <v>0</v>
      </c>
    </row>
    <row r="67" customFormat="false" ht="15" hidden="false" customHeight="false" outlineLevel="0" collapsed="false">
      <c r="B67" s="9" t="s">
        <v>567</v>
      </c>
      <c r="C67" s="16" t="n">
        <f aca="false">C64+C65+C66*(1-CHOOSE(Reverse_flux,Paramètres!$J$79,Paramètres!$J$79,Paramètres!$K$79,Paramètres!$L$79))</f>
        <v>0.1</v>
      </c>
      <c r="D67" s="16" t="n">
        <f aca="false">D64+D65+D66*(1-CHOOSE(Reverse_flux,Paramètres!$J$79,Paramètres!$J$79,Paramètres!$K$79,Paramètres!$L$79))</f>
        <v>0.0620755</v>
      </c>
      <c r="E67" s="16" t="n">
        <f aca="false">E64+E65+E66*(1-CHOOSE(Reverse_flux,Paramètres!$J$79,Paramètres!$J$79,Paramètres!$K$79,Paramètres!$L$79))</f>
        <v>0.024151</v>
      </c>
      <c r="F67" s="16" t="n">
        <f aca="false">F64+F65+F66*(1-CHOOSE(Reverse_flux,Paramètres!$J$79,Paramètres!$J$79,Paramètres!$K$79,Paramètres!$L$79))</f>
        <v>0.01</v>
      </c>
      <c r="G67" s="16" t="n">
        <f aca="false">G64+G65+G66*(1-CHOOSE(Reverse_flux,Paramètres!$J$79,Paramètres!$J$79,Paramètres!$K$79,Paramètres!$L$79))</f>
        <v>0.0220755</v>
      </c>
      <c r="H67" s="16" t="n">
        <f aca="false">H64+H65+H66*(1-CHOOSE(Reverse_flux,Paramètres!$J$79,Paramètres!$J$79,Paramètres!$K$79,Paramètres!$L$79))</f>
        <v>0.034151</v>
      </c>
      <c r="I67" s="16" t="n">
        <f aca="false">I64+I65+I66*(1-CHOOSE(Reverse_flux,Paramètres!$J$79,Paramètres!$J$79,Paramètres!$K$79,Paramètres!$L$79))</f>
        <v>0.0712265</v>
      </c>
      <c r="J67" s="16" t="n">
        <f aca="false">J64+J65+J66*(1-CHOOSE(Reverse_flux,Paramètres!$J$79,Paramètres!$J$79,Paramètres!$K$79,Paramètres!$L$79))</f>
        <v>0.1</v>
      </c>
    </row>
    <row r="68" customFormat="false" ht="15" hidden="false" customHeight="false" outlineLevel="0" collapsed="false">
      <c r="B68" s="9" t="s">
        <v>568</v>
      </c>
      <c r="C68" s="16" t="n">
        <f aca="false">SUM($C$66:C66)</f>
        <v>0</v>
      </c>
      <c r="D68" s="16" t="n">
        <f aca="false">SUM($C$66:D66)</f>
        <v>0</v>
      </c>
      <c r="E68" s="16" t="n">
        <f aca="false">SUM($C$66:E66)</f>
        <v>0</v>
      </c>
      <c r="F68" s="16" t="n">
        <f aca="false">SUM($C$66:F66)</f>
        <v>0.0279688235294118</v>
      </c>
      <c r="G68" s="16" t="n">
        <f aca="false">SUM($C$66:G66)</f>
        <v>0.0279688235294118</v>
      </c>
      <c r="H68" s="16" t="n">
        <f aca="false">SUM($C$66:H66)</f>
        <v>0.0279688235294118</v>
      </c>
      <c r="I68" s="16" t="n">
        <f aca="false">SUM($C$66:I66)</f>
        <v>0.0279688235294118</v>
      </c>
      <c r="J68" s="16" t="n">
        <f aca="false">SUM($C$66:J66)</f>
        <v>0.0279688235294118</v>
      </c>
    </row>
    <row r="69" customFormat="false" ht="15" hidden="false" customHeight="false" outlineLevel="0" collapsed="false">
      <c r="B69" s="40" t="n">
        <v>0.2</v>
      </c>
      <c r="L69" s="41" t="n">
        <f aca="false">J72</f>
        <v>1.4</v>
      </c>
      <c r="M69" s="41" t="n">
        <f aca="false">MIN(C76:J76)</f>
        <v>0.01</v>
      </c>
      <c r="N69" s="41" t="n">
        <f aca="false">F77</f>
        <v>0.0279688235294118</v>
      </c>
      <c r="O69" s="41" t="n">
        <f aca="false">J77</f>
        <v>0.0279688235294118</v>
      </c>
      <c r="P69" s="7" t="str">
        <f aca="false">IF(AND($B$69&gt;Gate+0.0001,Reports_max&lt;8,Suspension_auto=1),"Rouge : suspension à la date "&amp;(Reports_max+1),IF(N69&gt;0.0001,"Rouge : cessions décotées",IF(M69&lt;S_poche_rouge,"Rouge : poche sous 5 %",IF(OR(M69&lt;S_poche_orange,$B$69&gt;Gate+0.0001),"Orange","Vert"))))</f>
        <v>Rouge : suspension à la date 5</v>
      </c>
    </row>
    <row r="70" customFormat="false" ht="15" hidden="false" customHeight="false" outlineLevel="0" collapsed="false">
      <c r="B70" s="9" t="s">
        <v>561</v>
      </c>
      <c r="C70" s="16" t="n">
        <f aca="false">$B$69</f>
        <v>0.2</v>
      </c>
      <c r="D70" s="16" t="n">
        <f aca="false">$B$69+C72</f>
        <v>0.35</v>
      </c>
      <c r="E70" s="16" t="n">
        <f aca="false">$B$69+D72</f>
        <v>0.5</v>
      </c>
      <c r="F70" s="16" t="n">
        <f aca="false">$B$69+E72</f>
        <v>0.65</v>
      </c>
      <c r="G70" s="16" t="n">
        <f aca="false">$B$69+F72</f>
        <v>0.8</v>
      </c>
      <c r="H70" s="16" t="n">
        <f aca="false">$B$69+G72</f>
        <v>1</v>
      </c>
      <c r="I70" s="16" t="n">
        <f aca="false">$B$69+H72</f>
        <v>1.2</v>
      </c>
      <c r="J70" s="16" t="n">
        <f aca="false">$B$69+I72</f>
        <v>1.4</v>
      </c>
    </row>
    <row r="71" customFormat="false" ht="15" hidden="false" customHeight="false" outlineLevel="0" collapsed="false">
      <c r="B71" s="9" t="s">
        <v>562</v>
      </c>
      <c r="C71" s="16" t="n">
        <f aca="false">IF(AND($B$69&gt;Gate+0.0001,1&gt;Reports_max,Suspension_auto=1),0,MIN(C70,Gate))</f>
        <v>0.05</v>
      </c>
      <c r="D71" s="16" t="n">
        <f aca="false">IF(AND($B$69&gt;Gate+0.0001,2&gt;Reports_max,Suspension_auto=1),0,MIN(D70,Gate))</f>
        <v>0.05</v>
      </c>
      <c r="E71" s="16" t="n">
        <f aca="false">IF(AND($B$69&gt;Gate+0.0001,3&gt;Reports_max,Suspension_auto=1),0,MIN(E70,Gate))</f>
        <v>0.05</v>
      </c>
      <c r="F71" s="16" t="n">
        <f aca="false">IF(AND($B$69&gt;Gate+0.0001,4&gt;Reports_max,Suspension_auto=1),0,MIN(F70,Gate))</f>
        <v>0.05</v>
      </c>
      <c r="G71" s="16" t="n">
        <f aca="false">IF(AND($B$69&gt;Gate+0.0001,5&gt;Reports_max,Suspension_auto=1),0,MIN(G70,Gate))</f>
        <v>0</v>
      </c>
      <c r="H71" s="16" t="n">
        <f aca="false">IF(AND($B$69&gt;Gate+0.0001,6&gt;Reports_max,Suspension_auto=1),0,MIN(H70,Gate))</f>
        <v>0</v>
      </c>
      <c r="I71" s="16" t="n">
        <f aca="false">IF(AND($B$69&gt;Gate+0.0001,7&gt;Reports_max,Suspension_auto=1),0,MIN(I70,Gate))</f>
        <v>0</v>
      </c>
      <c r="J71" s="16" t="n">
        <f aca="false">IF(AND($B$69&gt;Gate+0.0001,8&gt;Reports_max,Suspension_auto=1),0,MIN(J70,Gate))</f>
        <v>0</v>
      </c>
    </row>
    <row r="72" customFormat="false" ht="15" hidden="false" customHeight="false" outlineLevel="0" collapsed="false">
      <c r="B72" s="9" t="s">
        <v>563</v>
      </c>
      <c r="C72" s="16" t="n">
        <f aca="false">C70-C71</f>
        <v>0.15</v>
      </c>
      <c r="D72" s="16" t="n">
        <f aca="false">D70-D71</f>
        <v>0.3</v>
      </c>
      <c r="E72" s="16" t="n">
        <f aca="false">E70-E71</f>
        <v>0.45</v>
      </c>
      <c r="F72" s="16" t="n">
        <f aca="false">F70-F71</f>
        <v>0.6</v>
      </c>
      <c r="G72" s="16" t="n">
        <f aca="false">G70-G71</f>
        <v>0.8</v>
      </c>
      <c r="H72" s="16" t="n">
        <f aca="false">H70-H71</f>
        <v>1</v>
      </c>
      <c r="I72" s="16" t="n">
        <f aca="false">I70-I71</f>
        <v>1.2</v>
      </c>
      <c r="J72" s="16" t="n">
        <f aca="false">J70-J71</f>
        <v>1.4</v>
      </c>
    </row>
    <row r="73" customFormat="false" ht="15" hidden="false" customHeight="false" outlineLevel="0" collapsed="false">
      <c r="B73" s="9" t="s">
        <v>564</v>
      </c>
      <c r="C73" s="16" t="n">
        <f aca="false">W_cash+W_HY-C71+C11</f>
        <v>0.0877755</v>
      </c>
      <c r="D73" s="16" t="n">
        <f aca="false">C76-D71+D11</f>
        <v>0.0277755</v>
      </c>
      <c r="E73" s="16" t="n">
        <f aca="false">D76-E71+E11</f>
        <v>-0.010149</v>
      </c>
      <c r="F73" s="16" t="n">
        <f aca="false">E76-F71+F11</f>
        <v>-0.0480735</v>
      </c>
      <c r="G73" s="16" t="n">
        <f aca="false">F76-G71+G11</f>
        <v>-0.0122245</v>
      </c>
      <c r="H73" s="16" t="n">
        <f aca="false">G76-H71+H11</f>
        <v>-0.00014900000000001</v>
      </c>
      <c r="I73" s="16" t="n">
        <f aca="false">H76-I71+I11</f>
        <v>0.0369265</v>
      </c>
      <c r="J73" s="16" t="n">
        <f aca="false">I76-J71+J11</f>
        <v>0.074002</v>
      </c>
    </row>
    <row r="74" customFormat="false" ht="15" hidden="false" customHeight="false" outlineLevel="0" collapsed="false">
      <c r="B74" s="9" t="s">
        <v>565</v>
      </c>
      <c r="C74" s="16" t="n">
        <f aca="false">MIN(C7,MAX(0,Poche_min_exec-C73))</f>
        <v>0.0122245</v>
      </c>
      <c r="D74" s="16" t="n">
        <f aca="false">MIN(D7,MAX(0,Poche_min_exec-D73))</f>
        <v>0.0343</v>
      </c>
      <c r="E74" s="16" t="n">
        <f aca="false">MIN(E7,MAX(0,Poche_min_exec-E73))</f>
        <v>0.0343</v>
      </c>
      <c r="F74" s="16" t="n">
        <f aca="false">MIN(F7,MAX(0,Poche_min_exec-F73))</f>
        <v>0.0343</v>
      </c>
      <c r="G74" s="16" t="n">
        <f aca="false">MIN(G7,MAX(0,Poche_min_exec-G73))</f>
        <v>0.0343</v>
      </c>
      <c r="H74" s="16" t="n">
        <f aca="false">MIN(H7,MAX(0,Poche_min_exec-H73))</f>
        <v>0.0343</v>
      </c>
      <c r="I74" s="16" t="n">
        <f aca="false">MIN(I7,MAX(0,Poche_min_exec-I73))</f>
        <v>0.0343</v>
      </c>
      <c r="J74" s="16" t="n">
        <f aca="false">MIN(J7,MAX(0,Poche_min_exec-J73))</f>
        <v>0.025998</v>
      </c>
    </row>
    <row r="75" customFormat="false" ht="15" hidden="false" customHeight="false" outlineLevel="0" collapsed="false">
      <c r="B75" s="9" t="s">
        <v>566</v>
      </c>
      <c r="C75" s="16" t="n">
        <f aca="false">IF(Cession_autorisee=1,MAX(0,Cash_min-(C73+C74))/(1-CHOOSE(Reverse_flux,Paramètres!$J$79,Paramètres!$J$79,Paramètres!$K$79,Paramètres!$L$79)),0)</f>
        <v>0</v>
      </c>
      <c r="D75" s="16" t="n">
        <f aca="false">IF(Cession_autorisee=1,MAX(0,Cash_min-(D73+D74))/(1-CHOOSE(Reverse_flux,Paramètres!$J$79,Paramètres!$J$79,Paramètres!$K$79,Paramètres!$L$79)),0)</f>
        <v>0</v>
      </c>
      <c r="E75" s="16" t="n">
        <f aca="false">IF(Cession_autorisee=1,MAX(0,Cash_min-(E73+E74))/(1-CHOOSE(Reverse_flux,Paramètres!$J$79,Paramètres!$J$79,Paramètres!$K$79,Paramètres!$L$79)),0)</f>
        <v>0</v>
      </c>
      <c r="F75" s="16" t="n">
        <f aca="false">IF(Cession_autorisee=1,MAX(0,Cash_min-(F73+F74))/(1-CHOOSE(Reverse_flux,Paramètres!$J$79,Paramètres!$J$79,Paramètres!$K$79,Paramètres!$L$79)),0)</f>
        <v>0.0279688235294118</v>
      </c>
      <c r="G75" s="16" t="n">
        <f aca="false">IF(Cession_autorisee=1,MAX(0,Cash_min-(G73+G74))/(1-CHOOSE(Reverse_flux,Paramètres!$J$79,Paramètres!$J$79,Paramètres!$K$79,Paramètres!$L$79)),0)</f>
        <v>0</v>
      </c>
      <c r="H75" s="16" t="n">
        <f aca="false">IF(Cession_autorisee=1,MAX(0,Cash_min-(H73+H74))/(1-CHOOSE(Reverse_flux,Paramètres!$J$79,Paramètres!$J$79,Paramètres!$K$79,Paramètres!$L$79)),0)</f>
        <v>0</v>
      </c>
      <c r="I75" s="16" t="n">
        <f aca="false">IF(Cession_autorisee=1,MAX(0,Cash_min-(I73+I74))/(1-CHOOSE(Reverse_flux,Paramètres!$J$79,Paramètres!$J$79,Paramètres!$K$79,Paramètres!$L$79)),0)</f>
        <v>0</v>
      </c>
      <c r="J75" s="16" t="n">
        <f aca="false">IF(Cession_autorisee=1,MAX(0,Cash_min-(J73+J74))/(1-CHOOSE(Reverse_flux,Paramètres!$J$79,Paramètres!$J$79,Paramètres!$K$79,Paramètres!$L$79)),0)</f>
        <v>0</v>
      </c>
    </row>
    <row r="76" customFormat="false" ht="15" hidden="false" customHeight="false" outlineLevel="0" collapsed="false">
      <c r="B76" s="9" t="s">
        <v>567</v>
      </c>
      <c r="C76" s="16" t="n">
        <f aca="false">C73+C74+C75*(1-CHOOSE(Reverse_flux,Paramètres!$J$79,Paramètres!$J$79,Paramètres!$K$79,Paramètres!$L$79))</f>
        <v>0.1</v>
      </c>
      <c r="D76" s="16" t="n">
        <f aca="false">D73+D74+D75*(1-CHOOSE(Reverse_flux,Paramètres!$J$79,Paramètres!$J$79,Paramètres!$K$79,Paramètres!$L$79))</f>
        <v>0.0620755</v>
      </c>
      <c r="E76" s="16" t="n">
        <f aca="false">E73+E74+E75*(1-CHOOSE(Reverse_flux,Paramètres!$J$79,Paramètres!$J$79,Paramètres!$K$79,Paramètres!$L$79))</f>
        <v>0.024151</v>
      </c>
      <c r="F76" s="16" t="n">
        <f aca="false">F73+F74+F75*(1-CHOOSE(Reverse_flux,Paramètres!$J$79,Paramètres!$J$79,Paramètres!$K$79,Paramètres!$L$79))</f>
        <v>0.01</v>
      </c>
      <c r="G76" s="16" t="n">
        <f aca="false">G73+G74+G75*(1-CHOOSE(Reverse_flux,Paramètres!$J$79,Paramètres!$J$79,Paramètres!$K$79,Paramètres!$L$79))</f>
        <v>0.0220755</v>
      </c>
      <c r="H76" s="16" t="n">
        <f aca="false">H73+H74+H75*(1-CHOOSE(Reverse_flux,Paramètres!$J$79,Paramètres!$J$79,Paramètres!$K$79,Paramètres!$L$79))</f>
        <v>0.034151</v>
      </c>
      <c r="I76" s="16" t="n">
        <f aca="false">I73+I74+I75*(1-CHOOSE(Reverse_flux,Paramètres!$J$79,Paramètres!$J$79,Paramètres!$K$79,Paramètres!$L$79))</f>
        <v>0.0712265</v>
      </c>
      <c r="J76" s="16" t="n">
        <f aca="false">J73+J74+J75*(1-CHOOSE(Reverse_flux,Paramètres!$J$79,Paramètres!$J$79,Paramètres!$K$79,Paramètres!$L$79))</f>
        <v>0.1</v>
      </c>
    </row>
    <row r="77" customFormat="false" ht="15" hidden="false" customHeight="false" outlineLevel="0" collapsed="false">
      <c r="B77" s="9" t="s">
        <v>568</v>
      </c>
      <c r="C77" s="16" t="n">
        <f aca="false">SUM($C$75:C75)</f>
        <v>0</v>
      </c>
      <c r="D77" s="16" t="n">
        <f aca="false">SUM($C$75:D75)</f>
        <v>0</v>
      </c>
      <c r="E77" s="16" t="n">
        <f aca="false">SUM($C$75:E75)</f>
        <v>0</v>
      </c>
      <c r="F77" s="16" t="n">
        <f aca="false">SUM($C$75:F75)</f>
        <v>0.0279688235294118</v>
      </c>
      <c r="G77" s="16" t="n">
        <f aca="false">SUM($C$75:G75)</f>
        <v>0.0279688235294118</v>
      </c>
      <c r="H77" s="16" t="n">
        <f aca="false">SUM($C$75:H75)</f>
        <v>0.0279688235294118</v>
      </c>
      <c r="I77" s="16" t="n">
        <f aca="false">SUM($C$75:I75)</f>
        <v>0.0279688235294118</v>
      </c>
      <c r="J77" s="16" t="n">
        <f aca="false">SUM($C$75:J75)</f>
        <v>0.0279688235294118</v>
      </c>
    </row>
    <row r="78" customFormat="false" ht="15" hidden="false" customHeight="false" outlineLevel="0" collapsed="false">
      <c r="B78" s="40" t="n">
        <v>0.25</v>
      </c>
      <c r="L78" s="41" t="n">
        <f aca="false">J81</f>
        <v>1.8</v>
      </c>
      <c r="M78" s="41" t="n">
        <f aca="false">MIN(C85:J85)</f>
        <v>0.01</v>
      </c>
      <c r="N78" s="41" t="n">
        <f aca="false">F86</f>
        <v>0.0279688235294118</v>
      </c>
      <c r="O78" s="41" t="n">
        <f aca="false">J86</f>
        <v>0.0279688235294118</v>
      </c>
      <c r="P78" s="7" t="str">
        <f aca="false">IF(AND($B$78&gt;Gate+0.0001,Reports_max&lt;8,Suspension_auto=1),"Rouge : suspension à la date "&amp;(Reports_max+1),IF(N78&gt;0.0001,"Rouge : cessions décotées",IF(M78&lt;S_poche_rouge,"Rouge : poche sous 5 %",IF(OR(M78&lt;S_poche_orange,$B$78&gt;Gate+0.0001),"Orange","Vert"))))</f>
        <v>Rouge : suspension à la date 5</v>
      </c>
    </row>
    <row r="79" customFormat="false" ht="15" hidden="false" customHeight="false" outlineLevel="0" collapsed="false">
      <c r="B79" s="9" t="s">
        <v>561</v>
      </c>
      <c r="C79" s="16" t="n">
        <f aca="false">$B$78</f>
        <v>0.25</v>
      </c>
      <c r="D79" s="16" t="n">
        <f aca="false">$B$78+C81</f>
        <v>0.45</v>
      </c>
      <c r="E79" s="16" t="n">
        <f aca="false">$B$78+D81</f>
        <v>0.65</v>
      </c>
      <c r="F79" s="16" t="n">
        <f aca="false">$B$78+E81</f>
        <v>0.85</v>
      </c>
      <c r="G79" s="16" t="n">
        <f aca="false">$B$78+F81</f>
        <v>1.05</v>
      </c>
      <c r="H79" s="16" t="n">
        <f aca="false">$B$78+G81</f>
        <v>1.3</v>
      </c>
      <c r="I79" s="16" t="n">
        <f aca="false">$B$78+H81</f>
        <v>1.55</v>
      </c>
      <c r="J79" s="16" t="n">
        <f aca="false">$B$78+I81</f>
        <v>1.8</v>
      </c>
    </row>
    <row r="80" customFormat="false" ht="15" hidden="false" customHeight="false" outlineLevel="0" collapsed="false">
      <c r="B80" s="9" t="s">
        <v>562</v>
      </c>
      <c r="C80" s="16" t="n">
        <f aca="false">IF(AND($B$78&gt;Gate+0.0001,1&gt;Reports_max,Suspension_auto=1),0,MIN(C79,Gate))</f>
        <v>0.05</v>
      </c>
      <c r="D80" s="16" t="n">
        <f aca="false">IF(AND($B$78&gt;Gate+0.0001,2&gt;Reports_max,Suspension_auto=1),0,MIN(D79,Gate))</f>
        <v>0.05</v>
      </c>
      <c r="E80" s="16" t="n">
        <f aca="false">IF(AND($B$78&gt;Gate+0.0001,3&gt;Reports_max,Suspension_auto=1),0,MIN(E79,Gate))</f>
        <v>0.05</v>
      </c>
      <c r="F80" s="16" t="n">
        <f aca="false">IF(AND($B$78&gt;Gate+0.0001,4&gt;Reports_max,Suspension_auto=1),0,MIN(F79,Gate))</f>
        <v>0.05</v>
      </c>
      <c r="G80" s="16" t="n">
        <f aca="false">IF(AND($B$78&gt;Gate+0.0001,5&gt;Reports_max,Suspension_auto=1),0,MIN(G79,Gate))</f>
        <v>0</v>
      </c>
      <c r="H80" s="16" t="n">
        <f aca="false">IF(AND($B$78&gt;Gate+0.0001,6&gt;Reports_max,Suspension_auto=1),0,MIN(H79,Gate))</f>
        <v>0</v>
      </c>
      <c r="I80" s="16" t="n">
        <f aca="false">IF(AND($B$78&gt;Gate+0.0001,7&gt;Reports_max,Suspension_auto=1),0,MIN(I79,Gate))</f>
        <v>0</v>
      </c>
      <c r="J80" s="16" t="n">
        <f aca="false">IF(AND($B$78&gt;Gate+0.0001,8&gt;Reports_max,Suspension_auto=1),0,MIN(J79,Gate))</f>
        <v>0</v>
      </c>
    </row>
    <row r="81" customFormat="false" ht="15" hidden="false" customHeight="false" outlineLevel="0" collapsed="false">
      <c r="B81" s="9" t="s">
        <v>563</v>
      </c>
      <c r="C81" s="16" t="n">
        <f aca="false">C79-C80</f>
        <v>0.2</v>
      </c>
      <c r="D81" s="16" t="n">
        <f aca="false">D79-D80</f>
        <v>0.4</v>
      </c>
      <c r="E81" s="16" t="n">
        <f aca="false">E79-E80</f>
        <v>0.6</v>
      </c>
      <c r="F81" s="16" t="n">
        <f aca="false">F79-F80</f>
        <v>0.8</v>
      </c>
      <c r="G81" s="16" t="n">
        <f aca="false">G79-G80</f>
        <v>1.05</v>
      </c>
      <c r="H81" s="16" t="n">
        <f aca="false">H79-H80</f>
        <v>1.3</v>
      </c>
      <c r="I81" s="16" t="n">
        <f aca="false">I79-I80</f>
        <v>1.55</v>
      </c>
      <c r="J81" s="16" t="n">
        <f aca="false">J79-J80</f>
        <v>1.8</v>
      </c>
    </row>
    <row r="82" customFormat="false" ht="15" hidden="false" customHeight="false" outlineLevel="0" collapsed="false">
      <c r="B82" s="9" t="s">
        <v>564</v>
      </c>
      <c r="C82" s="16" t="n">
        <f aca="false">W_cash+W_HY-C80+C11</f>
        <v>0.0877755</v>
      </c>
      <c r="D82" s="16" t="n">
        <f aca="false">C85-D80+D11</f>
        <v>0.0277755</v>
      </c>
      <c r="E82" s="16" t="n">
        <f aca="false">D85-E80+E11</f>
        <v>-0.010149</v>
      </c>
      <c r="F82" s="16" t="n">
        <f aca="false">E85-F80+F11</f>
        <v>-0.0480735</v>
      </c>
      <c r="G82" s="16" t="n">
        <f aca="false">F85-G80+G11</f>
        <v>-0.0122245</v>
      </c>
      <c r="H82" s="16" t="n">
        <f aca="false">G85-H80+H11</f>
        <v>-0.00014900000000001</v>
      </c>
      <c r="I82" s="16" t="n">
        <f aca="false">H85-I80+I11</f>
        <v>0.0369265</v>
      </c>
      <c r="J82" s="16" t="n">
        <f aca="false">I85-J80+J11</f>
        <v>0.074002</v>
      </c>
    </row>
    <row r="83" customFormat="false" ht="15" hidden="false" customHeight="false" outlineLevel="0" collapsed="false">
      <c r="B83" s="9" t="s">
        <v>565</v>
      </c>
      <c r="C83" s="16" t="n">
        <f aca="false">MIN(C7,MAX(0,Poche_min_exec-C82))</f>
        <v>0.0122245</v>
      </c>
      <c r="D83" s="16" t="n">
        <f aca="false">MIN(D7,MAX(0,Poche_min_exec-D82))</f>
        <v>0.0343</v>
      </c>
      <c r="E83" s="16" t="n">
        <f aca="false">MIN(E7,MAX(0,Poche_min_exec-E82))</f>
        <v>0.0343</v>
      </c>
      <c r="F83" s="16" t="n">
        <f aca="false">MIN(F7,MAX(0,Poche_min_exec-F82))</f>
        <v>0.0343</v>
      </c>
      <c r="G83" s="16" t="n">
        <f aca="false">MIN(G7,MAX(0,Poche_min_exec-G82))</f>
        <v>0.0343</v>
      </c>
      <c r="H83" s="16" t="n">
        <f aca="false">MIN(H7,MAX(0,Poche_min_exec-H82))</f>
        <v>0.0343</v>
      </c>
      <c r="I83" s="16" t="n">
        <f aca="false">MIN(I7,MAX(0,Poche_min_exec-I82))</f>
        <v>0.0343</v>
      </c>
      <c r="J83" s="16" t="n">
        <f aca="false">MIN(J7,MAX(0,Poche_min_exec-J82))</f>
        <v>0.025998</v>
      </c>
    </row>
    <row r="84" customFormat="false" ht="15" hidden="false" customHeight="false" outlineLevel="0" collapsed="false">
      <c r="B84" s="9" t="s">
        <v>566</v>
      </c>
      <c r="C84" s="16" t="n">
        <f aca="false">IF(Cession_autorisee=1,MAX(0,Cash_min-(C82+C83))/(1-CHOOSE(Reverse_flux,Paramètres!$J$79,Paramètres!$J$79,Paramètres!$K$79,Paramètres!$L$79)),0)</f>
        <v>0</v>
      </c>
      <c r="D84" s="16" t="n">
        <f aca="false">IF(Cession_autorisee=1,MAX(0,Cash_min-(D82+D83))/(1-CHOOSE(Reverse_flux,Paramètres!$J$79,Paramètres!$J$79,Paramètres!$K$79,Paramètres!$L$79)),0)</f>
        <v>0</v>
      </c>
      <c r="E84" s="16" t="n">
        <f aca="false">IF(Cession_autorisee=1,MAX(0,Cash_min-(E82+E83))/(1-CHOOSE(Reverse_flux,Paramètres!$J$79,Paramètres!$J$79,Paramètres!$K$79,Paramètres!$L$79)),0)</f>
        <v>0</v>
      </c>
      <c r="F84" s="16" t="n">
        <f aca="false">IF(Cession_autorisee=1,MAX(0,Cash_min-(F82+F83))/(1-CHOOSE(Reverse_flux,Paramètres!$J$79,Paramètres!$J$79,Paramètres!$K$79,Paramètres!$L$79)),0)</f>
        <v>0.0279688235294118</v>
      </c>
      <c r="G84" s="16" t="n">
        <f aca="false">IF(Cession_autorisee=1,MAX(0,Cash_min-(G82+G83))/(1-CHOOSE(Reverse_flux,Paramètres!$J$79,Paramètres!$J$79,Paramètres!$K$79,Paramètres!$L$79)),0)</f>
        <v>0</v>
      </c>
      <c r="H84" s="16" t="n">
        <f aca="false">IF(Cession_autorisee=1,MAX(0,Cash_min-(H82+H83))/(1-CHOOSE(Reverse_flux,Paramètres!$J$79,Paramètres!$J$79,Paramètres!$K$79,Paramètres!$L$79)),0)</f>
        <v>0</v>
      </c>
      <c r="I84" s="16" t="n">
        <f aca="false">IF(Cession_autorisee=1,MAX(0,Cash_min-(I82+I83))/(1-CHOOSE(Reverse_flux,Paramètres!$J$79,Paramètres!$J$79,Paramètres!$K$79,Paramètres!$L$79)),0)</f>
        <v>0</v>
      </c>
      <c r="J84" s="16" t="n">
        <f aca="false">IF(Cession_autorisee=1,MAX(0,Cash_min-(J82+J83))/(1-CHOOSE(Reverse_flux,Paramètres!$J$79,Paramètres!$J$79,Paramètres!$K$79,Paramètres!$L$79)),0)</f>
        <v>0</v>
      </c>
    </row>
    <row r="85" customFormat="false" ht="15" hidden="false" customHeight="false" outlineLevel="0" collapsed="false">
      <c r="B85" s="9" t="s">
        <v>567</v>
      </c>
      <c r="C85" s="16" t="n">
        <f aca="false">C82+C83+C84*(1-CHOOSE(Reverse_flux,Paramètres!$J$79,Paramètres!$J$79,Paramètres!$K$79,Paramètres!$L$79))</f>
        <v>0.1</v>
      </c>
      <c r="D85" s="16" t="n">
        <f aca="false">D82+D83+D84*(1-CHOOSE(Reverse_flux,Paramètres!$J$79,Paramètres!$J$79,Paramètres!$K$79,Paramètres!$L$79))</f>
        <v>0.0620755</v>
      </c>
      <c r="E85" s="16" t="n">
        <f aca="false">E82+E83+E84*(1-CHOOSE(Reverse_flux,Paramètres!$J$79,Paramètres!$J$79,Paramètres!$K$79,Paramètres!$L$79))</f>
        <v>0.024151</v>
      </c>
      <c r="F85" s="16" t="n">
        <f aca="false">F82+F83+F84*(1-CHOOSE(Reverse_flux,Paramètres!$J$79,Paramètres!$J$79,Paramètres!$K$79,Paramètres!$L$79))</f>
        <v>0.01</v>
      </c>
      <c r="G85" s="16" t="n">
        <f aca="false">G82+G83+G84*(1-CHOOSE(Reverse_flux,Paramètres!$J$79,Paramètres!$J$79,Paramètres!$K$79,Paramètres!$L$79))</f>
        <v>0.0220755</v>
      </c>
      <c r="H85" s="16" t="n">
        <f aca="false">H82+H83+H84*(1-CHOOSE(Reverse_flux,Paramètres!$J$79,Paramètres!$J$79,Paramètres!$K$79,Paramètres!$L$79))</f>
        <v>0.034151</v>
      </c>
      <c r="I85" s="16" t="n">
        <f aca="false">I82+I83+I84*(1-CHOOSE(Reverse_flux,Paramètres!$J$79,Paramètres!$J$79,Paramètres!$K$79,Paramètres!$L$79))</f>
        <v>0.0712265</v>
      </c>
      <c r="J85" s="16" t="n">
        <f aca="false">J82+J83+J84*(1-CHOOSE(Reverse_flux,Paramètres!$J$79,Paramètres!$J$79,Paramètres!$K$79,Paramètres!$L$79))</f>
        <v>0.1</v>
      </c>
    </row>
    <row r="86" customFormat="false" ht="15" hidden="false" customHeight="false" outlineLevel="0" collapsed="false">
      <c r="B86" s="9" t="s">
        <v>568</v>
      </c>
      <c r="C86" s="16" t="n">
        <f aca="false">SUM($C$84:C84)</f>
        <v>0</v>
      </c>
      <c r="D86" s="16" t="n">
        <f aca="false">SUM($C$84:D84)</f>
        <v>0</v>
      </c>
      <c r="E86" s="16" t="n">
        <f aca="false">SUM($C$84:E84)</f>
        <v>0</v>
      </c>
      <c r="F86" s="16" t="n">
        <f aca="false">SUM($C$84:F84)</f>
        <v>0.0279688235294118</v>
      </c>
      <c r="G86" s="16" t="n">
        <f aca="false">SUM($C$84:G84)</f>
        <v>0.0279688235294118</v>
      </c>
      <c r="H86" s="16" t="n">
        <f aca="false">SUM($C$84:H84)</f>
        <v>0.0279688235294118</v>
      </c>
      <c r="I86" s="16" t="n">
        <f aca="false">SUM($C$84:I84)</f>
        <v>0.0279688235294118</v>
      </c>
      <c r="J86" s="16" t="n">
        <f aca="false">SUM($C$84:J84)</f>
        <v>0.0279688235294118</v>
      </c>
    </row>
    <row r="87" customFormat="false" ht="15" hidden="false" customHeight="false" outlineLevel="0" collapsed="false">
      <c r="B87" s="40" t="n">
        <v>0.3</v>
      </c>
      <c r="L87" s="41" t="n">
        <f aca="false">J90</f>
        <v>2.2</v>
      </c>
      <c r="M87" s="41" t="n">
        <f aca="false">MIN(C94:J94)</f>
        <v>0.01</v>
      </c>
      <c r="N87" s="41" t="n">
        <f aca="false">F95</f>
        <v>0.0279688235294118</v>
      </c>
      <c r="O87" s="41" t="n">
        <f aca="false">J95</f>
        <v>0.0279688235294118</v>
      </c>
      <c r="P87" s="7" t="str">
        <f aca="false">IF(AND($B$87&gt;Gate+0.0001,Reports_max&lt;8,Suspension_auto=1),"Rouge : suspension à la date "&amp;(Reports_max+1),IF(N87&gt;0.0001,"Rouge : cessions décotées",IF(M87&lt;S_poche_rouge,"Rouge : poche sous 5 %",IF(OR(M87&lt;S_poche_orange,$B$87&gt;Gate+0.0001),"Orange","Vert"))))</f>
        <v>Rouge : suspension à la date 5</v>
      </c>
    </row>
    <row r="88" customFormat="false" ht="15" hidden="false" customHeight="false" outlineLevel="0" collapsed="false">
      <c r="B88" s="9" t="s">
        <v>561</v>
      </c>
      <c r="C88" s="16" t="n">
        <f aca="false">$B$87</f>
        <v>0.3</v>
      </c>
      <c r="D88" s="16" t="n">
        <f aca="false">$B$87+C90</f>
        <v>0.55</v>
      </c>
      <c r="E88" s="16" t="n">
        <f aca="false">$B$87+D90</f>
        <v>0.8</v>
      </c>
      <c r="F88" s="16" t="n">
        <f aca="false">$B$87+E90</f>
        <v>1.05</v>
      </c>
      <c r="G88" s="16" t="n">
        <f aca="false">$B$87+F90</f>
        <v>1.3</v>
      </c>
      <c r="H88" s="16" t="n">
        <f aca="false">$B$87+G90</f>
        <v>1.6</v>
      </c>
      <c r="I88" s="16" t="n">
        <f aca="false">$B$87+H90</f>
        <v>1.9</v>
      </c>
      <c r="J88" s="16" t="n">
        <f aca="false">$B$87+I90</f>
        <v>2.2</v>
      </c>
    </row>
    <row r="89" customFormat="false" ht="15" hidden="false" customHeight="false" outlineLevel="0" collapsed="false">
      <c r="B89" s="9" t="s">
        <v>562</v>
      </c>
      <c r="C89" s="16" t="n">
        <f aca="false">IF(AND($B$87&gt;Gate+0.0001,1&gt;Reports_max,Suspension_auto=1),0,MIN(C88,Gate))</f>
        <v>0.05</v>
      </c>
      <c r="D89" s="16" t="n">
        <f aca="false">IF(AND($B$87&gt;Gate+0.0001,2&gt;Reports_max,Suspension_auto=1),0,MIN(D88,Gate))</f>
        <v>0.05</v>
      </c>
      <c r="E89" s="16" t="n">
        <f aca="false">IF(AND($B$87&gt;Gate+0.0001,3&gt;Reports_max,Suspension_auto=1),0,MIN(E88,Gate))</f>
        <v>0.05</v>
      </c>
      <c r="F89" s="16" t="n">
        <f aca="false">IF(AND($B$87&gt;Gate+0.0001,4&gt;Reports_max,Suspension_auto=1),0,MIN(F88,Gate))</f>
        <v>0.05</v>
      </c>
      <c r="G89" s="16" t="n">
        <f aca="false">IF(AND($B$87&gt;Gate+0.0001,5&gt;Reports_max,Suspension_auto=1),0,MIN(G88,Gate))</f>
        <v>0</v>
      </c>
      <c r="H89" s="16" t="n">
        <f aca="false">IF(AND($B$87&gt;Gate+0.0001,6&gt;Reports_max,Suspension_auto=1),0,MIN(H88,Gate))</f>
        <v>0</v>
      </c>
      <c r="I89" s="16" t="n">
        <f aca="false">IF(AND($B$87&gt;Gate+0.0001,7&gt;Reports_max,Suspension_auto=1),0,MIN(I88,Gate))</f>
        <v>0</v>
      </c>
      <c r="J89" s="16" t="n">
        <f aca="false">IF(AND($B$87&gt;Gate+0.0001,8&gt;Reports_max,Suspension_auto=1),0,MIN(J88,Gate))</f>
        <v>0</v>
      </c>
    </row>
    <row r="90" customFormat="false" ht="15" hidden="false" customHeight="false" outlineLevel="0" collapsed="false">
      <c r="B90" s="9" t="s">
        <v>563</v>
      </c>
      <c r="C90" s="16" t="n">
        <f aca="false">C88-C89</f>
        <v>0.25</v>
      </c>
      <c r="D90" s="16" t="n">
        <f aca="false">D88-D89</f>
        <v>0.5</v>
      </c>
      <c r="E90" s="16" t="n">
        <f aca="false">E88-E89</f>
        <v>0.75</v>
      </c>
      <c r="F90" s="16" t="n">
        <f aca="false">F88-F89</f>
        <v>1</v>
      </c>
      <c r="G90" s="16" t="n">
        <f aca="false">G88-G89</f>
        <v>1.3</v>
      </c>
      <c r="H90" s="16" t="n">
        <f aca="false">H88-H89</f>
        <v>1.6</v>
      </c>
      <c r="I90" s="16" t="n">
        <f aca="false">I88-I89</f>
        <v>1.9</v>
      </c>
      <c r="J90" s="16" t="n">
        <f aca="false">J88-J89</f>
        <v>2.2</v>
      </c>
    </row>
    <row r="91" customFormat="false" ht="15" hidden="false" customHeight="false" outlineLevel="0" collapsed="false">
      <c r="B91" s="9" t="s">
        <v>564</v>
      </c>
      <c r="C91" s="16" t="n">
        <f aca="false">W_cash+W_HY-C89+C11</f>
        <v>0.0877755</v>
      </c>
      <c r="D91" s="16" t="n">
        <f aca="false">C94-D89+D11</f>
        <v>0.0277755</v>
      </c>
      <c r="E91" s="16" t="n">
        <f aca="false">D94-E89+E11</f>
        <v>-0.010149</v>
      </c>
      <c r="F91" s="16" t="n">
        <f aca="false">E94-F89+F11</f>
        <v>-0.0480735</v>
      </c>
      <c r="G91" s="16" t="n">
        <f aca="false">F94-G89+G11</f>
        <v>-0.0122245</v>
      </c>
      <c r="H91" s="16" t="n">
        <f aca="false">G94-H89+H11</f>
        <v>-0.00014900000000001</v>
      </c>
      <c r="I91" s="16" t="n">
        <f aca="false">H94-I89+I11</f>
        <v>0.0369265</v>
      </c>
      <c r="J91" s="16" t="n">
        <f aca="false">I94-J89+J11</f>
        <v>0.074002</v>
      </c>
    </row>
    <row r="92" customFormat="false" ht="15" hidden="false" customHeight="false" outlineLevel="0" collapsed="false">
      <c r="B92" s="9" t="s">
        <v>565</v>
      </c>
      <c r="C92" s="16" t="n">
        <f aca="false">MIN(C7,MAX(0,Poche_min_exec-C91))</f>
        <v>0.0122245</v>
      </c>
      <c r="D92" s="16" t="n">
        <f aca="false">MIN(D7,MAX(0,Poche_min_exec-D91))</f>
        <v>0.0343</v>
      </c>
      <c r="E92" s="16" t="n">
        <f aca="false">MIN(E7,MAX(0,Poche_min_exec-E91))</f>
        <v>0.0343</v>
      </c>
      <c r="F92" s="16" t="n">
        <f aca="false">MIN(F7,MAX(0,Poche_min_exec-F91))</f>
        <v>0.0343</v>
      </c>
      <c r="G92" s="16" t="n">
        <f aca="false">MIN(G7,MAX(0,Poche_min_exec-G91))</f>
        <v>0.0343</v>
      </c>
      <c r="H92" s="16" t="n">
        <f aca="false">MIN(H7,MAX(0,Poche_min_exec-H91))</f>
        <v>0.0343</v>
      </c>
      <c r="I92" s="16" t="n">
        <f aca="false">MIN(I7,MAX(0,Poche_min_exec-I91))</f>
        <v>0.0343</v>
      </c>
      <c r="J92" s="16" t="n">
        <f aca="false">MIN(J7,MAX(0,Poche_min_exec-J91))</f>
        <v>0.025998</v>
      </c>
    </row>
    <row r="93" customFormat="false" ht="15" hidden="false" customHeight="false" outlineLevel="0" collapsed="false">
      <c r="B93" s="9" t="s">
        <v>566</v>
      </c>
      <c r="C93" s="16" t="n">
        <f aca="false">IF(Cession_autorisee=1,MAX(0,Cash_min-(C91+C92))/(1-CHOOSE(Reverse_flux,Paramètres!$J$79,Paramètres!$J$79,Paramètres!$K$79,Paramètres!$L$79)),0)</f>
        <v>0</v>
      </c>
      <c r="D93" s="16" t="n">
        <f aca="false">IF(Cession_autorisee=1,MAX(0,Cash_min-(D91+D92))/(1-CHOOSE(Reverse_flux,Paramètres!$J$79,Paramètres!$J$79,Paramètres!$K$79,Paramètres!$L$79)),0)</f>
        <v>0</v>
      </c>
      <c r="E93" s="16" t="n">
        <f aca="false">IF(Cession_autorisee=1,MAX(0,Cash_min-(E91+E92))/(1-CHOOSE(Reverse_flux,Paramètres!$J$79,Paramètres!$J$79,Paramètres!$K$79,Paramètres!$L$79)),0)</f>
        <v>0</v>
      </c>
      <c r="F93" s="16" t="n">
        <f aca="false">IF(Cession_autorisee=1,MAX(0,Cash_min-(F91+F92))/(1-CHOOSE(Reverse_flux,Paramètres!$J$79,Paramètres!$J$79,Paramètres!$K$79,Paramètres!$L$79)),0)</f>
        <v>0.0279688235294118</v>
      </c>
      <c r="G93" s="16" t="n">
        <f aca="false">IF(Cession_autorisee=1,MAX(0,Cash_min-(G91+G92))/(1-CHOOSE(Reverse_flux,Paramètres!$J$79,Paramètres!$J$79,Paramètres!$K$79,Paramètres!$L$79)),0)</f>
        <v>0</v>
      </c>
      <c r="H93" s="16" t="n">
        <f aca="false">IF(Cession_autorisee=1,MAX(0,Cash_min-(H91+H92))/(1-CHOOSE(Reverse_flux,Paramètres!$J$79,Paramètres!$J$79,Paramètres!$K$79,Paramètres!$L$79)),0)</f>
        <v>0</v>
      </c>
      <c r="I93" s="16" t="n">
        <f aca="false">IF(Cession_autorisee=1,MAX(0,Cash_min-(I91+I92))/(1-CHOOSE(Reverse_flux,Paramètres!$J$79,Paramètres!$J$79,Paramètres!$K$79,Paramètres!$L$79)),0)</f>
        <v>0</v>
      </c>
      <c r="J93" s="16" t="n">
        <f aca="false">IF(Cession_autorisee=1,MAX(0,Cash_min-(J91+J92))/(1-CHOOSE(Reverse_flux,Paramètres!$J$79,Paramètres!$J$79,Paramètres!$K$79,Paramètres!$L$79)),0)</f>
        <v>0</v>
      </c>
    </row>
    <row r="94" customFormat="false" ht="15" hidden="false" customHeight="false" outlineLevel="0" collapsed="false">
      <c r="B94" s="9" t="s">
        <v>567</v>
      </c>
      <c r="C94" s="16" t="n">
        <f aca="false">C91+C92+C93*(1-CHOOSE(Reverse_flux,Paramètres!$J$79,Paramètres!$J$79,Paramètres!$K$79,Paramètres!$L$79))</f>
        <v>0.1</v>
      </c>
      <c r="D94" s="16" t="n">
        <f aca="false">D91+D92+D93*(1-CHOOSE(Reverse_flux,Paramètres!$J$79,Paramètres!$J$79,Paramètres!$K$79,Paramètres!$L$79))</f>
        <v>0.0620755</v>
      </c>
      <c r="E94" s="16" t="n">
        <f aca="false">E91+E92+E93*(1-CHOOSE(Reverse_flux,Paramètres!$J$79,Paramètres!$J$79,Paramètres!$K$79,Paramètres!$L$79))</f>
        <v>0.024151</v>
      </c>
      <c r="F94" s="16" t="n">
        <f aca="false">F91+F92+F93*(1-CHOOSE(Reverse_flux,Paramètres!$J$79,Paramètres!$J$79,Paramètres!$K$79,Paramètres!$L$79))</f>
        <v>0.01</v>
      </c>
      <c r="G94" s="16" t="n">
        <f aca="false">G91+G92+G93*(1-CHOOSE(Reverse_flux,Paramètres!$J$79,Paramètres!$J$79,Paramètres!$K$79,Paramètres!$L$79))</f>
        <v>0.0220755</v>
      </c>
      <c r="H94" s="16" t="n">
        <f aca="false">H91+H92+H93*(1-CHOOSE(Reverse_flux,Paramètres!$J$79,Paramètres!$J$79,Paramètres!$K$79,Paramètres!$L$79))</f>
        <v>0.034151</v>
      </c>
      <c r="I94" s="16" t="n">
        <f aca="false">I91+I92+I93*(1-CHOOSE(Reverse_flux,Paramètres!$J$79,Paramètres!$J$79,Paramètres!$K$79,Paramètres!$L$79))</f>
        <v>0.0712265</v>
      </c>
      <c r="J94" s="16" t="n">
        <f aca="false">J91+J92+J93*(1-CHOOSE(Reverse_flux,Paramètres!$J$79,Paramètres!$J$79,Paramètres!$K$79,Paramètres!$L$79))</f>
        <v>0.1</v>
      </c>
    </row>
    <row r="95" customFormat="false" ht="15" hidden="false" customHeight="false" outlineLevel="0" collapsed="false">
      <c r="B95" s="9" t="s">
        <v>568</v>
      </c>
      <c r="C95" s="16" t="n">
        <f aca="false">SUM($C$93:C93)</f>
        <v>0</v>
      </c>
      <c r="D95" s="16" t="n">
        <f aca="false">SUM($C$93:D93)</f>
        <v>0</v>
      </c>
      <c r="E95" s="16" t="n">
        <f aca="false">SUM($C$93:E93)</f>
        <v>0</v>
      </c>
      <c r="F95" s="16" t="n">
        <f aca="false">SUM($C$93:F93)</f>
        <v>0.0279688235294118</v>
      </c>
      <c r="G95" s="16" t="n">
        <f aca="false">SUM($C$93:G93)</f>
        <v>0.0279688235294118</v>
      </c>
      <c r="H95" s="16" t="n">
        <f aca="false">SUM($C$93:H93)</f>
        <v>0.0279688235294118</v>
      </c>
      <c r="I95" s="16" t="n">
        <f aca="false">SUM($C$93:I93)</f>
        <v>0.0279688235294118</v>
      </c>
      <c r="J95" s="16" t="n">
        <f aca="false">SUM($C$93:J93)</f>
        <v>0.0279688235294118</v>
      </c>
    </row>
    <row r="96" customFormat="false" ht="32.8" hidden="false" customHeight="false" outlineLevel="0" collapsed="false">
      <c r="B96" s="7" t="s">
        <v>569</v>
      </c>
      <c r="C96" s="42" t="n">
        <f aca="false" t="array" ref="C96:C96">MIN(IF(N15:N87&gt;0.0001,B15:B87,9))</f>
        <v>0.05</v>
      </c>
      <c r="P96" s="9" t="s">
        <v>570</v>
      </c>
    </row>
    <row r="97" customFormat="false" ht="22.35" hidden="false" customHeight="false" outlineLevel="0" collapsed="false">
      <c r="B97" s="7" t="s">
        <v>571</v>
      </c>
      <c r="C97" s="42" t="n">
        <f aca="false" t="array" ref="C97:C97">MIN(IF(B15:B87&gt;Gate+0.0001,B15:B87,9))</f>
        <v>0.075</v>
      </c>
      <c r="P97" s="9" t="s">
        <v>572</v>
      </c>
    </row>
    <row r="99" customFormat="false" ht="18" hidden="false" customHeight="true" outlineLevel="0" collapsed="false">
      <c r="B99" s="3" t="s">
        <v>573</v>
      </c>
      <c r="C99" s="4"/>
      <c r="D99" s="4"/>
      <c r="E99" s="4"/>
      <c r="F99" s="4"/>
      <c r="G99" s="4"/>
      <c r="H99" s="4"/>
      <c r="I99" s="4"/>
      <c r="J99" s="4"/>
      <c r="K99" s="4"/>
      <c r="L99" s="4"/>
      <c r="M99" s="4"/>
      <c r="N99" s="4"/>
      <c r="O99" s="4"/>
      <c r="P99" s="4"/>
    </row>
    <row r="100" customFormat="false" ht="27.75" hidden="false" customHeight="true" outlineLevel="0" collapsed="false">
      <c r="B100" s="5" t="s">
        <v>556</v>
      </c>
      <c r="C100" s="6" t="s">
        <v>292</v>
      </c>
      <c r="D100" s="6" t="s">
        <v>293</v>
      </c>
      <c r="E100" s="6" t="s">
        <v>294</v>
      </c>
      <c r="F100" s="6" t="s">
        <v>295</v>
      </c>
      <c r="G100" s="6" t="s">
        <v>296</v>
      </c>
      <c r="H100" s="6" t="s">
        <v>297</v>
      </c>
      <c r="I100" s="6" t="s">
        <v>298</v>
      </c>
      <c r="J100" s="6" t="s">
        <v>299</v>
      </c>
      <c r="K100" s="6"/>
      <c r="L100" s="6" t="s">
        <v>557</v>
      </c>
      <c r="M100" s="6" t="s">
        <v>558</v>
      </c>
      <c r="N100" s="6" t="s">
        <v>559</v>
      </c>
      <c r="O100" s="6" t="s">
        <v>560</v>
      </c>
      <c r="P100" s="6" t="s">
        <v>414</v>
      </c>
    </row>
    <row r="101" customFormat="false" ht="15" hidden="false" customHeight="false" outlineLevel="0" collapsed="false">
      <c r="B101" s="40" t="n">
        <v>0.025</v>
      </c>
      <c r="L101" s="41" t="n">
        <f aca="false">J104</f>
        <v>0</v>
      </c>
      <c r="M101" s="41" t="n">
        <f aca="false">MIN(C108:J108)</f>
        <v>0.048153</v>
      </c>
      <c r="N101" s="41" t="n">
        <f aca="false">F109</f>
        <v>0</v>
      </c>
      <c r="O101" s="41" t="n">
        <f aca="false">J109</f>
        <v>0</v>
      </c>
      <c r="P101" s="7" t="str">
        <f aca="false">IF(O101&gt;(Paramètres!$D$68+Paramètres!$D$69),"Rouge : cession impossible",IF(N101&gt;0.0001,"Rouge : cessions décotées",IF(M101&lt;S_poche_rouge,"Rouge : poche sous 5 %",IF(M101&lt;S_poche_orange,"Orange","Vert"))))</f>
        <v>Rouge : poche sous 5 %</v>
      </c>
    </row>
    <row r="102" customFormat="false" ht="15" hidden="false" customHeight="false" outlineLevel="0" collapsed="false">
      <c r="B102" s="9" t="s">
        <v>561</v>
      </c>
      <c r="C102" s="16" t="n">
        <f aca="false">$B$101</f>
        <v>0.025</v>
      </c>
      <c r="D102" s="16" t="n">
        <f aca="false">$B$101+C104</f>
        <v>0.025</v>
      </c>
      <c r="E102" s="16" t="n">
        <f aca="false">$B$101+D104</f>
        <v>0.025</v>
      </c>
      <c r="F102" s="16" t="n">
        <f aca="false">$B$101+E104</f>
        <v>0.025</v>
      </c>
      <c r="G102" s="16" t="n">
        <f aca="false">$B$101+F104</f>
        <v>0.025</v>
      </c>
      <c r="H102" s="16" t="n">
        <f aca="false">$B$101+G104</f>
        <v>0.025</v>
      </c>
      <c r="I102" s="16" t="n">
        <f aca="false">$B$101+H104</f>
        <v>0.025</v>
      </c>
      <c r="J102" s="16" t="n">
        <f aca="false">$B$101+I104</f>
        <v>0.025</v>
      </c>
    </row>
    <row r="103" customFormat="false" ht="15" hidden="false" customHeight="false" outlineLevel="0" collapsed="false">
      <c r="B103" s="9" t="s">
        <v>562</v>
      </c>
      <c r="C103" s="16" t="n">
        <f aca="false">C102</f>
        <v>0.025</v>
      </c>
      <c r="D103" s="16" t="n">
        <f aca="false">D102</f>
        <v>0.025</v>
      </c>
      <c r="E103" s="16" t="n">
        <f aca="false">E102</f>
        <v>0.025</v>
      </c>
      <c r="F103" s="16" t="n">
        <f aca="false">F102</f>
        <v>0.025</v>
      </c>
      <c r="G103" s="16" t="n">
        <f aca="false">G102</f>
        <v>0.025</v>
      </c>
      <c r="H103" s="16" t="n">
        <f aca="false">H102</f>
        <v>0.025</v>
      </c>
      <c r="I103" s="16" t="n">
        <f aca="false">I102</f>
        <v>0.025</v>
      </c>
      <c r="J103" s="16" t="n">
        <f aca="false">J102</f>
        <v>0.025</v>
      </c>
    </row>
    <row r="104" customFormat="false" ht="15" hidden="false" customHeight="false" outlineLevel="0" collapsed="false">
      <c r="B104" s="9" t="s">
        <v>563</v>
      </c>
      <c r="C104" s="16" t="n">
        <f aca="false">C102-C103</f>
        <v>0</v>
      </c>
      <c r="D104" s="16" t="n">
        <f aca="false">D102-D103</f>
        <v>0</v>
      </c>
      <c r="E104" s="16" t="n">
        <f aca="false">E102-E103</f>
        <v>0</v>
      </c>
      <c r="F104" s="16" t="n">
        <f aca="false">F102-F103</f>
        <v>0</v>
      </c>
      <c r="G104" s="16" t="n">
        <f aca="false">G102-G103</f>
        <v>0</v>
      </c>
      <c r="H104" s="16" t="n">
        <f aca="false">H102-H103</f>
        <v>0</v>
      </c>
      <c r="I104" s="16" t="n">
        <f aca="false">I102-I103</f>
        <v>0</v>
      </c>
      <c r="J104" s="16" t="n">
        <f aca="false">J102-J103</f>
        <v>0</v>
      </c>
    </row>
    <row r="105" customFormat="false" ht="15" hidden="false" customHeight="false" outlineLevel="0" collapsed="false">
      <c r="B105" s="9" t="s">
        <v>564</v>
      </c>
      <c r="C105" s="16" t="n">
        <f aca="false">W_cash+W_HY-C103+C11</f>
        <v>0.1127755</v>
      </c>
      <c r="D105" s="16" t="n">
        <f aca="false">C108-D103+D11</f>
        <v>0.065551</v>
      </c>
      <c r="E105" s="16" t="n">
        <f aca="false">D108-E103+E11</f>
        <v>0.0526265</v>
      </c>
      <c r="F105" s="16" t="n">
        <f aca="false">E108-F103+F11</f>
        <v>0.039702</v>
      </c>
      <c r="G105" s="16" t="n">
        <f aca="false">F108-G103+G11</f>
        <v>0.0267775</v>
      </c>
      <c r="H105" s="16" t="n">
        <f aca="false">G108-H103+H11</f>
        <v>0.013853</v>
      </c>
      <c r="I105" s="16" t="n">
        <f aca="false">H108-I103+I11</f>
        <v>0.0259285</v>
      </c>
      <c r="J105" s="16" t="n">
        <f aca="false">I108-J103+J11</f>
        <v>0.038004</v>
      </c>
    </row>
    <row r="106" customFormat="false" ht="15" hidden="false" customHeight="false" outlineLevel="0" collapsed="false">
      <c r="B106" s="9" t="s">
        <v>565</v>
      </c>
      <c r="C106" s="16" t="n">
        <f aca="false">MIN(C7,MAX(0,Poche_min_exec-C105))</f>
        <v>0</v>
      </c>
      <c r="D106" s="16" t="n">
        <f aca="false">MIN(D7,MAX(0,Poche_min_exec-D105))</f>
        <v>0.0343</v>
      </c>
      <c r="E106" s="16" t="n">
        <f aca="false">MIN(E7,MAX(0,Poche_min_exec-E105))</f>
        <v>0.0343</v>
      </c>
      <c r="F106" s="16" t="n">
        <f aca="false">MIN(F7,MAX(0,Poche_min_exec-F105))</f>
        <v>0.0343</v>
      </c>
      <c r="G106" s="16" t="n">
        <f aca="false">MIN(G7,MAX(0,Poche_min_exec-G105))</f>
        <v>0.0343</v>
      </c>
      <c r="H106" s="16" t="n">
        <f aca="false">MIN(H7,MAX(0,Poche_min_exec-H105))</f>
        <v>0.0343</v>
      </c>
      <c r="I106" s="16" t="n">
        <f aca="false">MIN(I7,MAX(0,Poche_min_exec-I105))</f>
        <v>0.0343</v>
      </c>
      <c r="J106" s="16" t="n">
        <f aca="false">MIN(J7,MAX(0,Poche_min_exec-J105))</f>
        <v>0.0343</v>
      </c>
    </row>
    <row r="107" customFormat="false" ht="15" hidden="false" customHeight="false" outlineLevel="0" collapsed="false">
      <c r="B107" s="9" t="s">
        <v>566</v>
      </c>
      <c r="C107" s="16" t="n">
        <f aca="false">IF(Cession_autorisee=1,MAX(0,Cash_min-(C105+C106))/(1-CHOOSE(Reverse_flux,Paramètres!$J$79,Paramètres!$J$79,Paramètres!$K$79,Paramètres!$L$79)),0)</f>
        <v>0</v>
      </c>
      <c r="D107" s="16" t="n">
        <f aca="false">IF(Cession_autorisee=1,MAX(0,Cash_min-(D105+D106))/(1-CHOOSE(Reverse_flux,Paramètres!$J$79,Paramètres!$J$79,Paramètres!$K$79,Paramètres!$L$79)),0)</f>
        <v>0</v>
      </c>
      <c r="E107" s="16" t="n">
        <f aca="false">IF(Cession_autorisee=1,MAX(0,Cash_min-(E105+E106))/(1-CHOOSE(Reverse_flux,Paramètres!$J$79,Paramètres!$J$79,Paramètres!$K$79,Paramètres!$L$79)),0)</f>
        <v>0</v>
      </c>
      <c r="F107" s="16" t="n">
        <f aca="false">IF(Cession_autorisee=1,MAX(0,Cash_min-(F105+F106))/(1-CHOOSE(Reverse_flux,Paramètres!$J$79,Paramètres!$J$79,Paramètres!$K$79,Paramètres!$L$79)),0)</f>
        <v>0</v>
      </c>
      <c r="G107" s="16" t="n">
        <f aca="false">IF(Cession_autorisee=1,MAX(0,Cash_min-(G105+G106))/(1-CHOOSE(Reverse_flux,Paramètres!$J$79,Paramètres!$J$79,Paramètres!$K$79,Paramètres!$L$79)),0)</f>
        <v>0</v>
      </c>
      <c r="H107" s="16" t="n">
        <f aca="false">IF(Cession_autorisee=1,MAX(0,Cash_min-(H105+H106))/(1-CHOOSE(Reverse_flux,Paramètres!$J$79,Paramètres!$J$79,Paramètres!$K$79,Paramètres!$L$79)),0)</f>
        <v>0</v>
      </c>
      <c r="I107" s="16" t="n">
        <f aca="false">IF(Cession_autorisee=1,MAX(0,Cash_min-(I105+I106))/(1-CHOOSE(Reverse_flux,Paramètres!$J$79,Paramètres!$J$79,Paramètres!$K$79,Paramètres!$L$79)),0)</f>
        <v>0</v>
      </c>
      <c r="J107" s="16" t="n">
        <f aca="false">IF(Cession_autorisee=1,MAX(0,Cash_min-(J105+J106))/(1-CHOOSE(Reverse_flux,Paramètres!$J$79,Paramètres!$J$79,Paramètres!$K$79,Paramètres!$L$79)),0)</f>
        <v>0</v>
      </c>
    </row>
    <row r="108" customFormat="false" ht="15" hidden="false" customHeight="false" outlineLevel="0" collapsed="false">
      <c r="B108" s="9" t="s">
        <v>567</v>
      </c>
      <c r="C108" s="16" t="n">
        <f aca="false">C105+C106+C107*(1-CHOOSE(Reverse_flux,Paramètres!$J$79,Paramètres!$J$79,Paramètres!$K$79,Paramètres!$L$79))</f>
        <v>0.1127755</v>
      </c>
      <c r="D108" s="16" t="n">
        <f aca="false">D105+D106+D107*(1-CHOOSE(Reverse_flux,Paramètres!$J$79,Paramètres!$J$79,Paramètres!$K$79,Paramètres!$L$79))</f>
        <v>0.099851</v>
      </c>
      <c r="E108" s="16" t="n">
        <f aca="false">E105+E106+E107*(1-CHOOSE(Reverse_flux,Paramètres!$J$79,Paramètres!$J$79,Paramètres!$K$79,Paramètres!$L$79))</f>
        <v>0.0869265</v>
      </c>
      <c r="F108" s="16" t="n">
        <f aca="false">F105+F106+F107*(1-CHOOSE(Reverse_flux,Paramètres!$J$79,Paramètres!$J$79,Paramètres!$K$79,Paramètres!$L$79))</f>
        <v>0.074002</v>
      </c>
      <c r="G108" s="16" t="n">
        <f aca="false">G105+G106+G107*(1-CHOOSE(Reverse_flux,Paramètres!$J$79,Paramètres!$J$79,Paramètres!$K$79,Paramètres!$L$79))</f>
        <v>0.0610775</v>
      </c>
      <c r="H108" s="16" t="n">
        <f aca="false">H105+H106+H107*(1-CHOOSE(Reverse_flux,Paramètres!$J$79,Paramètres!$J$79,Paramètres!$K$79,Paramètres!$L$79))</f>
        <v>0.048153</v>
      </c>
      <c r="I108" s="16" t="n">
        <f aca="false">I105+I106+I107*(1-CHOOSE(Reverse_flux,Paramètres!$J$79,Paramètres!$J$79,Paramètres!$K$79,Paramètres!$L$79))</f>
        <v>0.0602285</v>
      </c>
      <c r="J108" s="16" t="n">
        <f aca="false">J105+J106+J107*(1-CHOOSE(Reverse_flux,Paramètres!$J$79,Paramètres!$J$79,Paramètres!$K$79,Paramètres!$L$79))</f>
        <v>0.072304</v>
      </c>
    </row>
    <row r="109" customFormat="false" ht="15" hidden="false" customHeight="false" outlineLevel="0" collapsed="false">
      <c r="B109" s="9" t="s">
        <v>568</v>
      </c>
      <c r="C109" s="16" t="n">
        <f aca="false">SUM($C$107:C107)</f>
        <v>0</v>
      </c>
      <c r="D109" s="16" t="n">
        <f aca="false">SUM($C$107:D107)</f>
        <v>0</v>
      </c>
      <c r="E109" s="16" t="n">
        <f aca="false">SUM($C$107:E107)</f>
        <v>0</v>
      </c>
      <c r="F109" s="16" t="n">
        <f aca="false">SUM($C$107:F107)</f>
        <v>0</v>
      </c>
      <c r="G109" s="16" t="n">
        <f aca="false">SUM($C$107:G107)</f>
        <v>0</v>
      </c>
      <c r="H109" s="16" t="n">
        <f aca="false">SUM($C$107:H107)</f>
        <v>0</v>
      </c>
      <c r="I109" s="16" t="n">
        <f aca="false">SUM($C$107:I107)</f>
        <v>0</v>
      </c>
      <c r="J109" s="16" t="n">
        <f aca="false">SUM($C$107:J107)</f>
        <v>0</v>
      </c>
    </row>
    <row r="110" customFormat="false" ht="15" hidden="false" customHeight="false" outlineLevel="0" collapsed="false">
      <c r="B110" s="40" t="n">
        <v>0.05</v>
      </c>
      <c r="L110" s="41" t="n">
        <f aca="false">J113</f>
        <v>0</v>
      </c>
      <c r="M110" s="41" t="n">
        <f aca="false">MIN(C117:J117)</f>
        <v>0.01</v>
      </c>
      <c r="N110" s="41" t="n">
        <f aca="false">F118</f>
        <v>0.0279688235294118</v>
      </c>
      <c r="O110" s="41" t="n">
        <f aca="false">J118</f>
        <v>0.147613529411765</v>
      </c>
      <c r="P110" s="7" t="str">
        <f aca="false">IF(O110&gt;(Paramètres!$D$68+Paramètres!$D$69),"Rouge : cession impossible",IF(N110&gt;0.0001,"Rouge : cessions décotées",IF(M110&lt;S_poche_rouge,"Rouge : poche sous 5 %",IF(M110&lt;S_poche_orange,"Orange","Vert"))))</f>
        <v>Rouge : cessions décotées</v>
      </c>
    </row>
    <row r="111" customFormat="false" ht="15" hidden="false" customHeight="false" outlineLevel="0" collapsed="false">
      <c r="B111" s="9" t="s">
        <v>561</v>
      </c>
      <c r="C111" s="16" t="n">
        <f aca="false">$B$110</f>
        <v>0.05</v>
      </c>
      <c r="D111" s="16" t="n">
        <f aca="false">$B$110+C113</f>
        <v>0.05</v>
      </c>
      <c r="E111" s="16" t="n">
        <f aca="false">$B$110+D113</f>
        <v>0.05</v>
      </c>
      <c r="F111" s="16" t="n">
        <f aca="false">$B$110+E113</f>
        <v>0.05</v>
      </c>
      <c r="G111" s="16" t="n">
        <f aca="false">$B$110+F113</f>
        <v>0.05</v>
      </c>
      <c r="H111" s="16" t="n">
        <f aca="false">$B$110+G113</f>
        <v>0.05</v>
      </c>
      <c r="I111" s="16" t="n">
        <f aca="false">$B$110+H113</f>
        <v>0.05</v>
      </c>
      <c r="J111" s="16" t="n">
        <f aca="false">$B$110+I113</f>
        <v>0.05</v>
      </c>
    </row>
    <row r="112" customFormat="false" ht="15" hidden="false" customHeight="false" outlineLevel="0" collapsed="false">
      <c r="B112" s="9" t="s">
        <v>562</v>
      </c>
      <c r="C112" s="16" t="n">
        <f aca="false">C111</f>
        <v>0.05</v>
      </c>
      <c r="D112" s="16" t="n">
        <f aca="false">D111</f>
        <v>0.05</v>
      </c>
      <c r="E112" s="16" t="n">
        <f aca="false">E111</f>
        <v>0.05</v>
      </c>
      <c r="F112" s="16" t="n">
        <f aca="false">F111</f>
        <v>0.05</v>
      </c>
      <c r="G112" s="16" t="n">
        <f aca="false">G111</f>
        <v>0.05</v>
      </c>
      <c r="H112" s="16" t="n">
        <f aca="false">H111</f>
        <v>0.05</v>
      </c>
      <c r="I112" s="16" t="n">
        <f aca="false">I111</f>
        <v>0.05</v>
      </c>
      <c r="J112" s="16" t="n">
        <f aca="false">J111</f>
        <v>0.05</v>
      </c>
    </row>
    <row r="113" customFormat="false" ht="15" hidden="false" customHeight="false" outlineLevel="0" collapsed="false">
      <c r="B113" s="9" t="s">
        <v>563</v>
      </c>
      <c r="C113" s="16" t="n">
        <f aca="false">C111-C112</f>
        <v>0</v>
      </c>
      <c r="D113" s="16" t="n">
        <f aca="false">D111-D112</f>
        <v>0</v>
      </c>
      <c r="E113" s="16" t="n">
        <f aca="false">E111-E112</f>
        <v>0</v>
      </c>
      <c r="F113" s="16" t="n">
        <f aca="false">F111-F112</f>
        <v>0</v>
      </c>
      <c r="G113" s="16" t="n">
        <f aca="false">G111-G112</f>
        <v>0</v>
      </c>
      <c r="H113" s="16" t="n">
        <f aca="false">H111-H112</f>
        <v>0</v>
      </c>
      <c r="I113" s="16" t="n">
        <f aca="false">I111-I112</f>
        <v>0</v>
      </c>
      <c r="J113" s="16" t="n">
        <f aca="false">J111-J112</f>
        <v>0</v>
      </c>
    </row>
    <row r="114" customFormat="false" ht="15" hidden="false" customHeight="false" outlineLevel="0" collapsed="false">
      <c r="B114" s="9" t="s">
        <v>564</v>
      </c>
      <c r="C114" s="16" t="n">
        <f aca="false">W_cash+W_HY-C112+C11</f>
        <v>0.0877755</v>
      </c>
      <c r="D114" s="16" t="n">
        <f aca="false">C117-D112+D11</f>
        <v>0.0277755</v>
      </c>
      <c r="E114" s="16" t="n">
        <f aca="false">D117-E112+E11</f>
        <v>-0.010149</v>
      </c>
      <c r="F114" s="16" t="n">
        <f aca="false">E117-F112+F11</f>
        <v>-0.0480735</v>
      </c>
      <c r="G114" s="16" t="n">
        <f aca="false">F117-G112+G11</f>
        <v>-0.0622245</v>
      </c>
      <c r="H114" s="16" t="n">
        <f aca="false">G117-H112+H11</f>
        <v>-0.0622245</v>
      </c>
      <c r="I114" s="16" t="n">
        <f aca="false">H117-I112+I11</f>
        <v>-0.0372245</v>
      </c>
      <c r="J114" s="16" t="n">
        <f aca="false">I117-J112+J11</f>
        <v>-0.0372245</v>
      </c>
    </row>
    <row r="115" customFormat="false" ht="15" hidden="false" customHeight="false" outlineLevel="0" collapsed="false">
      <c r="B115" s="9" t="s">
        <v>565</v>
      </c>
      <c r="C115" s="16" t="n">
        <f aca="false">MIN(C7,MAX(0,Poche_min_exec-C114))</f>
        <v>0.0122245</v>
      </c>
      <c r="D115" s="16" t="n">
        <f aca="false">MIN(D7,MAX(0,Poche_min_exec-D114))</f>
        <v>0.0343</v>
      </c>
      <c r="E115" s="16" t="n">
        <f aca="false">MIN(E7,MAX(0,Poche_min_exec-E114))</f>
        <v>0.0343</v>
      </c>
      <c r="F115" s="16" t="n">
        <f aca="false">MIN(F7,MAX(0,Poche_min_exec-F114))</f>
        <v>0.0343</v>
      </c>
      <c r="G115" s="16" t="n">
        <f aca="false">MIN(G7,MAX(0,Poche_min_exec-G114))</f>
        <v>0.0343</v>
      </c>
      <c r="H115" s="16" t="n">
        <f aca="false">MIN(H7,MAX(0,Poche_min_exec-H114))</f>
        <v>0.0343</v>
      </c>
      <c r="I115" s="16" t="n">
        <f aca="false">MIN(I7,MAX(0,Poche_min_exec-I114))</f>
        <v>0.0343</v>
      </c>
      <c r="J115" s="16" t="n">
        <f aca="false">MIN(J7,MAX(0,Poche_min_exec-J114))</f>
        <v>0.0343</v>
      </c>
    </row>
    <row r="116" customFormat="false" ht="15" hidden="false" customHeight="false" outlineLevel="0" collapsed="false">
      <c r="B116" s="9" t="s">
        <v>566</v>
      </c>
      <c r="C116" s="16" t="n">
        <f aca="false">IF(Cession_autorisee=1,MAX(0,Cash_min-(C114+C115))/(1-CHOOSE(Reverse_flux,Paramètres!$J$79,Paramètres!$J$79,Paramètres!$K$79,Paramètres!$L$79)),0)</f>
        <v>0</v>
      </c>
      <c r="D116" s="16" t="n">
        <f aca="false">IF(Cession_autorisee=1,MAX(0,Cash_min-(D114+D115))/(1-CHOOSE(Reverse_flux,Paramètres!$J$79,Paramètres!$J$79,Paramètres!$K$79,Paramètres!$L$79)),0)</f>
        <v>0</v>
      </c>
      <c r="E116" s="16" t="n">
        <f aca="false">IF(Cession_autorisee=1,MAX(0,Cash_min-(E114+E115))/(1-CHOOSE(Reverse_flux,Paramètres!$J$79,Paramètres!$J$79,Paramètres!$K$79,Paramètres!$L$79)),0)</f>
        <v>0</v>
      </c>
      <c r="F116" s="16" t="n">
        <f aca="false">IF(Cession_autorisee=1,MAX(0,Cash_min-(F114+F115))/(1-CHOOSE(Reverse_flux,Paramètres!$J$79,Paramètres!$J$79,Paramètres!$K$79,Paramètres!$L$79)),0)</f>
        <v>0.0279688235294118</v>
      </c>
      <c r="G116" s="16" t="n">
        <f aca="false">IF(Cession_autorisee=1,MAX(0,Cash_min-(G114+G115))/(1-CHOOSE(Reverse_flux,Paramètres!$J$79,Paramètres!$J$79,Paramètres!$K$79,Paramètres!$L$79)),0)</f>
        <v>0.0446170588235294</v>
      </c>
      <c r="H116" s="16" t="n">
        <f aca="false">IF(Cession_autorisee=1,MAX(0,Cash_min-(H114+H115))/(1-CHOOSE(Reverse_flux,Paramètres!$J$79,Paramètres!$J$79,Paramètres!$K$79,Paramètres!$L$79)),0)</f>
        <v>0.0446170588235294</v>
      </c>
      <c r="I116" s="16" t="n">
        <f aca="false">IF(Cession_autorisee=1,MAX(0,Cash_min-(I114+I115))/(1-CHOOSE(Reverse_flux,Paramètres!$J$79,Paramètres!$J$79,Paramètres!$K$79,Paramètres!$L$79)),0)</f>
        <v>0.0152052941176471</v>
      </c>
      <c r="J116" s="16" t="n">
        <f aca="false">IF(Cession_autorisee=1,MAX(0,Cash_min-(J114+J115))/(1-CHOOSE(Reverse_flux,Paramètres!$J$79,Paramètres!$J$79,Paramètres!$K$79,Paramètres!$L$79)),0)</f>
        <v>0.0152052941176471</v>
      </c>
    </row>
    <row r="117" customFormat="false" ht="15" hidden="false" customHeight="false" outlineLevel="0" collapsed="false">
      <c r="B117" s="9" t="s">
        <v>567</v>
      </c>
      <c r="C117" s="16" t="n">
        <f aca="false">C114+C115+C116*(1-CHOOSE(Reverse_flux,Paramètres!$J$79,Paramètres!$J$79,Paramètres!$K$79,Paramètres!$L$79))</f>
        <v>0.1</v>
      </c>
      <c r="D117" s="16" t="n">
        <f aca="false">D114+D115+D116*(1-CHOOSE(Reverse_flux,Paramètres!$J$79,Paramètres!$J$79,Paramètres!$K$79,Paramètres!$L$79))</f>
        <v>0.0620755</v>
      </c>
      <c r="E117" s="16" t="n">
        <f aca="false">E114+E115+E116*(1-CHOOSE(Reverse_flux,Paramètres!$J$79,Paramètres!$J$79,Paramètres!$K$79,Paramètres!$L$79))</f>
        <v>0.024151</v>
      </c>
      <c r="F117" s="16" t="n">
        <f aca="false">F114+F115+F116*(1-CHOOSE(Reverse_flux,Paramètres!$J$79,Paramètres!$J$79,Paramètres!$K$79,Paramètres!$L$79))</f>
        <v>0.01</v>
      </c>
      <c r="G117" s="16" t="n">
        <f aca="false">G114+G115+G116*(1-CHOOSE(Reverse_flux,Paramètres!$J$79,Paramètres!$J$79,Paramètres!$K$79,Paramètres!$L$79))</f>
        <v>0.01</v>
      </c>
      <c r="H117" s="16" t="n">
        <f aca="false">H114+H115+H116*(1-CHOOSE(Reverse_flux,Paramètres!$J$79,Paramètres!$J$79,Paramètres!$K$79,Paramètres!$L$79))</f>
        <v>0.01</v>
      </c>
      <c r="I117" s="16" t="n">
        <f aca="false">I114+I115+I116*(1-CHOOSE(Reverse_flux,Paramètres!$J$79,Paramètres!$J$79,Paramètres!$K$79,Paramètres!$L$79))</f>
        <v>0.01</v>
      </c>
      <c r="J117" s="16" t="n">
        <f aca="false">J114+J115+J116*(1-CHOOSE(Reverse_flux,Paramètres!$J$79,Paramètres!$J$79,Paramètres!$K$79,Paramètres!$L$79))</f>
        <v>0.01</v>
      </c>
    </row>
    <row r="118" customFormat="false" ht="15" hidden="false" customHeight="false" outlineLevel="0" collapsed="false">
      <c r="B118" s="9" t="s">
        <v>568</v>
      </c>
      <c r="C118" s="16" t="n">
        <f aca="false">SUM($C$116:C116)</f>
        <v>0</v>
      </c>
      <c r="D118" s="16" t="n">
        <f aca="false">SUM($C$116:D116)</f>
        <v>0</v>
      </c>
      <c r="E118" s="16" t="n">
        <f aca="false">SUM($C$116:E116)</f>
        <v>0</v>
      </c>
      <c r="F118" s="16" t="n">
        <f aca="false">SUM($C$116:F116)</f>
        <v>0.0279688235294118</v>
      </c>
      <c r="G118" s="16" t="n">
        <f aca="false">SUM($C$116:G116)</f>
        <v>0.0725858823529412</v>
      </c>
      <c r="H118" s="16" t="n">
        <f aca="false">SUM($C$116:H116)</f>
        <v>0.117202941176471</v>
      </c>
      <c r="I118" s="16" t="n">
        <f aca="false">SUM($C$116:I116)</f>
        <v>0.132408235294118</v>
      </c>
      <c r="J118" s="16" t="n">
        <f aca="false">SUM($C$116:J116)</f>
        <v>0.147613529411765</v>
      </c>
    </row>
    <row r="119" customFormat="false" ht="15" hidden="false" customHeight="false" outlineLevel="0" collapsed="false">
      <c r="B119" s="40" t="n">
        <v>0.075</v>
      </c>
      <c r="L119" s="41" t="n">
        <f aca="false">J122</f>
        <v>0</v>
      </c>
      <c r="M119" s="41" t="n">
        <f aca="false">MIN(C126:J126)</f>
        <v>0.01</v>
      </c>
      <c r="N119" s="41" t="n">
        <f aca="false">F127</f>
        <v>0.119644705882353</v>
      </c>
      <c r="O119" s="41" t="n">
        <f aca="false">J127</f>
        <v>0.356936470588235</v>
      </c>
      <c r="P119" s="7" t="str">
        <f aca="false">IF(O119&gt;(Paramètres!$D$68+Paramètres!$D$69),"Rouge : cession impossible",IF(N119&gt;0.0001,"Rouge : cessions décotées",IF(M119&lt;S_poche_rouge,"Rouge : poche sous 5 %",IF(M119&lt;S_poche_orange,"Orange","Vert"))))</f>
        <v>Rouge : cession impossible</v>
      </c>
    </row>
    <row r="120" customFormat="false" ht="15" hidden="false" customHeight="false" outlineLevel="0" collapsed="false">
      <c r="B120" s="9" t="s">
        <v>561</v>
      </c>
      <c r="C120" s="16" t="n">
        <f aca="false">$B$119</f>
        <v>0.075</v>
      </c>
      <c r="D120" s="16" t="n">
        <f aca="false">$B$119+C122</f>
        <v>0.075</v>
      </c>
      <c r="E120" s="16" t="n">
        <f aca="false">$B$119+D122</f>
        <v>0.075</v>
      </c>
      <c r="F120" s="16" t="n">
        <f aca="false">$B$119+E122</f>
        <v>0.075</v>
      </c>
      <c r="G120" s="16" t="n">
        <f aca="false">$B$119+F122</f>
        <v>0.075</v>
      </c>
      <c r="H120" s="16" t="n">
        <f aca="false">$B$119+G122</f>
        <v>0.075</v>
      </c>
      <c r="I120" s="16" t="n">
        <f aca="false">$B$119+H122</f>
        <v>0.075</v>
      </c>
      <c r="J120" s="16" t="n">
        <f aca="false">$B$119+I122</f>
        <v>0.075</v>
      </c>
    </row>
    <row r="121" customFormat="false" ht="15" hidden="false" customHeight="false" outlineLevel="0" collapsed="false">
      <c r="B121" s="9" t="s">
        <v>562</v>
      </c>
      <c r="C121" s="16" t="n">
        <f aca="false">C120</f>
        <v>0.075</v>
      </c>
      <c r="D121" s="16" t="n">
        <f aca="false">D120</f>
        <v>0.075</v>
      </c>
      <c r="E121" s="16" t="n">
        <f aca="false">E120</f>
        <v>0.075</v>
      </c>
      <c r="F121" s="16" t="n">
        <f aca="false">F120</f>
        <v>0.075</v>
      </c>
      <c r="G121" s="16" t="n">
        <f aca="false">G120</f>
        <v>0.075</v>
      </c>
      <c r="H121" s="16" t="n">
        <f aca="false">H120</f>
        <v>0.075</v>
      </c>
      <c r="I121" s="16" t="n">
        <f aca="false">I120</f>
        <v>0.075</v>
      </c>
      <c r="J121" s="16" t="n">
        <f aca="false">J120</f>
        <v>0.075</v>
      </c>
    </row>
    <row r="122" customFormat="false" ht="15" hidden="false" customHeight="false" outlineLevel="0" collapsed="false">
      <c r="B122" s="9" t="s">
        <v>563</v>
      </c>
      <c r="C122" s="16" t="n">
        <f aca="false">C120-C121</f>
        <v>0</v>
      </c>
      <c r="D122" s="16" t="n">
        <f aca="false">D120-D121</f>
        <v>0</v>
      </c>
      <c r="E122" s="16" t="n">
        <f aca="false">E120-E121</f>
        <v>0</v>
      </c>
      <c r="F122" s="16" t="n">
        <f aca="false">F120-F121</f>
        <v>0</v>
      </c>
      <c r="G122" s="16" t="n">
        <f aca="false">G120-G121</f>
        <v>0</v>
      </c>
      <c r="H122" s="16" t="n">
        <f aca="false">H120-H121</f>
        <v>0</v>
      </c>
      <c r="I122" s="16" t="n">
        <f aca="false">I120-I121</f>
        <v>0</v>
      </c>
      <c r="J122" s="16" t="n">
        <f aca="false">J120-J121</f>
        <v>0</v>
      </c>
    </row>
    <row r="123" customFormat="false" ht="15" hidden="false" customHeight="false" outlineLevel="0" collapsed="false">
      <c r="B123" s="9" t="s">
        <v>564</v>
      </c>
      <c r="C123" s="16" t="n">
        <f aca="false">W_cash+W_HY-C121+C11</f>
        <v>0.0627755</v>
      </c>
      <c r="D123" s="16" t="n">
        <f aca="false">C126-D121+D11</f>
        <v>-0.000149000000000007</v>
      </c>
      <c r="E123" s="16" t="n">
        <f aca="false">D126-E121+E11</f>
        <v>-0.0630735</v>
      </c>
      <c r="F123" s="16" t="n">
        <f aca="false">E126-F121+F11</f>
        <v>-0.0872245</v>
      </c>
      <c r="G123" s="16" t="n">
        <f aca="false">F126-G121+G11</f>
        <v>-0.0872245</v>
      </c>
      <c r="H123" s="16" t="n">
        <f aca="false">G126-H121+H11</f>
        <v>-0.0872245</v>
      </c>
      <c r="I123" s="16" t="n">
        <f aca="false">H126-I121+I11</f>
        <v>-0.0622245</v>
      </c>
      <c r="J123" s="16" t="n">
        <f aca="false">I126-J121+J11</f>
        <v>-0.0622245</v>
      </c>
    </row>
    <row r="124" customFormat="false" ht="15" hidden="false" customHeight="false" outlineLevel="0" collapsed="false">
      <c r="B124" s="9" t="s">
        <v>565</v>
      </c>
      <c r="C124" s="16" t="n">
        <f aca="false">MIN(C7,MAX(0,Poche_min_exec-C123))</f>
        <v>0.0343</v>
      </c>
      <c r="D124" s="16" t="n">
        <f aca="false">MIN(D7,MAX(0,Poche_min_exec-D123))</f>
        <v>0.0343</v>
      </c>
      <c r="E124" s="16" t="n">
        <f aca="false">MIN(E7,MAX(0,Poche_min_exec-E123))</f>
        <v>0.0343</v>
      </c>
      <c r="F124" s="16" t="n">
        <f aca="false">MIN(F7,MAX(0,Poche_min_exec-F123))</f>
        <v>0.0343</v>
      </c>
      <c r="G124" s="16" t="n">
        <f aca="false">MIN(G7,MAX(0,Poche_min_exec-G123))</f>
        <v>0.0343</v>
      </c>
      <c r="H124" s="16" t="n">
        <f aca="false">MIN(H7,MAX(0,Poche_min_exec-H123))</f>
        <v>0.0343</v>
      </c>
      <c r="I124" s="16" t="n">
        <f aca="false">MIN(I7,MAX(0,Poche_min_exec-I123))</f>
        <v>0.0343</v>
      </c>
      <c r="J124" s="16" t="n">
        <f aca="false">MIN(J7,MAX(0,Poche_min_exec-J123))</f>
        <v>0.0343</v>
      </c>
    </row>
    <row r="125" customFormat="false" ht="15" hidden="false" customHeight="false" outlineLevel="0" collapsed="false">
      <c r="B125" s="9" t="s">
        <v>566</v>
      </c>
      <c r="C125" s="16" t="n">
        <f aca="false">IF(Cession_autorisee=1,MAX(0,Cash_min-(C123+C124))/(1-CHOOSE(Reverse_flux,Paramètres!$J$79,Paramètres!$J$79,Paramètres!$K$79,Paramètres!$L$79)),0)</f>
        <v>0</v>
      </c>
      <c r="D125" s="16" t="n">
        <f aca="false">IF(Cession_autorisee=1,MAX(0,Cash_min-(D123+D124))/(1-CHOOSE(Reverse_flux,Paramètres!$J$79,Paramètres!$J$79,Paramètres!$K$79,Paramètres!$L$79)),0)</f>
        <v>0</v>
      </c>
      <c r="E125" s="16" t="n">
        <f aca="false">IF(Cession_autorisee=1,MAX(0,Cash_min-(E123+E124))/(1-CHOOSE(Reverse_flux,Paramètres!$J$79,Paramètres!$J$79,Paramètres!$K$79,Paramètres!$L$79)),0)</f>
        <v>0.0456158823529412</v>
      </c>
      <c r="F125" s="16" t="n">
        <f aca="false">IF(Cession_autorisee=1,MAX(0,Cash_min-(F123+F124))/(1-CHOOSE(Reverse_flux,Paramètres!$J$79,Paramètres!$J$79,Paramètres!$K$79,Paramètres!$L$79)),0)</f>
        <v>0.0740288235294118</v>
      </c>
      <c r="G125" s="16" t="n">
        <f aca="false">IF(Cession_autorisee=1,MAX(0,Cash_min-(G123+G124))/(1-CHOOSE(Reverse_flux,Paramètres!$J$79,Paramètres!$J$79,Paramètres!$K$79,Paramètres!$L$79)),0)</f>
        <v>0.0740288235294118</v>
      </c>
      <c r="H125" s="16" t="n">
        <f aca="false">IF(Cession_autorisee=1,MAX(0,Cash_min-(H123+H124))/(1-CHOOSE(Reverse_flux,Paramètres!$J$79,Paramètres!$J$79,Paramètres!$K$79,Paramètres!$L$79)),0)</f>
        <v>0.0740288235294118</v>
      </c>
      <c r="I125" s="16" t="n">
        <f aca="false">IF(Cession_autorisee=1,MAX(0,Cash_min-(I123+I124))/(1-CHOOSE(Reverse_flux,Paramètres!$J$79,Paramètres!$J$79,Paramètres!$K$79,Paramètres!$L$79)),0)</f>
        <v>0.0446170588235294</v>
      </c>
      <c r="J125" s="16" t="n">
        <f aca="false">IF(Cession_autorisee=1,MAX(0,Cash_min-(J123+J124))/(1-CHOOSE(Reverse_flux,Paramètres!$J$79,Paramètres!$J$79,Paramètres!$K$79,Paramètres!$L$79)),0)</f>
        <v>0.0446170588235294</v>
      </c>
    </row>
    <row r="126" customFormat="false" ht="15" hidden="false" customHeight="false" outlineLevel="0" collapsed="false">
      <c r="B126" s="9" t="s">
        <v>567</v>
      </c>
      <c r="C126" s="16" t="n">
        <f aca="false">C123+C124+C125*(1-CHOOSE(Reverse_flux,Paramètres!$J$79,Paramètres!$J$79,Paramètres!$K$79,Paramètres!$L$79))</f>
        <v>0.0970755</v>
      </c>
      <c r="D126" s="16" t="n">
        <f aca="false">D123+D124+D125*(1-CHOOSE(Reverse_flux,Paramètres!$J$79,Paramètres!$J$79,Paramètres!$K$79,Paramètres!$L$79))</f>
        <v>0.034151</v>
      </c>
      <c r="E126" s="16" t="n">
        <f aca="false">E123+E124+E125*(1-CHOOSE(Reverse_flux,Paramètres!$J$79,Paramètres!$J$79,Paramètres!$K$79,Paramètres!$L$79))</f>
        <v>0.01</v>
      </c>
      <c r="F126" s="16" t="n">
        <f aca="false">F123+F124+F125*(1-CHOOSE(Reverse_flux,Paramètres!$J$79,Paramètres!$J$79,Paramètres!$K$79,Paramètres!$L$79))</f>
        <v>0.01</v>
      </c>
      <c r="G126" s="16" t="n">
        <f aca="false">G123+G124+G125*(1-CHOOSE(Reverse_flux,Paramètres!$J$79,Paramètres!$J$79,Paramètres!$K$79,Paramètres!$L$79))</f>
        <v>0.01</v>
      </c>
      <c r="H126" s="16" t="n">
        <f aca="false">H123+H124+H125*(1-CHOOSE(Reverse_flux,Paramètres!$J$79,Paramètres!$J$79,Paramètres!$K$79,Paramètres!$L$79))</f>
        <v>0.01</v>
      </c>
      <c r="I126" s="16" t="n">
        <f aca="false">I123+I124+I125*(1-CHOOSE(Reverse_flux,Paramètres!$J$79,Paramètres!$J$79,Paramètres!$K$79,Paramètres!$L$79))</f>
        <v>0.01</v>
      </c>
      <c r="J126" s="16" t="n">
        <f aca="false">J123+J124+J125*(1-CHOOSE(Reverse_flux,Paramètres!$J$79,Paramètres!$J$79,Paramètres!$K$79,Paramètres!$L$79))</f>
        <v>0.01</v>
      </c>
    </row>
    <row r="127" customFormat="false" ht="15" hidden="false" customHeight="false" outlineLevel="0" collapsed="false">
      <c r="B127" s="9" t="s">
        <v>568</v>
      </c>
      <c r="C127" s="16" t="n">
        <f aca="false">SUM($C$125:C125)</f>
        <v>0</v>
      </c>
      <c r="D127" s="16" t="n">
        <f aca="false">SUM($C$125:D125)</f>
        <v>0</v>
      </c>
      <c r="E127" s="16" t="n">
        <f aca="false">SUM($C$125:E125)</f>
        <v>0.0456158823529412</v>
      </c>
      <c r="F127" s="16" t="n">
        <f aca="false">SUM($C$125:F125)</f>
        <v>0.119644705882353</v>
      </c>
      <c r="G127" s="16" t="n">
        <f aca="false">SUM($C$125:G125)</f>
        <v>0.193673529411765</v>
      </c>
      <c r="H127" s="16" t="n">
        <f aca="false">SUM($C$125:H125)</f>
        <v>0.267702352941177</v>
      </c>
      <c r="I127" s="16" t="n">
        <f aca="false">SUM($C$125:I125)</f>
        <v>0.312319411764706</v>
      </c>
      <c r="J127" s="16" t="n">
        <f aca="false">SUM($C$125:J125)</f>
        <v>0.356936470588235</v>
      </c>
    </row>
    <row r="128" customFormat="false" ht="15" hidden="false" customHeight="false" outlineLevel="0" collapsed="false">
      <c r="B128" s="40" t="n">
        <v>0.1</v>
      </c>
      <c r="L128" s="41" t="n">
        <f aca="false">J131</f>
        <v>0</v>
      </c>
      <c r="M128" s="41" t="n">
        <f aca="false">MIN(C135:J135)</f>
        <v>0.01</v>
      </c>
      <c r="N128" s="41" t="n">
        <f aca="false">F136</f>
        <v>0.237291764705882</v>
      </c>
      <c r="O128" s="41" t="n">
        <f aca="false">J136</f>
        <v>0.592230588235294</v>
      </c>
      <c r="P128" s="7" t="str">
        <f aca="false">IF(O128&gt;(Paramètres!$D$68+Paramètres!$D$69),"Rouge : cession impossible",IF(N128&gt;0.0001,"Rouge : cessions décotées",IF(M128&lt;S_poche_rouge,"Rouge : poche sous 5 %",IF(M128&lt;S_poche_orange,"Orange","Vert"))))</f>
        <v>Rouge : cession impossible</v>
      </c>
    </row>
    <row r="129" customFormat="false" ht="15" hidden="false" customHeight="false" outlineLevel="0" collapsed="false">
      <c r="B129" s="9" t="s">
        <v>561</v>
      </c>
      <c r="C129" s="16" t="n">
        <f aca="false">$B$128</f>
        <v>0.1</v>
      </c>
      <c r="D129" s="16" t="n">
        <f aca="false">$B$128+C131</f>
        <v>0.1</v>
      </c>
      <c r="E129" s="16" t="n">
        <f aca="false">$B$128+D131</f>
        <v>0.1</v>
      </c>
      <c r="F129" s="16" t="n">
        <f aca="false">$B$128+E131</f>
        <v>0.1</v>
      </c>
      <c r="G129" s="16" t="n">
        <f aca="false">$B$128+F131</f>
        <v>0.1</v>
      </c>
      <c r="H129" s="16" t="n">
        <f aca="false">$B$128+G131</f>
        <v>0.1</v>
      </c>
      <c r="I129" s="16" t="n">
        <f aca="false">$B$128+H131</f>
        <v>0.1</v>
      </c>
      <c r="J129" s="16" t="n">
        <f aca="false">$B$128+I131</f>
        <v>0.1</v>
      </c>
    </row>
    <row r="130" customFormat="false" ht="15" hidden="false" customHeight="false" outlineLevel="0" collapsed="false">
      <c r="B130" s="9" t="s">
        <v>562</v>
      </c>
      <c r="C130" s="16" t="n">
        <f aca="false">C129</f>
        <v>0.1</v>
      </c>
      <c r="D130" s="16" t="n">
        <f aca="false">D129</f>
        <v>0.1</v>
      </c>
      <c r="E130" s="16" t="n">
        <f aca="false">E129</f>
        <v>0.1</v>
      </c>
      <c r="F130" s="16" t="n">
        <f aca="false">F129</f>
        <v>0.1</v>
      </c>
      <c r="G130" s="16" t="n">
        <f aca="false">G129</f>
        <v>0.1</v>
      </c>
      <c r="H130" s="16" t="n">
        <f aca="false">H129</f>
        <v>0.1</v>
      </c>
      <c r="I130" s="16" t="n">
        <f aca="false">I129</f>
        <v>0.1</v>
      </c>
      <c r="J130" s="16" t="n">
        <f aca="false">J129</f>
        <v>0.1</v>
      </c>
    </row>
    <row r="131" customFormat="false" ht="15" hidden="false" customHeight="false" outlineLevel="0" collapsed="false">
      <c r="B131" s="9" t="s">
        <v>563</v>
      </c>
      <c r="C131" s="16" t="n">
        <f aca="false">C129-C130</f>
        <v>0</v>
      </c>
      <c r="D131" s="16" t="n">
        <f aca="false">D129-D130</f>
        <v>0</v>
      </c>
      <c r="E131" s="16" t="n">
        <f aca="false">E129-E130</f>
        <v>0</v>
      </c>
      <c r="F131" s="16" t="n">
        <f aca="false">F129-F130</f>
        <v>0</v>
      </c>
      <c r="G131" s="16" t="n">
        <f aca="false">G129-G130</f>
        <v>0</v>
      </c>
      <c r="H131" s="16" t="n">
        <f aca="false">H129-H130</f>
        <v>0</v>
      </c>
      <c r="I131" s="16" t="n">
        <f aca="false">I129-I130</f>
        <v>0</v>
      </c>
      <c r="J131" s="16" t="n">
        <f aca="false">J129-J130</f>
        <v>0</v>
      </c>
    </row>
    <row r="132" customFormat="false" ht="15" hidden="false" customHeight="false" outlineLevel="0" collapsed="false">
      <c r="B132" s="9" t="s">
        <v>564</v>
      </c>
      <c r="C132" s="16" t="n">
        <f aca="false">W_cash+W_HY-C130+C11</f>
        <v>0.0377755</v>
      </c>
      <c r="D132" s="16" t="n">
        <f aca="false">C135-D130+D11</f>
        <v>-0.050149</v>
      </c>
      <c r="E132" s="16" t="n">
        <f aca="false">D135-E130+E11</f>
        <v>-0.1122245</v>
      </c>
      <c r="F132" s="16" t="n">
        <f aca="false">E135-F130+F11</f>
        <v>-0.1122245</v>
      </c>
      <c r="G132" s="16" t="n">
        <f aca="false">F135-G130+G11</f>
        <v>-0.1122245</v>
      </c>
      <c r="H132" s="16" t="n">
        <f aca="false">G135-H130+H11</f>
        <v>-0.1122245</v>
      </c>
      <c r="I132" s="16" t="n">
        <f aca="false">H135-I130+I11</f>
        <v>-0.0872245</v>
      </c>
      <c r="J132" s="16" t="n">
        <f aca="false">I135-J130+J11</f>
        <v>-0.0872245</v>
      </c>
    </row>
    <row r="133" customFormat="false" ht="15" hidden="false" customHeight="false" outlineLevel="0" collapsed="false">
      <c r="B133" s="9" t="s">
        <v>565</v>
      </c>
      <c r="C133" s="16" t="n">
        <f aca="false">MIN(C7,MAX(0,Poche_min_exec-C132))</f>
        <v>0.0343</v>
      </c>
      <c r="D133" s="16" t="n">
        <f aca="false">MIN(D7,MAX(0,Poche_min_exec-D132))</f>
        <v>0.0343</v>
      </c>
      <c r="E133" s="16" t="n">
        <f aca="false">MIN(E7,MAX(0,Poche_min_exec-E132))</f>
        <v>0.0343</v>
      </c>
      <c r="F133" s="16" t="n">
        <f aca="false">MIN(F7,MAX(0,Poche_min_exec-F132))</f>
        <v>0.0343</v>
      </c>
      <c r="G133" s="16" t="n">
        <f aca="false">MIN(G7,MAX(0,Poche_min_exec-G132))</f>
        <v>0.0343</v>
      </c>
      <c r="H133" s="16" t="n">
        <f aca="false">MIN(H7,MAX(0,Poche_min_exec-H132))</f>
        <v>0.0343</v>
      </c>
      <c r="I133" s="16" t="n">
        <f aca="false">MIN(I7,MAX(0,Poche_min_exec-I132))</f>
        <v>0.0343</v>
      </c>
      <c r="J133" s="16" t="n">
        <f aca="false">MIN(J7,MAX(0,Poche_min_exec-J132))</f>
        <v>0.0343</v>
      </c>
    </row>
    <row r="134" customFormat="false" ht="15" hidden="false" customHeight="false" outlineLevel="0" collapsed="false">
      <c r="B134" s="9" t="s">
        <v>566</v>
      </c>
      <c r="C134" s="16" t="n">
        <f aca="false">IF(Cession_autorisee=1,MAX(0,Cash_min-(C132+C133))/(1-CHOOSE(Reverse_flux,Paramètres!$J$79,Paramètres!$J$79,Paramètres!$K$79,Paramètres!$L$79)),0)</f>
        <v>0</v>
      </c>
      <c r="D134" s="16" t="n">
        <f aca="false">IF(Cession_autorisee=1,MAX(0,Cash_min-(D132+D133))/(1-CHOOSE(Reverse_flux,Paramètres!$J$79,Paramètres!$J$79,Paramètres!$K$79,Paramètres!$L$79)),0)</f>
        <v>0.0304105882352942</v>
      </c>
      <c r="E134" s="16" t="n">
        <f aca="false">IF(Cession_autorisee=1,MAX(0,Cash_min-(E132+E133))/(1-CHOOSE(Reverse_flux,Paramètres!$J$79,Paramètres!$J$79,Paramètres!$K$79,Paramètres!$L$79)),0)</f>
        <v>0.103440588235294</v>
      </c>
      <c r="F134" s="16" t="n">
        <f aca="false">IF(Cession_autorisee=1,MAX(0,Cash_min-(F132+F133))/(1-CHOOSE(Reverse_flux,Paramètres!$J$79,Paramètres!$J$79,Paramètres!$K$79,Paramètres!$L$79)),0)</f>
        <v>0.103440588235294</v>
      </c>
      <c r="G134" s="16" t="n">
        <f aca="false">IF(Cession_autorisee=1,MAX(0,Cash_min-(G132+G133))/(1-CHOOSE(Reverse_flux,Paramètres!$J$79,Paramètres!$J$79,Paramètres!$K$79,Paramètres!$L$79)),0)</f>
        <v>0.103440588235294</v>
      </c>
      <c r="H134" s="16" t="n">
        <f aca="false">IF(Cession_autorisee=1,MAX(0,Cash_min-(H132+H133))/(1-CHOOSE(Reverse_flux,Paramètres!$J$79,Paramètres!$J$79,Paramètres!$K$79,Paramètres!$L$79)),0)</f>
        <v>0.103440588235294</v>
      </c>
      <c r="I134" s="16" t="n">
        <f aca="false">IF(Cession_autorisee=1,MAX(0,Cash_min-(I132+I133))/(1-CHOOSE(Reverse_flux,Paramètres!$J$79,Paramètres!$J$79,Paramètres!$K$79,Paramètres!$L$79)),0)</f>
        <v>0.0740288235294118</v>
      </c>
      <c r="J134" s="16" t="n">
        <f aca="false">IF(Cession_autorisee=1,MAX(0,Cash_min-(J132+J133))/(1-CHOOSE(Reverse_flux,Paramètres!$J$79,Paramètres!$J$79,Paramètres!$K$79,Paramètres!$L$79)),0)</f>
        <v>0.0740288235294118</v>
      </c>
    </row>
    <row r="135" customFormat="false" ht="15" hidden="false" customHeight="false" outlineLevel="0" collapsed="false">
      <c r="B135" s="9" t="s">
        <v>567</v>
      </c>
      <c r="C135" s="16" t="n">
        <f aca="false">C132+C133+C134*(1-CHOOSE(Reverse_flux,Paramètres!$J$79,Paramètres!$J$79,Paramètres!$K$79,Paramètres!$L$79))</f>
        <v>0.0720755</v>
      </c>
      <c r="D135" s="16" t="n">
        <f aca="false">D132+D133+D134*(1-CHOOSE(Reverse_flux,Paramètres!$J$79,Paramètres!$J$79,Paramètres!$K$79,Paramètres!$L$79))</f>
        <v>0.01</v>
      </c>
      <c r="E135" s="16" t="n">
        <f aca="false">E132+E133+E134*(1-CHOOSE(Reverse_flux,Paramètres!$J$79,Paramètres!$J$79,Paramètres!$K$79,Paramètres!$L$79))</f>
        <v>0.01</v>
      </c>
      <c r="F135" s="16" t="n">
        <f aca="false">F132+F133+F134*(1-CHOOSE(Reverse_flux,Paramètres!$J$79,Paramètres!$J$79,Paramètres!$K$79,Paramètres!$L$79))</f>
        <v>0.01</v>
      </c>
      <c r="G135" s="16" t="n">
        <f aca="false">G132+G133+G134*(1-CHOOSE(Reverse_flux,Paramètres!$J$79,Paramètres!$J$79,Paramètres!$K$79,Paramètres!$L$79))</f>
        <v>0.01</v>
      </c>
      <c r="H135" s="16" t="n">
        <f aca="false">H132+H133+H134*(1-CHOOSE(Reverse_flux,Paramètres!$J$79,Paramètres!$J$79,Paramètres!$K$79,Paramètres!$L$79))</f>
        <v>0.01</v>
      </c>
      <c r="I135" s="16" t="n">
        <f aca="false">I132+I133+I134*(1-CHOOSE(Reverse_flux,Paramètres!$J$79,Paramètres!$J$79,Paramètres!$K$79,Paramètres!$L$79))</f>
        <v>0.01</v>
      </c>
      <c r="J135" s="16" t="n">
        <f aca="false">J132+J133+J134*(1-CHOOSE(Reverse_flux,Paramètres!$J$79,Paramètres!$J$79,Paramètres!$K$79,Paramètres!$L$79))</f>
        <v>0.01</v>
      </c>
    </row>
    <row r="136" customFormat="false" ht="15" hidden="false" customHeight="false" outlineLevel="0" collapsed="false">
      <c r="B136" s="9" t="s">
        <v>568</v>
      </c>
      <c r="C136" s="16" t="n">
        <f aca="false">SUM($C$134:C134)</f>
        <v>0</v>
      </c>
      <c r="D136" s="16" t="n">
        <f aca="false">SUM($C$134:D134)</f>
        <v>0.0304105882352942</v>
      </c>
      <c r="E136" s="16" t="n">
        <f aca="false">SUM($C$134:E134)</f>
        <v>0.133851176470588</v>
      </c>
      <c r="F136" s="16" t="n">
        <f aca="false">SUM($C$134:F134)</f>
        <v>0.237291764705882</v>
      </c>
      <c r="G136" s="16" t="n">
        <f aca="false">SUM($C$134:G134)</f>
        <v>0.340732352941177</v>
      </c>
      <c r="H136" s="16" t="n">
        <f aca="false">SUM($C$134:H134)</f>
        <v>0.444172941176471</v>
      </c>
      <c r="I136" s="16" t="n">
        <f aca="false">SUM($C$134:I134)</f>
        <v>0.518201764705883</v>
      </c>
      <c r="J136" s="16" t="n">
        <f aca="false">SUM($C$134:J134)</f>
        <v>0.592230588235294</v>
      </c>
    </row>
    <row r="137" customFormat="false" ht="15" hidden="false" customHeight="false" outlineLevel="0" collapsed="false">
      <c r="B137" s="40" t="n">
        <v>0.125</v>
      </c>
      <c r="L137" s="41" t="n">
        <f aca="false">J140</f>
        <v>0</v>
      </c>
      <c r="M137" s="41" t="n">
        <f aca="false">MIN(C144:J144)</f>
        <v>0.01</v>
      </c>
      <c r="N137" s="41" t="n">
        <f aca="false">F145</f>
        <v>0.354938823529412</v>
      </c>
      <c r="O137" s="41" t="n">
        <f aca="false">J145</f>
        <v>0.827524705882353</v>
      </c>
      <c r="P137" s="7" t="str">
        <f aca="false">IF(O137&gt;(Paramètres!$D$68+Paramètres!$D$69),"Rouge : cession impossible",IF(N137&gt;0.0001,"Rouge : cessions décotées",IF(M137&lt;S_poche_rouge,"Rouge : poche sous 5 %",IF(M137&lt;S_poche_orange,"Orange","Vert"))))</f>
        <v>Rouge : cession impossible</v>
      </c>
    </row>
    <row r="138" customFormat="false" ht="15" hidden="false" customHeight="false" outlineLevel="0" collapsed="false">
      <c r="B138" s="9" t="s">
        <v>561</v>
      </c>
      <c r="C138" s="16" t="n">
        <f aca="false">$B$137</f>
        <v>0.125</v>
      </c>
      <c r="D138" s="16" t="n">
        <f aca="false">$B$137+C140</f>
        <v>0.125</v>
      </c>
      <c r="E138" s="16" t="n">
        <f aca="false">$B$137+D140</f>
        <v>0.125</v>
      </c>
      <c r="F138" s="16" t="n">
        <f aca="false">$B$137+E140</f>
        <v>0.125</v>
      </c>
      <c r="G138" s="16" t="n">
        <f aca="false">$B$137+F140</f>
        <v>0.125</v>
      </c>
      <c r="H138" s="16" t="n">
        <f aca="false">$B$137+G140</f>
        <v>0.125</v>
      </c>
      <c r="I138" s="16" t="n">
        <f aca="false">$B$137+H140</f>
        <v>0.125</v>
      </c>
      <c r="J138" s="16" t="n">
        <f aca="false">$B$137+I140</f>
        <v>0.125</v>
      </c>
    </row>
    <row r="139" customFormat="false" ht="15" hidden="false" customHeight="false" outlineLevel="0" collapsed="false">
      <c r="B139" s="9" t="s">
        <v>562</v>
      </c>
      <c r="C139" s="16" t="n">
        <f aca="false">C138</f>
        <v>0.125</v>
      </c>
      <c r="D139" s="16" t="n">
        <f aca="false">D138</f>
        <v>0.125</v>
      </c>
      <c r="E139" s="16" t="n">
        <f aca="false">E138</f>
        <v>0.125</v>
      </c>
      <c r="F139" s="16" t="n">
        <f aca="false">F138</f>
        <v>0.125</v>
      </c>
      <c r="G139" s="16" t="n">
        <f aca="false">G138</f>
        <v>0.125</v>
      </c>
      <c r="H139" s="16" t="n">
        <f aca="false">H138</f>
        <v>0.125</v>
      </c>
      <c r="I139" s="16" t="n">
        <f aca="false">I138</f>
        <v>0.125</v>
      </c>
      <c r="J139" s="16" t="n">
        <f aca="false">J138</f>
        <v>0.125</v>
      </c>
    </row>
    <row r="140" customFormat="false" ht="15" hidden="false" customHeight="false" outlineLevel="0" collapsed="false">
      <c r="B140" s="9" t="s">
        <v>563</v>
      </c>
      <c r="C140" s="16" t="n">
        <f aca="false">C138-C139</f>
        <v>0</v>
      </c>
      <c r="D140" s="16" t="n">
        <f aca="false">D138-D139</f>
        <v>0</v>
      </c>
      <c r="E140" s="16" t="n">
        <f aca="false">E138-E139</f>
        <v>0</v>
      </c>
      <c r="F140" s="16" t="n">
        <f aca="false">F138-F139</f>
        <v>0</v>
      </c>
      <c r="G140" s="16" t="n">
        <f aca="false">G138-G139</f>
        <v>0</v>
      </c>
      <c r="H140" s="16" t="n">
        <f aca="false">H138-H139</f>
        <v>0</v>
      </c>
      <c r="I140" s="16" t="n">
        <f aca="false">I138-I139</f>
        <v>0</v>
      </c>
      <c r="J140" s="16" t="n">
        <f aca="false">J138-J139</f>
        <v>0</v>
      </c>
    </row>
    <row r="141" customFormat="false" ht="15" hidden="false" customHeight="false" outlineLevel="0" collapsed="false">
      <c r="B141" s="9" t="s">
        <v>564</v>
      </c>
      <c r="C141" s="16" t="n">
        <f aca="false">W_cash+W_HY-C139+C11</f>
        <v>0.0127755</v>
      </c>
      <c r="D141" s="16" t="n">
        <f aca="false">C144-D139+D11</f>
        <v>-0.100149</v>
      </c>
      <c r="E141" s="16" t="n">
        <f aca="false">D144-E139+E11</f>
        <v>-0.1372245</v>
      </c>
      <c r="F141" s="16" t="n">
        <f aca="false">E144-F139+F11</f>
        <v>-0.1372245</v>
      </c>
      <c r="G141" s="16" t="n">
        <f aca="false">F144-G139+G11</f>
        <v>-0.1372245</v>
      </c>
      <c r="H141" s="16" t="n">
        <f aca="false">G144-H139+H11</f>
        <v>-0.1372245</v>
      </c>
      <c r="I141" s="16" t="n">
        <f aca="false">H144-I139+I11</f>
        <v>-0.1122245</v>
      </c>
      <c r="J141" s="16" t="n">
        <f aca="false">I144-J139+J11</f>
        <v>-0.1122245</v>
      </c>
    </row>
    <row r="142" customFormat="false" ht="15" hidden="false" customHeight="false" outlineLevel="0" collapsed="false">
      <c r="B142" s="9" t="s">
        <v>565</v>
      </c>
      <c r="C142" s="16" t="n">
        <f aca="false">MIN(C7,MAX(0,Poche_min_exec-C141))</f>
        <v>0.0343</v>
      </c>
      <c r="D142" s="16" t="n">
        <f aca="false">MIN(D7,MAX(0,Poche_min_exec-D141))</f>
        <v>0.0343</v>
      </c>
      <c r="E142" s="16" t="n">
        <f aca="false">MIN(E7,MAX(0,Poche_min_exec-E141))</f>
        <v>0.0343</v>
      </c>
      <c r="F142" s="16" t="n">
        <f aca="false">MIN(F7,MAX(0,Poche_min_exec-F141))</f>
        <v>0.0343</v>
      </c>
      <c r="G142" s="16" t="n">
        <f aca="false">MIN(G7,MAX(0,Poche_min_exec-G141))</f>
        <v>0.0343</v>
      </c>
      <c r="H142" s="16" t="n">
        <f aca="false">MIN(H7,MAX(0,Poche_min_exec-H141))</f>
        <v>0.0343</v>
      </c>
      <c r="I142" s="16" t="n">
        <f aca="false">MIN(I7,MAX(0,Poche_min_exec-I141))</f>
        <v>0.0343</v>
      </c>
      <c r="J142" s="16" t="n">
        <f aca="false">MIN(J7,MAX(0,Poche_min_exec-J141))</f>
        <v>0.0343</v>
      </c>
    </row>
    <row r="143" customFormat="false" ht="15" hidden="false" customHeight="false" outlineLevel="0" collapsed="false">
      <c r="B143" s="9" t="s">
        <v>566</v>
      </c>
      <c r="C143" s="16" t="n">
        <f aca="false">IF(Cession_autorisee=1,MAX(0,Cash_min-(C141+C142))/(1-CHOOSE(Reverse_flux,Paramètres!$J$79,Paramètres!$J$79,Paramètres!$K$79,Paramètres!$L$79)),0)</f>
        <v>0</v>
      </c>
      <c r="D143" s="16" t="n">
        <f aca="false">IF(Cession_autorisee=1,MAX(0,Cash_min-(D141+D142))/(1-CHOOSE(Reverse_flux,Paramètres!$J$79,Paramètres!$J$79,Paramètres!$K$79,Paramètres!$L$79)),0)</f>
        <v>0.0892341176470588</v>
      </c>
      <c r="E143" s="16" t="n">
        <f aca="false">IF(Cession_autorisee=1,MAX(0,Cash_min-(E141+E142))/(1-CHOOSE(Reverse_flux,Paramètres!$J$79,Paramètres!$J$79,Paramètres!$K$79,Paramètres!$L$79)),0)</f>
        <v>0.132852352941176</v>
      </c>
      <c r="F143" s="16" t="n">
        <f aca="false">IF(Cession_autorisee=1,MAX(0,Cash_min-(F141+F142))/(1-CHOOSE(Reverse_flux,Paramètres!$J$79,Paramètres!$J$79,Paramètres!$K$79,Paramètres!$L$79)),0)</f>
        <v>0.132852352941176</v>
      </c>
      <c r="G143" s="16" t="n">
        <f aca="false">IF(Cession_autorisee=1,MAX(0,Cash_min-(G141+G142))/(1-CHOOSE(Reverse_flux,Paramètres!$J$79,Paramètres!$J$79,Paramètres!$K$79,Paramètres!$L$79)),0)</f>
        <v>0.132852352941176</v>
      </c>
      <c r="H143" s="16" t="n">
        <f aca="false">IF(Cession_autorisee=1,MAX(0,Cash_min-(H141+H142))/(1-CHOOSE(Reverse_flux,Paramètres!$J$79,Paramètres!$J$79,Paramètres!$K$79,Paramètres!$L$79)),0)</f>
        <v>0.132852352941176</v>
      </c>
      <c r="I143" s="16" t="n">
        <f aca="false">IF(Cession_autorisee=1,MAX(0,Cash_min-(I141+I142))/(1-CHOOSE(Reverse_flux,Paramètres!$J$79,Paramètres!$J$79,Paramètres!$K$79,Paramètres!$L$79)),0)</f>
        <v>0.103440588235294</v>
      </c>
      <c r="J143" s="16" t="n">
        <f aca="false">IF(Cession_autorisee=1,MAX(0,Cash_min-(J141+J142))/(1-CHOOSE(Reverse_flux,Paramètres!$J$79,Paramètres!$J$79,Paramètres!$K$79,Paramètres!$L$79)),0)</f>
        <v>0.103440588235294</v>
      </c>
    </row>
    <row r="144" customFormat="false" ht="15" hidden="false" customHeight="false" outlineLevel="0" collapsed="false">
      <c r="B144" s="9" t="s">
        <v>567</v>
      </c>
      <c r="C144" s="16" t="n">
        <f aca="false">C141+C142+C143*(1-CHOOSE(Reverse_flux,Paramètres!$J$79,Paramètres!$J$79,Paramètres!$K$79,Paramètres!$L$79))</f>
        <v>0.0470755</v>
      </c>
      <c r="D144" s="16" t="n">
        <f aca="false">D141+D142+D143*(1-CHOOSE(Reverse_flux,Paramètres!$J$79,Paramètres!$J$79,Paramètres!$K$79,Paramètres!$L$79))</f>
        <v>0.01</v>
      </c>
      <c r="E144" s="16" t="n">
        <f aca="false">E141+E142+E143*(1-CHOOSE(Reverse_flux,Paramètres!$J$79,Paramètres!$J$79,Paramètres!$K$79,Paramètres!$L$79))</f>
        <v>0.01</v>
      </c>
      <c r="F144" s="16" t="n">
        <f aca="false">F141+F142+F143*(1-CHOOSE(Reverse_flux,Paramètres!$J$79,Paramètres!$J$79,Paramètres!$K$79,Paramètres!$L$79))</f>
        <v>0.01</v>
      </c>
      <c r="G144" s="16" t="n">
        <f aca="false">G141+G142+G143*(1-CHOOSE(Reverse_flux,Paramètres!$J$79,Paramètres!$J$79,Paramètres!$K$79,Paramètres!$L$79))</f>
        <v>0.01</v>
      </c>
      <c r="H144" s="16" t="n">
        <f aca="false">H141+H142+H143*(1-CHOOSE(Reverse_flux,Paramètres!$J$79,Paramètres!$J$79,Paramètres!$K$79,Paramètres!$L$79))</f>
        <v>0.01</v>
      </c>
      <c r="I144" s="16" t="n">
        <f aca="false">I141+I142+I143*(1-CHOOSE(Reverse_flux,Paramètres!$J$79,Paramètres!$J$79,Paramètres!$K$79,Paramètres!$L$79))</f>
        <v>0.01</v>
      </c>
      <c r="J144" s="16" t="n">
        <f aca="false">J141+J142+J143*(1-CHOOSE(Reverse_flux,Paramètres!$J$79,Paramètres!$J$79,Paramètres!$K$79,Paramètres!$L$79))</f>
        <v>0.01</v>
      </c>
    </row>
    <row r="145" customFormat="false" ht="15" hidden="false" customHeight="false" outlineLevel="0" collapsed="false">
      <c r="B145" s="9" t="s">
        <v>568</v>
      </c>
      <c r="C145" s="16" t="n">
        <f aca="false">SUM($C$143:C143)</f>
        <v>0</v>
      </c>
      <c r="D145" s="16" t="n">
        <f aca="false">SUM($C$143:D143)</f>
        <v>0.0892341176470588</v>
      </c>
      <c r="E145" s="16" t="n">
        <f aca="false">SUM($C$143:E143)</f>
        <v>0.222086470588235</v>
      </c>
      <c r="F145" s="16" t="n">
        <f aca="false">SUM($C$143:F143)</f>
        <v>0.354938823529412</v>
      </c>
      <c r="G145" s="16" t="n">
        <f aca="false">SUM($C$143:G143)</f>
        <v>0.487791176470588</v>
      </c>
      <c r="H145" s="16" t="n">
        <f aca="false">SUM($C$143:H143)</f>
        <v>0.620643529411765</v>
      </c>
      <c r="I145" s="16" t="n">
        <f aca="false">SUM($C$143:I143)</f>
        <v>0.724084117647059</v>
      </c>
      <c r="J145" s="16" t="n">
        <f aca="false">SUM($C$143:J143)</f>
        <v>0.827524705882353</v>
      </c>
    </row>
    <row r="146" customFormat="false" ht="15" hidden="false" customHeight="false" outlineLevel="0" collapsed="false">
      <c r="B146" s="40" t="n">
        <v>0.15</v>
      </c>
      <c r="L146" s="41" t="n">
        <f aca="false">J149</f>
        <v>0</v>
      </c>
      <c r="M146" s="41" t="n">
        <f aca="false">MIN(C153:J153)</f>
        <v>0.01</v>
      </c>
      <c r="N146" s="41" t="n">
        <f aca="false">F154</f>
        <v>0.472585882352941</v>
      </c>
      <c r="O146" s="41" t="n">
        <f aca="false">J154</f>
        <v>1.06281882352941</v>
      </c>
      <c r="P146" s="7" t="str">
        <f aca="false">IF(O146&gt;(Paramètres!$D$68+Paramètres!$D$69),"Rouge : cession impossible",IF(N146&gt;0.0001,"Rouge : cessions décotées",IF(M146&lt;S_poche_rouge,"Rouge : poche sous 5 %",IF(M146&lt;S_poche_orange,"Orange","Vert"))))</f>
        <v>Rouge : cession impossible</v>
      </c>
    </row>
    <row r="147" customFormat="false" ht="15" hidden="false" customHeight="false" outlineLevel="0" collapsed="false">
      <c r="B147" s="9" t="s">
        <v>561</v>
      </c>
      <c r="C147" s="16" t="n">
        <f aca="false">$B$146</f>
        <v>0.15</v>
      </c>
      <c r="D147" s="16" t="n">
        <f aca="false">$B$146+C149</f>
        <v>0.15</v>
      </c>
      <c r="E147" s="16" t="n">
        <f aca="false">$B$146+D149</f>
        <v>0.15</v>
      </c>
      <c r="F147" s="16" t="n">
        <f aca="false">$B$146+E149</f>
        <v>0.15</v>
      </c>
      <c r="G147" s="16" t="n">
        <f aca="false">$B$146+F149</f>
        <v>0.15</v>
      </c>
      <c r="H147" s="16" t="n">
        <f aca="false">$B$146+G149</f>
        <v>0.15</v>
      </c>
      <c r="I147" s="16" t="n">
        <f aca="false">$B$146+H149</f>
        <v>0.15</v>
      </c>
      <c r="J147" s="16" t="n">
        <f aca="false">$B$146+I149</f>
        <v>0.15</v>
      </c>
    </row>
    <row r="148" customFormat="false" ht="15" hidden="false" customHeight="false" outlineLevel="0" collapsed="false">
      <c r="B148" s="9" t="s">
        <v>562</v>
      </c>
      <c r="C148" s="16" t="n">
        <f aca="false">C147</f>
        <v>0.15</v>
      </c>
      <c r="D148" s="16" t="n">
        <f aca="false">D147</f>
        <v>0.15</v>
      </c>
      <c r="E148" s="16" t="n">
        <f aca="false">E147</f>
        <v>0.15</v>
      </c>
      <c r="F148" s="16" t="n">
        <f aca="false">F147</f>
        <v>0.15</v>
      </c>
      <c r="G148" s="16" t="n">
        <f aca="false">G147</f>
        <v>0.15</v>
      </c>
      <c r="H148" s="16" t="n">
        <f aca="false">H147</f>
        <v>0.15</v>
      </c>
      <c r="I148" s="16" t="n">
        <f aca="false">I147</f>
        <v>0.15</v>
      </c>
      <c r="J148" s="16" t="n">
        <f aca="false">J147</f>
        <v>0.15</v>
      </c>
    </row>
    <row r="149" customFormat="false" ht="15" hidden="false" customHeight="false" outlineLevel="0" collapsed="false">
      <c r="B149" s="9" t="s">
        <v>563</v>
      </c>
      <c r="C149" s="16" t="n">
        <f aca="false">C147-C148</f>
        <v>0</v>
      </c>
      <c r="D149" s="16" t="n">
        <f aca="false">D147-D148</f>
        <v>0</v>
      </c>
      <c r="E149" s="16" t="n">
        <f aca="false">E147-E148</f>
        <v>0</v>
      </c>
      <c r="F149" s="16" t="n">
        <f aca="false">F147-F148</f>
        <v>0</v>
      </c>
      <c r="G149" s="16" t="n">
        <f aca="false">G147-G148</f>
        <v>0</v>
      </c>
      <c r="H149" s="16" t="n">
        <f aca="false">H147-H148</f>
        <v>0</v>
      </c>
      <c r="I149" s="16" t="n">
        <f aca="false">I147-I148</f>
        <v>0</v>
      </c>
      <c r="J149" s="16" t="n">
        <f aca="false">J147-J148</f>
        <v>0</v>
      </c>
    </row>
    <row r="150" customFormat="false" ht="15" hidden="false" customHeight="false" outlineLevel="0" collapsed="false">
      <c r="B150" s="9" t="s">
        <v>564</v>
      </c>
      <c r="C150" s="16" t="n">
        <f aca="false">W_cash+W_HY-C148+C11</f>
        <v>-0.0122245</v>
      </c>
      <c r="D150" s="16" t="n">
        <f aca="false">C153-D148+D11</f>
        <v>-0.150149</v>
      </c>
      <c r="E150" s="16" t="n">
        <f aca="false">D153-E148+E11</f>
        <v>-0.1622245</v>
      </c>
      <c r="F150" s="16" t="n">
        <f aca="false">E153-F148+F11</f>
        <v>-0.1622245</v>
      </c>
      <c r="G150" s="16" t="n">
        <f aca="false">F153-G148+G11</f>
        <v>-0.1622245</v>
      </c>
      <c r="H150" s="16" t="n">
        <f aca="false">G153-H148+H11</f>
        <v>-0.1622245</v>
      </c>
      <c r="I150" s="16" t="n">
        <f aca="false">H153-I148+I11</f>
        <v>-0.1372245</v>
      </c>
      <c r="J150" s="16" t="n">
        <f aca="false">I153-J148+J11</f>
        <v>-0.1372245</v>
      </c>
    </row>
    <row r="151" customFormat="false" ht="15" hidden="false" customHeight="false" outlineLevel="0" collapsed="false">
      <c r="B151" s="9" t="s">
        <v>565</v>
      </c>
      <c r="C151" s="16" t="n">
        <f aca="false">MIN(C7,MAX(0,Poche_min_exec-C150))</f>
        <v>0.0343</v>
      </c>
      <c r="D151" s="16" t="n">
        <f aca="false">MIN(D7,MAX(0,Poche_min_exec-D150))</f>
        <v>0.0343</v>
      </c>
      <c r="E151" s="16" t="n">
        <f aca="false">MIN(E7,MAX(0,Poche_min_exec-E150))</f>
        <v>0.0343</v>
      </c>
      <c r="F151" s="16" t="n">
        <f aca="false">MIN(F7,MAX(0,Poche_min_exec-F150))</f>
        <v>0.0343</v>
      </c>
      <c r="G151" s="16" t="n">
        <f aca="false">MIN(G7,MAX(0,Poche_min_exec-G150))</f>
        <v>0.0343</v>
      </c>
      <c r="H151" s="16" t="n">
        <f aca="false">MIN(H7,MAX(0,Poche_min_exec-H150))</f>
        <v>0.0343</v>
      </c>
      <c r="I151" s="16" t="n">
        <f aca="false">MIN(I7,MAX(0,Poche_min_exec-I150))</f>
        <v>0.0343</v>
      </c>
      <c r="J151" s="16" t="n">
        <f aca="false">MIN(J7,MAX(0,Poche_min_exec-J150))</f>
        <v>0.0343</v>
      </c>
    </row>
    <row r="152" customFormat="false" ht="15" hidden="false" customHeight="false" outlineLevel="0" collapsed="false">
      <c r="B152" s="9" t="s">
        <v>566</v>
      </c>
      <c r="C152" s="16" t="n">
        <f aca="false">IF(Cession_autorisee=1,MAX(0,Cash_min-(C150+C151))/(1-CHOOSE(Reverse_flux,Paramètres!$J$79,Paramètres!$J$79,Paramètres!$K$79,Paramètres!$L$79)),0)</f>
        <v>0</v>
      </c>
      <c r="D152" s="16" t="n">
        <f aca="false">IF(Cession_autorisee=1,MAX(0,Cash_min-(D150+D151))/(1-CHOOSE(Reverse_flux,Paramètres!$J$79,Paramètres!$J$79,Paramètres!$K$79,Paramètres!$L$79)),0)</f>
        <v>0.148057647058824</v>
      </c>
      <c r="E152" s="16" t="n">
        <f aca="false">IF(Cession_autorisee=1,MAX(0,Cash_min-(E150+E151))/(1-CHOOSE(Reverse_flux,Paramètres!$J$79,Paramètres!$J$79,Paramètres!$K$79,Paramètres!$L$79)),0)</f>
        <v>0.162264117647059</v>
      </c>
      <c r="F152" s="16" t="n">
        <f aca="false">IF(Cession_autorisee=1,MAX(0,Cash_min-(F150+F151))/(1-CHOOSE(Reverse_flux,Paramètres!$J$79,Paramètres!$J$79,Paramètres!$K$79,Paramètres!$L$79)),0)</f>
        <v>0.162264117647059</v>
      </c>
      <c r="G152" s="16" t="n">
        <f aca="false">IF(Cession_autorisee=1,MAX(0,Cash_min-(G150+G151))/(1-CHOOSE(Reverse_flux,Paramètres!$J$79,Paramètres!$J$79,Paramètres!$K$79,Paramètres!$L$79)),0)</f>
        <v>0.162264117647059</v>
      </c>
      <c r="H152" s="16" t="n">
        <f aca="false">IF(Cession_autorisee=1,MAX(0,Cash_min-(H150+H151))/(1-CHOOSE(Reverse_flux,Paramètres!$J$79,Paramètres!$J$79,Paramètres!$K$79,Paramètres!$L$79)),0)</f>
        <v>0.162264117647059</v>
      </c>
      <c r="I152" s="16" t="n">
        <f aca="false">IF(Cession_autorisee=1,MAX(0,Cash_min-(I150+I151))/(1-CHOOSE(Reverse_flux,Paramètres!$J$79,Paramètres!$J$79,Paramètres!$K$79,Paramètres!$L$79)),0)</f>
        <v>0.132852352941176</v>
      </c>
      <c r="J152" s="16" t="n">
        <f aca="false">IF(Cession_autorisee=1,MAX(0,Cash_min-(J150+J151))/(1-CHOOSE(Reverse_flux,Paramètres!$J$79,Paramètres!$J$79,Paramètres!$K$79,Paramètres!$L$79)),0)</f>
        <v>0.132852352941177</v>
      </c>
    </row>
    <row r="153" customFormat="false" ht="15" hidden="false" customHeight="false" outlineLevel="0" collapsed="false">
      <c r="B153" s="9" t="s">
        <v>567</v>
      </c>
      <c r="C153" s="16" t="n">
        <f aca="false">C150+C151+C152*(1-CHOOSE(Reverse_flux,Paramètres!$J$79,Paramètres!$J$79,Paramètres!$K$79,Paramètres!$L$79))</f>
        <v>0.0220755</v>
      </c>
      <c r="D153" s="16" t="n">
        <f aca="false">D150+D151+D152*(1-CHOOSE(Reverse_flux,Paramètres!$J$79,Paramètres!$J$79,Paramètres!$K$79,Paramètres!$L$79))</f>
        <v>0.01</v>
      </c>
      <c r="E153" s="16" t="n">
        <f aca="false">E150+E151+E152*(1-CHOOSE(Reverse_flux,Paramètres!$J$79,Paramètres!$J$79,Paramètres!$K$79,Paramètres!$L$79))</f>
        <v>0.01</v>
      </c>
      <c r="F153" s="16" t="n">
        <f aca="false">F150+F151+F152*(1-CHOOSE(Reverse_flux,Paramètres!$J$79,Paramètres!$J$79,Paramètres!$K$79,Paramètres!$L$79))</f>
        <v>0.01</v>
      </c>
      <c r="G153" s="16" t="n">
        <f aca="false">G150+G151+G152*(1-CHOOSE(Reverse_flux,Paramètres!$J$79,Paramètres!$J$79,Paramètres!$K$79,Paramètres!$L$79))</f>
        <v>0.01</v>
      </c>
      <c r="H153" s="16" t="n">
        <f aca="false">H150+H151+H152*(1-CHOOSE(Reverse_flux,Paramètres!$J$79,Paramètres!$J$79,Paramètres!$K$79,Paramètres!$L$79))</f>
        <v>0.01</v>
      </c>
      <c r="I153" s="16" t="n">
        <f aca="false">I150+I151+I152*(1-CHOOSE(Reverse_flux,Paramètres!$J$79,Paramètres!$J$79,Paramètres!$K$79,Paramètres!$L$79))</f>
        <v>0.01</v>
      </c>
      <c r="J153" s="16" t="n">
        <f aca="false">J150+J151+J152*(1-CHOOSE(Reverse_flux,Paramètres!$J$79,Paramètres!$J$79,Paramètres!$K$79,Paramètres!$L$79))</f>
        <v>0.01</v>
      </c>
    </row>
    <row r="154" customFormat="false" ht="15" hidden="false" customHeight="false" outlineLevel="0" collapsed="false">
      <c r="B154" s="9" t="s">
        <v>568</v>
      </c>
      <c r="C154" s="16" t="n">
        <f aca="false">SUM($C$152:C152)</f>
        <v>0</v>
      </c>
      <c r="D154" s="16" t="n">
        <f aca="false">SUM($C$152:D152)</f>
        <v>0.148057647058824</v>
      </c>
      <c r="E154" s="16" t="n">
        <f aca="false">SUM($C$152:E152)</f>
        <v>0.310321764705882</v>
      </c>
      <c r="F154" s="16" t="n">
        <f aca="false">SUM($C$152:F152)</f>
        <v>0.472585882352941</v>
      </c>
      <c r="G154" s="16" t="n">
        <f aca="false">SUM($C$152:G152)</f>
        <v>0.63485</v>
      </c>
      <c r="H154" s="16" t="n">
        <f aca="false">SUM($C$152:H152)</f>
        <v>0.797114117647059</v>
      </c>
      <c r="I154" s="16" t="n">
        <f aca="false">SUM($C$152:I152)</f>
        <v>0.929966470588235</v>
      </c>
      <c r="J154" s="16" t="n">
        <f aca="false">SUM($C$152:J152)</f>
        <v>1.06281882352941</v>
      </c>
    </row>
    <row r="155" customFormat="false" ht="15" hidden="false" customHeight="false" outlineLevel="0" collapsed="false">
      <c r="B155" s="40" t="n">
        <v>0.2</v>
      </c>
      <c r="L155" s="41" t="n">
        <f aca="false">J158</f>
        <v>0</v>
      </c>
      <c r="M155" s="41" t="n">
        <f aca="false">MIN(C162:J162)</f>
        <v>0.01</v>
      </c>
      <c r="N155" s="41" t="n">
        <f aca="false">F163</f>
        <v>0.70788</v>
      </c>
      <c r="O155" s="41" t="n">
        <f aca="false">J163</f>
        <v>1.53340705882353</v>
      </c>
      <c r="P155" s="7" t="str">
        <f aca="false">IF(O155&gt;(Paramètres!$D$68+Paramètres!$D$69),"Rouge : cession impossible",IF(N155&gt;0.0001,"Rouge : cessions décotées",IF(M155&lt;S_poche_rouge,"Rouge : poche sous 5 %",IF(M155&lt;S_poche_orange,"Orange","Vert"))))</f>
        <v>Rouge : cession impossible</v>
      </c>
    </row>
    <row r="156" customFormat="false" ht="15" hidden="false" customHeight="false" outlineLevel="0" collapsed="false">
      <c r="B156" s="9" t="s">
        <v>561</v>
      </c>
      <c r="C156" s="16" t="n">
        <f aca="false">$B$155</f>
        <v>0.2</v>
      </c>
      <c r="D156" s="16" t="n">
        <f aca="false">$B$155+C158</f>
        <v>0.2</v>
      </c>
      <c r="E156" s="16" t="n">
        <f aca="false">$B$155+D158</f>
        <v>0.2</v>
      </c>
      <c r="F156" s="16" t="n">
        <f aca="false">$B$155+E158</f>
        <v>0.2</v>
      </c>
      <c r="G156" s="16" t="n">
        <f aca="false">$B$155+F158</f>
        <v>0.2</v>
      </c>
      <c r="H156" s="16" t="n">
        <f aca="false">$B$155+G158</f>
        <v>0.2</v>
      </c>
      <c r="I156" s="16" t="n">
        <f aca="false">$B$155+H158</f>
        <v>0.2</v>
      </c>
      <c r="J156" s="16" t="n">
        <f aca="false">$B$155+I158</f>
        <v>0.2</v>
      </c>
    </row>
    <row r="157" customFormat="false" ht="15" hidden="false" customHeight="false" outlineLevel="0" collapsed="false">
      <c r="B157" s="9" t="s">
        <v>562</v>
      </c>
      <c r="C157" s="16" t="n">
        <f aca="false">C156</f>
        <v>0.2</v>
      </c>
      <c r="D157" s="16" t="n">
        <f aca="false">D156</f>
        <v>0.2</v>
      </c>
      <c r="E157" s="16" t="n">
        <f aca="false">E156</f>
        <v>0.2</v>
      </c>
      <c r="F157" s="16" t="n">
        <f aca="false">F156</f>
        <v>0.2</v>
      </c>
      <c r="G157" s="16" t="n">
        <f aca="false">G156</f>
        <v>0.2</v>
      </c>
      <c r="H157" s="16" t="n">
        <f aca="false">H156</f>
        <v>0.2</v>
      </c>
      <c r="I157" s="16" t="n">
        <f aca="false">I156</f>
        <v>0.2</v>
      </c>
      <c r="J157" s="16" t="n">
        <f aca="false">J156</f>
        <v>0.2</v>
      </c>
    </row>
    <row r="158" customFormat="false" ht="15" hidden="false" customHeight="false" outlineLevel="0" collapsed="false">
      <c r="B158" s="9" t="s">
        <v>563</v>
      </c>
      <c r="C158" s="16" t="n">
        <f aca="false">C156-C157</f>
        <v>0</v>
      </c>
      <c r="D158" s="16" t="n">
        <f aca="false">D156-D157</f>
        <v>0</v>
      </c>
      <c r="E158" s="16" t="n">
        <f aca="false">E156-E157</f>
        <v>0</v>
      </c>
      <c r="F158" s="16" t="n">
        <f aca="false">F156-F157</f>
        <v>0</v>
      </c>
      <c r="G158" s="16" t="n">
        <f aca="false">G156-G157</f>
        <v>0</v>
      </c>
      <c r="H158" s="16" t="n">
        <f aca="false">H156-H157</f>
        <v>0</v>
      </c>
      <c r="I158" s="16" t="n">
        <f aca="false">I156-I157</f>
        <v>0</v>
      </c>
      <c r="J158" s="16" t="n">
        <f aca="false">J156-J157</f>
        <v>0</v>
      </c>
    </row>
    <row r="159" customFormat="false" ht="15" hidden="false" customHeight="false" outlineLevel="0" collapsed="false">
      <c r="B159" s="9" t="s">
        <v>564</v>
      </c>
      <c r="C159" s="16" t="n">
        <f aca="false">W_cash+W_HY-C157+C11</f>
        <v>-0.0622245</v>
      </c>
      <c r="D159" s="16" t="n">
        <f aca="false">C162-D157+D11</f>
        <v>-0.2122245</v>
      </c>
      <c r="E159" s="16" t="n">
        <f aca="false">D162-E157+E11</f>
        <v>-0.2122245</v>
      </c>
      <c r="F159" s="16" t="n">
        <f aca="false">E162-F157+F11</f>
        <v>-0.2122245</v>
      </c>
      <c r="G159" s="16" t="n">
        <f aca="false">F162-G157+G11</f>
        <v>-0.2122245</v>
      </c>
      <c r="H159" s="16" t="n">
        <f aca="false">G162-H157+H11</f>
        <v>-0.2122245</v>
      </c>
      <c r="I159" s="16" t="n">
        <f aca="false">H162-I157+I11</f>
        <v>-0.1872245</v>
      </c>
      <c r="J159" s="16" t="n">
        <f aca="false">I162-J157+J11</f>
        <v>-0.1872245</v>
      </c>
    </row>
    <row r="160" customFormat="false" ht="15" hidden="false" customHeight="false" outlineLevel="0" collapsed="false">
      <c r="B160" s="9" t="s">
        <v>565</v>
      </c>
      <c r="C160" s="16" t="n">
        <f aca="false">MIN(C7,MAX(0,Poche_min_exec-C159))</f>
        <v>0.0343</v>
      </c>
      <c r="D160" s="16" t="n">
        <f aca="false">MIN(D7,MAX(0,Poche_min_exec-D159))</f>
        <v>0.0343</v>
      </c>
      <c r="E160" s="16" t="n">
        <f aca="false">MIN(E7,MAX(0,Poche_min_exec-E159))</f>
        <v>0.0343</v>
      </c>
      <c r="F160" s="16" t="n">
        <f aca="false">MIN(F7,MAX(0,Poche_min_exec-F159))</f>
        <v>0.0343</v>
      </c>
      <c r="G160" s="16" t="n">
        <f aca="false">MIN(G7,MAX(0,Poche_min_exec-G159))</f>
        <v>0.0343</v>
      </c>
      <c r="H160" s="16" t="n">
        <f aca="false">MIN(H7,MAX(0,Poche_min_exec-H159))</f>
        <v>0.0343</v>
      </c>
      <c r="I160" s="16" t="n">
        <f aca="false">MIN(I7,MAX(0,Poche_min_exec-I159))</f>
        <v>0.0343</v>
      </c>
      <c r="J160" s="16" t="n">
        <f aca="false">MIN(J7,MAX(0,Poche_min_exec-J159))</f>
        <v>0.0343</v>
      </c>
    </row>
    <row r="161" customFormat="false" ht="15" hidden="false" customHeight="false" outlineLevel="0" collapsed="false">
      <c r="B161" s="9" t="s">
        <v>566</v>
      </c>
      <c r="C161" s="16" t="n">
        <f aca="false">IF(Cession_autorisee=1,MAX(0,Cash_min-(C159+C160))/(1-CHOOSE(Reverse_flux,Paramètres!$J$79,Paramètres!$J$79,Paramètres!$K$79,Paramètres!$L$79)),0)</f>
        <v>0.0446170588235294</v>
      </c>
      <c r="D161" s="16" t="n">
        <f aca="false">IF(Cession_autorisee=1,MAX(0,Cash_min-(D159+D160))/(1-CHOOSE(Reverse_flux,Paramètres!$J$79,Paramètres!$J$79,Paramètres!$K$79,Paramètres!$L$79)),0)</f>
        <v>0.221087647058824</v>
      </c>
      <c r="E161" s="16" t="n">
        <f aca="false">IF(Cession_autorisee=1,MAX(0,Cash_min-(E159+E160))/(1-CHOOSE(Reverse_flux,Paramètres!$J$79,Paramètres!$J$79,Paramètres!$K$79,Paramètres!$L$79)),0)</f>
        <v>0.221087647058824</v>
      </c>
      <c r="F161" s="16" t="n">
        <f aca="false">IF(Cession_autorisee=1,MAX(0,Cash_min-(F159+F160))/(1-CHOOSE(Reverse_flux,Paramètres!$J$79,Paramètres!$J$79,Paramètres!$K$79,Paramètres!$L$79)),0)</f>
        <v>0.221087647058824</v>
      </c>
      <c r="G161" s="16" t="n">
        <f aca="false">IF(Cession_autorisee=1,MAX(0,Cash_min-(G159+G160))/(1-CHOOSE(Reverse_flux,Paramètres!$J$79,Paramètres!$J$79,Paramètres!$K$79,Paramètres!$L$79)),0)</f>
        <v>0.221087647058824</v>
      </c>
      <c r="H161" s="16" t="n">
        <f aca="false">IF(Cession_autorisee=1,MAX(0,Cash_min-(H159+H160))/(1-CHOOSE(Reverse_flux,Paramètres!$J$79,Paramètres!$J$79,Paramètres!$K$79,Paramètres!$L$79)),0)</f>
        <v>0.221087647058824</v>
      </c>
      <c r="I161" s="16" t="n">
        <f aca="false">IF(Cession_autorisee=1,MAX(0,Cash_min-(I159+I160))/(1-CHOOSE(Reverse_flux,Paramètres!$J$79,Paramètres!$J$79,Paramètres!$K$79,Paramètres!$L$79)),0)</f>
        <v>0.191675882352941</v>
      </c>
      <c r="J161" s="16" t="n">
        <f aca="false">IF(Cession_autorisee=1,MAX(0,Cash_min-(J159+J160))/(1-CHOOSE(Reverse_flux,Paramètres!$J$79,Paramètres!$J$79,Paramètres!$K$79,Paramètres!$L$79)),0)</f>
        <v>0.191675882352941</v>
      </c>
    </row>
    <row r="162" customFormat="false" ht="15" hidden="false" customHeight="false" outlineLevel="0" collapsed="false">
      <c r="B162" s="9" t="s">
        <v>567</v>
      </c>
      <c r="C162" s="16" t="n">
        <f aca="false">C159+C160+C161*(1-CHOOSE(Reverse_flux,Paramètres!$J$79,Paramètres!$J$79,Paramètres!$K$79,Paramètres!$L$79))</f>
        <v>0.01</v>
      </c>
      <c r="D162" s="16" t="n">
        <f aca="false">D159+D160+D161*(1-CHOOSE(Reverse_flux,Paramètres!$J$79,Paramètres!$J$79,Paramètres!$K$79,Paramètres!$L$79))</f>
        <v>0.01</v>
      </c>
      <c r="E162" s="16" t="n">
        <f aca="false">E159+E160+E161*(1-CHOOSE(Reverse_flux,Paramètres!$J$79,Paramètres!$J$79,Paramètres!$K$79,Paramètres!$L$79))</f>
        <v>0.01</v>
      </c>
      <c r="F162" s="16" t="n">
        <f aca="false">F159+F160+F161*(1-CHOOSE(Reverse_flux,Paramètres!$J$79,Paramètres!$J$79,Paramètres!$K$79,Paramètres!$L$79))</f>
        <v>0.01</v>
      </c>
      <c r="G162" s="16" t="n">
        <f aca="false">G159+G160+G161*(1-CHOOSE(Reverse_flux,Paramètres!$J$79,Paramètres!$J$79,Paramètres!$K$79,Paramètres!$L$79))</f>
        <v>0.01</v>
      </c>
      <c r="H162" s="16" t="n">
        <f aca="false">H159+H160+H161*(1-CHOOSE(Reverse_flux,Paramètres!$J$79,Paramètres!$J$79,Paramètres!$K$79,Paramètres!$L$79))</f>
        <v>0.01</v>
      </c>
      <c r="I162" s="16" t="n">
        <f aca="false">I159+I160+I161*(1-CHOOSE(Reverse_flux,Paramètres!$J$79,Paramètres!$J$79,Paramètres!$K$79,Paramètres!$L$79))</f>
        <v>0.01</v>
      </c>
      <c r="J162" s="16" t="n">
        <f aca="false">J159+J160+J161*(1-CHOOSE(Reverse_flux,Paramètres!$J$79,Paramètres!$J$79,Paramètres!$K$79,Paramètres!$L$79))</f>
        <v>0.01</v>
      </c>
    </row>
    <row r="163" customFormat="false" ht="15" hidden="false" customHeight="false" outlineLevel="0" collapsed="false">
      <c r="B163" s="9" t="s">
        <v>568</v>
      </c>
      <c r="C163" s="16" t="n">
        <f aca="false">SUM($C$161:C161)</f>
        <v>0.0446170588235294</v>
      </c>
      <c r="D163" s="16" t="n">
        <f aca="false">SUM($C$161:D161)</f>
        <v>0.265704705882353</v>
      </c>
      <c r="E163" s="16" t="n">
        <f aca="false">SUM($C$161:E161)</f>
        <v>0.486792352941177</v>
      </c>
      <c r="F163" s="16" t="n">
        <f aca="false">SUM($C$161:F161)</f>
        <v>0.70788</v>
      </c>
      <c r="G163" s="16" t="n">
        <f aca="false">SUM($C$161:G161)</f>
        <v>0.928967647058824</v>
      </c>
      <c r="H163" s="16" t="n">
        <f aca="false">SUM($C$161:H161)</f>
        <v>1.15005529411765</v>
      </c>
      <c r="I163" s="16" t="n">
        <f aca="false">SUM($C$161:I161)</f>
        <v>1.34173117647059</v>
      </c>
      <c r="J163" s="16" t="n">
        <f aca="false">SUM($C$161:J161)</f>
        <v>1.53340705882353</v>
      </c>
    </row>
    <row r="164" customFormat="false" ht="15" hidden="false" customHeight="false" outlineLevel="0" collapsed="false">
      <c r="B164" s="40" t="n">
        <v>0.25</v>
      </c>
      <c r="L164" s="41" t="n">
        <f aca="false">J167</f>
        <v>0</v>
      </c>
      <c r="M164" s="41" t="n">
        <f aca="false">MIN(C171:J171)</f>
        <v>0.01</v>
      </c>
      <c r="N164" s="41" t="n">
        <f aca="false">F172</f>
        <v>0.943174117647059</v>
      </c>
      <c r="O164" s="41" t="n">
        <f aca="false">J172</f>
        <v>2.00399529411765</v>
      </c>
      <c r="P164" s="7" t="str">
        <f aca="false">IF(O164&gt;(Paramètres!$D$68+Paramètres!$D$69),"Rouge : cession impossible",IF(N164&gt;0.0001,"Rouge : cessions décotées",IF(M164&lt;S_poche_rouge,"Rouge : poche sous 5 %",IF(M164&lt;S_poche_orange,"Orange","Vert"))))</f>
        <v>Rouge : cession impossible</v>
      </c>
    </row>
    <row r="165" customFormat="false" ht="15" hidden="false" customHeight="false" outlineLevel="0" collapsed="false">
      <c r="B165" s="9" t="s">
        <v>561</v>
      </c>
      <c r="C165" s="16" t="n">
        <f aca="false">$B$164</f>
        <v>0.25</v>
      </c>
      <c r="D165" s="16" t="n">
        <f aca="false">$B$164+C167</f>
        <v>0.25</v>
      </c>
      <c r="E165" s="16" t="n">
        <f aca="false">$B$164+D167</f>
        <v>0.25</v>
      </c>
      <c r="F165" s="16" t="n">
        <f aca="false">$B$164+E167</f>
        <v>0.25</v>
      </c>
      <c r="G165" s="16" t="n">
        <f aca="false">$B$164+F167</f>
        <v>0.25</v>
      </c>
      <c r="H165" s="16" t="n">
        <f aca="false">$B$164+G167</f>
        <v>0.25</v>
      </c>
      <c r="I165" s="16" t="n">
        <f aca="false">$B$164+H167</f>
        <v>0.25</v>
      </c>
      <c r="J165" s="16" t="n">
        <f aca="false">$B$164+I167</f>
        <v>0.25</v>
      </c>
    </row>
    <row r="166" customFormat="false" ht="15" hidden="false" customHeight="false" outlineLevel="0" collapsed="false">
      <c r="B166" s="9" t="s">
        <v>562</v>
      </c>
      <c r="C166" s="16" t="n">
        <f aca="false">C165</f>
        <v>0.25</v>
      </c>
      <c r="D166" s="16" t="n">
        <f aca="false">D165</f>
        <v>0.25</v>
      </c>
      <c r="E166" s="16" t="n">
        <f aca="false">E165</f>
        <v>0.25</v>
      </c>
      <c r="F166" s="16" t="n">
        <f aca="false">F165</f>
        <v>0.25</v>
      </c>
      <c r="G166" s="16" t="n">
        <f aca="false">G165</f>
        <v>0.25</v>
      </c>
      <c r="H166" s="16" t="n">
        <f aca="false">H165</f>
        <v>0.25</v>
      </c>
      <c r="I166" s="16" t="n">
        <f aca="false">I165</f>
        <v>0.25</v>
      </c>
      <c r="J166" s="16" t="n">
        <f aca="false">J165</f>
        <v>0.25</v>
      </c>
    </row>
    <row r="167" customFormat="false" ht="15" hidden="false" customHeight="false" outlineLevel="0" collapsed="false">
      <c r="B167" s="9" t="s">
        <v>563</v>
      </c>
      <c r="C167" s="16" t="n">
        <f aca="false">C165-C166</f>
        <v>0</v>
      </c>
      <c r="D167" s="16" t="n">
        <f aca="false">D165-D166</f>
        <v>0</v>
      </c>
      <c r="E167" s="16" t="n">
        <f aca="false">E165-E166</f>
        <v>0</v>
      </c>
      <c r="F167" s="16" t="n">
        <f aca="false">F165-F166</f>
        <v>0</v>
      </c>
      <c r="G167" s="16" t="n">
        <f aca="false">G165-G166</f>
        <v>0</v>
      </c>
      <c r="H167" s="16" t="n">
        <f aca="false">H165-H166</f>
        <v>0</v>
      </c>
      <c r="I167" s="16" t="n">
        <f aca="false">I165-I166</f>
        <v>0</v>
      </c>
      <c r="J167" s="16" t="n">
        <f aca="false">J165-J166</f>
        <v>0</v>
      </c>
    </row>
    <row r="168" customFormat="false" ht="15" hidden="false" customHeight="false" outlineLevel="0" collapsed="false">
      <c r="B168" s="9" t="s">
        <v>564</v>
      </c>
      <c r="C168" s="16" t="n">
        <f aca="false">W_cash+W_HY-C166+C11</f>
        <v>-0.1122245</v>
      </c>
      <c r="D168" s="16" t="n">
        <f aca="false">C171-D166+D11</f>
        <v>-0.2622245</v>
      </c>
      <c r="E168" s="16" t="n">
        <f aca="false">D171-E166+E11</f>
        <v>-0.2622245</v>
      </c>
      <c r="F168" s="16" t="n">
        <f aca="false">E171-F166+F11</f>
        <v>-0.2622245</v>
      </c>
      <c r="G168" s="16" t="n">
        <f aca="false">F171-G166+G11</f>
        <v>-0.2622245</v>
      </c>
      <c r="H168" s="16" t="n">
        <f aca="false">G171-H166+H11</f>
        <v>-0.2622245</v>
      </c>
      <c r="I168" s="16" t="n">
        <f aca="false">H171-I166+I11</f>
        <v>-0.2372245</v>
      </c>
      <c r="J168" s="16" t="n">
        <f aca="false">I171-J166+J11</f>
        <v>-0.2372245</v>
      </c>
    </row>
    <row r="169" customFormat="false" ht="15" hidden="false" customHeight="false" outlineLevel="0" collapsed="false">
      <c r="B169" s="9" t="s">
        <v>565</v>
      </c>
      <c r="C169" s="16" t="n">
        <f aca="false">MIN(C7,MAX(0,Poche_min_exec-C168))</f>
        <v>0.0343</v>
      </c>
      <c r="D169" s="16" t="n">
        <f aca="false">MIN(D7,MAX(0,Poche_min_exec-D168))</f>
        <v>0.0343</v>
      </c>
      <c r="E169" s="16" t="n">
        <f aca="false">MIN(E7,MAX(0,Poche_min_exec-E168))</f>
        <v>0.0343</v>
      </c>
      <c r="F169" s="16" t="n">
        <f aca="false">MIN(F7,MAX(0,Poche_min_exec-F168))</f>
        <v>0.0343</v>
      </c>
      <c r="G169" s="16" t="n">
        <f aca="false">MIN(G7,MAX(0,Poche_min_exec-G168))</f>
        <v>0.0343</v>
      </c>
      <c r="H169" s="16" t="n">
        <f aca="false">MIN(H7,MAX(0,Poche_min_exec-H168))</f>
        <v>0.0343</v>
      </c>
      <c r="I169" s="16" t="n">
        <f aca="false">MIN(I7,MAX(0,Poche_min_exec-I168))</f>
        <v>0.0343</v>
      </c>
      <c r="J169" s="16" t="n">
        <f aca="false">MIN(J7,MAX(0,Poche_min_exec-J168))</f>
        <v>0.0343</v>
      </c>
    </row>
    <row r="170" customFormat="false" ht="15" hidden="false" customHeight="false" outlineLevel="0" collapsed="false">
      <c r="B170" s="9" t="s">
        <v>566</v>
      </c>
      <c r="C170" s="16" t="n">
        <f aca="false">IF(Cession_autorisee=1,MAX(0,Cash_min-(C168+C169))/(1-CHOOSE(Reverse_flux,Paramètres!$J$79,Paramètres!$J$79,Paramètres!$K$79,Paramètres!$L$79)),0)</f>
        <v>0.103440588235294</v>
      </c>
      <c r="D170" s="16" t="n">
        <f aca="false">IF(Cession_autorisee=1,MAX(0,Cash_min-(D168+D169))/(1-CHOOSE(Reverse_flux,Paramètres!$J$79,Paramètres!$J$79,Paramètres!$K$79,Paramètres!$L$79)),0)</f>
        <v>0.279911176470588</v>
      </c>
      <c r="E170" s="16" t="n">
        <f aca="false">IF(Cession_autorisee=1,MAX(0,Cash_min-(E168+E169))/(1-CHOOSE(Reverse_flux,Paramètres!$J$79,Paramètres!$J$79,Paramètres!$K$79,Paramètres!$L$79)),0)</f>
        <v>0.279911176470588</v>
      </c>
      <c r="F170" s="16" t="n">
        <f aca="false">IF(Cession_autorisee=1,MAX(0,Cash_min-(F168+F169))/(1-CHOOSE(Reverse_flux,Paramètres!$J$79,Paramètres!$J$79,Paramètres!$K$79,Paramètres!$L$79)),0)</f>
        <v>0.279911176470588</v>
      </c>
      <c r="G170" s="16" t="n">
        <f aca="false">IF(Cession_autorisee=1,MAX(0,Cash_min-(G168+G169))/(1-CHOOSE(Reverse_flux,Paramètres!$J$79,Paramètres!$J$79,Paramètres!$K$79,Paramètres!$L$79)),0)</f>
        <v>0.279911176470588</v>
      </c>
      <c r="H170" s="16" t="n">
        <f aca="false">IF(Cession_autorisee=1,MAX(0,Cash_min-(H168+H169))/(1-CHOOSE(Reverse_flux,Paramètres!$J$79,Paramètres!$J$79,Paramètres!$K$79,Paramètres!$L$79)),0)</f>
        <v>0.279911176470588</v>
      </c>
      <c r="I170" s="16" t="n">
        <f aca="false">IF(Cession_autorisee=1,MAX(0,Cash_min-(I168+I169))/(1-CHOOSE(Reverse_flux,Paramètres!$J$79,Paramètres!$J$79,Paramètres!$K$79,Paramètres!$L$79)),0)</f>
        <v>0.250499411764706</v>
      </c>
      <c r="J170" s="16" t="n">
        <f aca="false">IF(Cession_autorisee=1,MAX(0,Cash_min-(J168+J169))/(1-CHOOSE(Reverse_flux,Paramètres!$J$79,Paramètres!$J$79,Paramètres!$K$79,Paramètres!$L$79)),0)</f>
        <v>0.250499411764706</v>
      </c>
    </row>
    <row r="171" customFormat="false" ht="15" hidden="false" customHeight="false" outlineLevel="0" collapsed="false">
      <c r="B171" s="9" t="s">
        <v>567</v>
      </c>
      <c r="C171" s="16" t="n">
        <f aca="false">C168+C169+C170*(1-CHOOSE(Reverse_flux,Paramètres!$J$79,Paramètres!$J$79,Paramètres!$K$79,Paramètres!$L$79))</f>
        <v>0.01</v>
      </c>
      <c r="D171" s="16" t="n">
        <f aca="false">D168+D169+D170*(1-CHOOSE(Reverse_flux,Paramètres!$J$79,Paramètres!$J$79,Paramètres!$K$79,Paramètres!$L$79))</f>
        <v>0.01</v>
      </c>
      <c r="E171" s="16" t="n">
        <f aca="false">E168+E169+E170*(1-CHOOSE(Reverse_flux,Paramètres!$J$79,Paramètres!$J$79,Paramètres!$K$79,Paramètres!$L$79))</f>
        <v>0.01</v>
      </c>
      <c r="F171" s="16" t="n">
        <f aca="false">F168+F169+F170*(1-CHOOSE(Reverse_flux,Paramètres!$J$79,Paramètres!$J$79,Paramètres!$K$79,Paramètres!$L$79))</f>
        <v>0.01</v>
      </c>
      <c r="G171" s="16" t="n">
        <f aca="false">G168+G169+G170*(1-CHOOSE(Reverse_flux,Paramètres!$J$79,Paramètres!$J$79,Paramètres!$K$79,Paramètres!$L$79))</f>
        <v>0.01</v>
      </c>
      <c r="H171" s="16" t="n">
        <f aca="false">H168+H169+H170*(1-CHOOSE(Reverse_flux,Paramètres!$J$79,Paramètres!$J$79,Paramètres!$K$79,Paramètres!$L$79))</f>
        <v>0.01</v>
      </c>
      <c r="I171" s="16" t="n">
        <f aca="false">I168+I169+I170*(1-CHOOSE(Reverse_flux,Paramètres!$J$79,Paramètres!$J$79,Paramètres!$K$79,Paramètres!$L$79))</f>
        <v>0.01</v>
      </c>
      <c r="J171" s="16" t="n">
        <f aca="false">J168+J169+J170*(1-CHOOSE(Reverse_flux,Paramètres!$J$79,Paramètres!$J$79,Paramètres!$K$79,Paramètres!$L$79))</f>
        <v>0.01</v>
      </c>
    </row>
    <row r="172" customFormat="false" ht="15" hidden="false" customHeight="false" outlineLevel="0" collapsed="false">
      <c r="B172" s="9" t="s">
        <v>568</v>
      </c>
      <c r="C172" s="16" t="n">
        <f aca="false">SUM($C$170:C170)</f>
        <v>0.103440588235294</v>
      </c>
      <c r="D172" s="16" t="n">
        <f aca="false">SUM($C$170:D170)</f>
        <v>0.383351764705882</v>
      </c>
      <c r="E172" s="16" t="n">
        <f aca="false">SUM($C$170:E170)</f>
        <v>0.663262941176471</v>
      </c>
      <c r="F172" s="16" t="n">
        <f aca="false">SUM($C$170:F170)</f>
        <v>0.943174117647059</v>
      </c>
      <c r="G172" s="16" t="n">
        <f aca="false">SUM($C$170:G170)</f>
        <v>1.22308529411765</v>
      </c>
      <c r="H172" s="16" t="n">
        <f aca="false">SUM($C$170:H170)</f>
        <v>1.50299647058824</v>
      </c>
      <c r="I172" s="16" t="n">
        <f aca="false">SUM($C$170:I170)</f>
        <v>1.75349588235294</v>
      </c>
      <c r="J172" s="16" t="n">
        <f aca="false">SUM($C$170:J170)</f>
        <v>2.00399529411765</v>
      </c>
    </row>
    <row r="173" customFormat="false" ht="15" hidden="false" customHeight="false" outlineLevel="0" collapsed="false">
      <c r="B173" s="40" t="n">
        <v>0.3</v>
      </c>
      <c r="L173" s="41" t="n">
        <f aca="false">J176</f>
        <v>0</v>
      </c>
      <c r="M173" s="41" t="n">
        <f aca="false">MIN(C180:J180)</f>
        <v>0.01</v>
      </c>
      <c r="N173" s="41" t="n">
        <f aca="false">F181</f>
        <v>1.17846823529412</v>
      </c>
      <c r="O173" s="41" t="n">
        <f aca="false">J181</f>
        <v>2.47458352941176</v>
      </c>
      <c r="P173" s="7" t="str">
        <f aca="false">IF(O173&gt;(Paramètres!$D$68+Paramètres!$D$69),"Rouge : cession impossible",IF(N173&gt;0.0001,"Rouge : cessions décotées",IF(M173&lt;S_poche_rouge,"Rouge : poche sous 5 %",IF(M173&lt;S_poche_orange,"Orange","Vert"))))</f>
        <v>Rouge : cession impossible</v>
      </c>
    </row>
    <row r="174" customFormat="false" ht="15" hidden="false" customHeight="false" outlineLevel="0" collapsed="false">
      <c r="B174" s="9" t="s">
        <v>561</v>
      </c>
      <c r="C174" s="16" t="n">
        <f aca="false">$B$173</f>
        <v>0.3</v>
      </c>
      <c r="D174" s="16" t="n">
        <f aca="false">$B$173+C176</f>
        <v>0.3</v>
      </c>
      <c r="E174" s="16" t="n">
        <f aca="false">$B$173+D176</f>
        <v>0.3</v>
      </c>
      <c r="F174" s="16" t="n">
        <f aca="false">$B$173+E176</f>
        <v>0.3</v>
      </c>
      <c r="G174" s="16" t="n">
        <f aca="false">$B$173+F176</f>
        <v>0.3</v>
      </c>
      <c r="H174" s="16" t="n">
        <f aca="false">$B$173+G176</f>
        <v>0.3</v>
      </c>
      <c r="I174" s="16" t="n">
        <f aca="false">$B$173+H176</f>
        <v>0.3</v>
      </c>
      <c r="J174" s="16" t="n">
        <f aca="false">$B$173+I176</f>
        <v>0.3</v>
      </c>
    </row>
    <row r="175" customFormat="false" ht="15" hidden="false" customHeight="false" outlineLevel="0" collapsed="false">
      <c r="B175" s="9" t="s">
        <v>562</v>
      </c>
      <c r="C175" s="16" t="n">
        <f aca="false">C174</f>
        <v>0.3</v>
      </c>
      <c r="D175" s="16" t="n">
        <f aca="false">D174</f>
        <v>0.3</v>
      </c>
      <c r="E175" s="16" t="n">
        <f aca="false">E174</f>
        <v>0.3</v>
      </c>
      <c r="F175" s="16" t="n">
        <f aca="false">F174</f>
        <v>0.3</v>
      </c>
      <c r="G175" s="16" t="n">
        <f aca="false">G174</f>
        <v>0.3</v>
      </c>
      <c r="H175" s="16" t="n">
        <f aca="false">H174</f>
        <v>0.3</v>
      </c>
      <c r="I175" s="16" t="n">
        <f aca="false">I174</f>
        <v>0.3</v>
      </c>
      <c r="J175" s="16" t="n">
        <f aca="false">J174</f>
        <v>0.3</v>
      </c>
    </row>
    <row r="176" customFormat="false" ht="15" hidden="false" customHeight="false" outlineLevel="0" collapsed="false">
      <c r="B176" s="9" t="s">
        <v>563</v>
      </c>
      <c r="C176" s="16" t="n">
        <f aca="false">C174-C175</f>
        <v>0</v>
      </c>
      <c r="D176" s="16" t="n">
        <f aca="false">D174-D175</f>
        <v>0</v>
      </c>
      <c r="E176" s="16" t="n">
        <f aca="false">E174-E175</f>
        <v>0</v>
      </c>
      <c r="F176" s="16" t="n">
        <f aca="false">F174-F175</f>
        <v>0</v>
      </c>
      <c r="G176" s="16" t="n">
        <f aca="false">G174-G175</f>
        <v>0</v>
      </c>
      <c r="H176" s="16" t="n">
        <f aca="false">H174-H175</f>
        <v>0</v>
      </c>
      <c r="I176" s="16" t="n">
        <f aca="false">I174-I175</f>
        <v>0</v>
      </c>
      <c r="J176" s="16" t="n">
        <f aca="false">J174-J175</f>
        <v>0</v>
      </c>
    </row>
    <row r="177" customFormat="false" ht="15" hidden="false" customHeight="false" outlineLevel="0" collapsed="false">
      <c r="B177" s="9" t="s">
        <v>564</v>
      </c>
      <c r="C177" s="16" t="n">
        <f aca="false">W_cash+W_HY-C175+C11</f>
        <v>-0.1622245</v>
      </c>
      <c r="D177" s="16" t="n">
        <f aca="false">C180-D175+D11</f>
        <v>-0.3122245</v>
      </c>
      <c r="E177" s="16" t="n">
        <f aca="false">D180-E175+E11</f>
        <v>-0.3122245</v>
      </c>
      <c r="F177" s="16" t="n">
        <f aca="false">E180-F175+F11</f>
        <v>-0.3122245</v>
      </c>
      <c r="G177" s="16" t="n">
        <f aca="false">F180-G175+G11</f>
        <v>-0.3122245</v>
      </c>
      <c r="H177" s="16" t="n">
        <f aca="false">G180-H175+H11</f>
        <v>-0.3122245</v>
      </c>
      <c r="I177" s="16" t="n">
        <f aca="false">H180-I175+I11</f>
        <v>-0.2872245</v>
      </c>
      <c r="J177" s="16" t="n">
        <f aca="false">I180-J175+J11</f>
        <v>-0.2872245</v>
      </c>
    </row>
    <row r="178" customFormat="false" ht="15" hidden="false" customHeight="false" outlineLevel="0" collapsed="false">
      <c r="B178" s="9" t="s">
        <v>565</v>
      </c>
      <c r="C178" s="16" t="n">
        <f aca="false">MIN(C7,MAX(0,Poche_min_exec-C177))</f>
        <v>0.0343</v>
      </c>
      <c r="D178" s="16" t="n">
        <f aca="false">MIN(D7,MAX(0,Poche_min_exec-D177))</f>
        <v>0.0343</v>
      </c>
      <c r="E178" s="16" t="n">
        <f aca="false">MIN(E7,MAX(0,Poche_min_exec-E177))</f>
        <v>0.0343</v>
      </c>
      <c r="F178" s="16" t="n">
        <f aca="false">MIN(F7,MAX(0,Poche_min_exec-F177))</f>
        <v>0.0343</v>
      </c>
      <c r="G178" s="16" t="n">
        <f aca="false">MIN(G7,MAX(0,Poche_min_exec-G177))</f>
        <v>0.0343</v>
      </c>
      <c r="H178" s="16" t="n">
        <f aca="false">MIN(H7,MAX(0,Poche_min_exec-H177))</f>
        <v>0.0343</v>
      </c>
      <c r="I178" s="16" t="n">
        <f aca="false">MIN(I7,MAX(0,Poche_min_exec-I177))</f>
        <v>0.0343</v>
      </c>
      <c r="J178" s="16" t="n">
        <f aca="false">MIN(J7,MAX(0,Poche_min_exec-J177))</f>
        <v>0.0343</v>
      </c>
    </row>
    <row r="179" customFormat="false" ht="15" hidden="false" customHeight="false" outlineLevel="0" collapsed="false">
      <c r="B179" s="9" t="s">
        <v>566</v>
      </c>
      <c r="C179" s="16" t="n">
        <f aca="false">IF(Cession_autorisee=1,MAX(0,Cash_min-(C177+C178))/(1-CHOOSE(Reverse_flux,Paramètres!$J$79,Paramètres!$J$79,Paramètres!$K$79,Paramètres!$L$79)),0)</f>
        <v>0.162264117647059</v>
      </c>
      <c r="D179" s="16" t="n">
        <f aca="false">IF(Cession_autorisee=1,MAX(0,Cash_min-(D177+D178))/(1-CHOOSE(Reverse_flux,Paramètres!$J$79,Paramètres!$J$79,Paramètres!$K$79,Paramètres!$L$79)),0)</f>
        <v>0.338734705882353</v>
      </c>
      <c r="E179" s="16" t="n">
        <f aca="false">IF(Cession_autorisee=1,MAX(0,Cash_min-(E177+E178))/(1-CHOOSE(Reverse_flux,Paramètres!$J$79,Paramètres!$J$79,Paramètres!$K$79,Paramètres!$L$79)),0)</f>
        <v>0.338734705882353</v>
      </c>
      <c r="F179" s="16" t="n">
        <f aca="false">IF(Cession_autorisee=1,MAX(0,Cash_min-(F177+F178))/(1-CHOOSE(Reverse_flux,Paramètres!$J$79,Paramètres!$J$79,Paramètres!$K$79,Paramètres!$L$79)),0)</f>
        <v>0.338734705882353</v>
      </c>
      <c r="G179" s="16" t="n">
        <f aca="false">IF(Cession_autorisee=1,MAX(0,Cash_min-(G177+G178))/(1-CHOOSE(Reverse_flux,Paramètres!$J$79,Paramètres!$J$79,Paramètres!$K$79,Paramètres!$L$79)),0)</f>
        <v>0.338734705882353</v>
      </c>
      <c r="H179" s="16" t="n">
        <f aca="false">IF(Cession_autorisee=1,MAX(0,Cash_min-(H177+H178))/(1-CHOOSE(Reverse_flux,Paramètres!$J$79,Paramètres!$J$79,Paramètres!$K$79,Paramètres!$L$79)),0)</f>
        <v>0.338734705882353</v>
      </c>
      <c r="I179" s="16" t="n">
        <f aca="false">IF(Cession_autorisee=1,MAX(0,Cash_min-(I177+I178))/(1-CHOOSE(Reverse_flux,Paramètres!$J$79,Paramètres!$J$79,Paramètres!$K$79,Paramètres!$L$79)),0)</f>
        <v>0.309322941176471</v>
      </c>
      <c r="J179" s="16" t="n">
        <f aca="false">IF(Cession_autorisee=1,MAX(0,Cash_min-(J177+J178))/(1-CHOOSE(Reverse_flux,Paramètres!$J$79,Paramètres!$J$79,Paramètres!$K$79,Paramètres!$L$79)),0)</f>
        <v>0.309322941176471</v>
      </c>
    </row>
    <row r="180" customFormat="false" ht="15" hidden="false" customHeight="false" outlineLevel="0" collapsed="false">
      <c r="B180" s="9" t="s">
        <v>567</v>
      </c>
      <c r="C180" s="16" t="n">
        <f aca="false">C177+C178+C179*(1-CHOOSE(Reverse_flux,Paramètres!$J$79,Paramètres!$J$79,Paramètres!$K$79,Paramètres!$L$79))</f>
        <v>0.01</v>
      </c>
      <c r="D180" s="16" t="n">
        <f aca="false">D177+D178+D179*(1-CHOOSE(Reverse_flux,Paramètres!$J$79,Paramètres!$J$79,Paramètres!$K$79,Paramètres!$L$79))</f>
        <v>0.01</v>
      </c>
      <c r="E180" s="16" t="n">
        <f aca="false">E177+E178+E179*(1-CHOOSE(Reverse_flux,Paramètres!$J$79,Paramètres!$J$79,Paramètres!$K$79,Paramètres!$L$79))</f>
        <v>0.01</v>
      </c>
      <c r="F180" s="16" t="n">
        <f aca="false">F177+F178+F179*(1-CHOOSE(Reverse_flux,Paramètres!$J$79,Paramètres!$J$79,Paramètres!$K$79,Paramètres!$L$79))</f>
        <v>0.01</v>
      </c>
      <c r="G180" s="16" t="n">
        <f aca="false">G177+G178+G179*(1-CHOOSE(Reverse_flux,Paramètres!$J$79,Paramètres!$J$79,Paramètres!$K$79,Paramètres!$L$79))</f>
        <v>0.01</v>
      </c>
      <c r="H180" s="16" t="n">
        <f aca="false">H177+H178+H179*(1-CHOOSE(Reverse_flux,Paramètres!$J$79,Paramètres!$J$79,Paramètres!$K$79,Paramètres!$L$79))</f>
        <v>0.01</v>
      </c>
      <c r="I180" s="16" t="n">
        <f aca="false">I177+I178+I179*(1-CHOOSE(Reverse_flux,Paramètres!$J$79,Paramètres!$J$79,Paramètres!$K$79,Paramètres!$L$79))</f>
        <v>0.01</v>
      </c>
      <c r="J180" s="16" t="n">
        <f aca="false">J177+J178+J179*(1-CHOOSE(Reverse_flux,Paramètres!$J$79,Paramètres!$J$79,Paramètres!$K$79,Paramètres!$L$79))</f>
        <v>0.01</v>
      </c>
    </row>
    <row r="181" customFormat="false" ht="15" hidden="false" customHeight="false" outlineLevel="0" collapsed="false">
      <c r="B181" s="9" t="s">
        <v>568</v>
      </c>
      <c r="C181" s="16" t="n">
        <f aca="false">SUM($C$179:C179)</f>
        <v>0.162264117647059</v>
      </c>
      <c r="D181" s="16" t="n">
        <f aca="false">SUM($C$179:D179)</f>
        <v>0.500998823529412</v>
      </c>
      <c r="E181" s="16" t="n">
        <f aca="false">SUM($C$179:E179)</f>
        <v>0.839733529411765</v>
      </c>
      <c r="F181" s="16" t="n">
        <f aca="false">SUM($C$179:F179)</f>
        <v>1.17846823529412</v>
      </c>
      <c r="G181" s="16" t="n">
        <f aca="false">SUM($C$179:G179)</f>
        <v>1.51720294117647</v>
      </c>
      <c r="H181" s="16" t="n">
        <f aca="false">SUM($C$179:H179)</f>
        <v>1.85593764705882</v>
      </c>
      <c r="I181" s="16" t="n">
        <f aca="false">SUM($C$179:I179)</f>
        <v>2.16526058823529</v>
      </c>
      <c r="J181" s="16" t="n">
        <f aca="false">SUM($C$179:J179)</f>
        <v>2.47458352941176</v>
      </c>
    </row>
    <row r="182" customFormat="false" ht="22.35" hidden="false" customHeight="false" outlineLevel="0" collapsed="false">
      <c r="B182" s="7" t="s">
        <v>569</v>
      </c>
      <c r="C182" s="42" t="n">
        <f aca="false" t="array" ref="C182:C182">MIN(IF(N101:N173&gt;0.0001,B101:B173,9))</f>
        <v>0.05</v>
      </c>
      <c r="P182" s="9" t="s">
        <v>574</v>
      </c>
    </row>
    <row r="183" customFormat="false" ht="22.35" hidden="false" customHeight="false" outlineLevel="0" collapsed="false">
      <c r="B183" s="7" t="s">
        <v>575</v>
      </c>
      <c r="C183" s="42" t="n">
        <f aca="false" t="array" ref="C183:C183">MIN(IF(O101:O173&gt;(Paramètres!$D$68+Paramètres!$D$69),B101:B173,9))</f>
        <v>0.075</v>
      </c>
      <c r="P183" s="9"/>
    </row>
    <row r="184" customFormat="false" ht="22.35" hidden="false" customHeight="false" outlineLevel="0" collapsed="false">
      <c r="B184" s="7" t="s">
        <v>576</v>
      </c>
      <c r="C184" s="11" t="n">
        <f aca="false">Rupture_gated-Rupture_ungated</f>
        <v>0</v>
      </c>
      <c r="P184" s="9" t="s">
        <v>577</v>
      </c>
    </row>
    <row r="185" customFormat="false" ht="22.35" hidden="false" customHeight="false" outlineLevel="0" collapsed="false">
      <c r="B185" s="7" t="s">
        <v>578</v>
      </c>
      <c r="C185" s="11" t="n">
        <f aca="false">O42</f>
        <v>0.0279688235294118</v>
      </c>
      <c r="D185" s="11" t="n">
        <f aca="false">O128</f>
        <v>0.592230588235294</v>
      </c>
      <c r="P185" s="9" t="s">
        <v>579</v>
      </c>
    </row>
    <row r="187" customFormat="false" ht="18" hidden="false" customHeight="true" outlineLevel="0" collapsed="false">
      <c r="B187" s="3" t="s">
        <v>580</v>
      </c>
      <c r="C187" s="4"/>
      <c r="D187" s="4"/>
      <c r="E187" s="4"/>
      <c r="F187" s="4"/>
      <c r="G187" s="4"/>
      <c r="H187" s="4"/>
      <c r="I187" s="4"/>
      <c r="J187" s="4"/>
      <c r="K187" s="4"/>
      <c r="L187" s="4"/>
      <c r="M187" s="4"/>
      <c r="N187" s="4"/>
      <c r="O187" s="4"/>
      <c r="P187" s="4"/>
    </row>
    <row r="188" customFormat="false" ht="39.75" hidden="false" customHeight="true" outlineLevel="0" collapsed="false">
      <c r="B188" s="5" t="s">
        <v>581</v>
      </c>
      <c r="C188" s="6" t="s">
        <v>582</v>
      </c>
      <c r="D188" s="6" t="s">
        <v>583</v>
      </c>
      <c r="E188" s="6" t="s">
        <v>584</v>
      </c>
      <c r="F188" s="6" t="s">
        <v>585</v>
      </c>
      <c r="G188" s="6" t="s">
        <v>414</v>
      </c>
      <c r="H188" s="6"/>
      <c r="I188" s="6"/>
      <c r="J188" s="6"/>
      <c r="K188" s="6"/>
      <c r="L188" s="6"/>
      <c r="M188" s="6"/>
      <c r="N188" s="6"/>
      <c r="O188" s="6"/>
      <c r="P188" s="6"/>
    </row>
    <row r="189" customFormat="false" ht="15" hidden="false" customHeight="false" outlineLevel="0" collapsed="false">
      <c r="B189" s="40" t="n">
        <v>0.05</v>
      </c>
      <c r="C189" s="16" t="n">
        <f aca="false">B189</f>
        <v>0.05</v>
      </c>
      <c r="D189" s="16" t="n">
        <f aca="false">W_cash-Cash_min+W_HY*(1-Paramètres!$J$83)+C7+D7+C8+D8-C10-D10</f>
        <v>0.223051</v>
      </c>
      <c r="E189" s="16" t="n">
        <f aca="false">2*Gate</f>
        <v>0.1</v>
      </c>
      <c r="F189" s="16" t="n">
        <f aca="false">MAX(0,C189+E189-D189)/(1-CHOOSE(Reverse_flux,Paramètres!$J$79,Paramètres!$J$79,Paramètres!$K$79,Paramètres!$L$79))</f>
        <v>0</v>
      </c>
      <c r="G189" s="23" t="str">
        <f aca="false">IF(F189&gt;0.0001,"Rouge : cession forcée",IF(D189-C189-E189&lt;S_poche_rouge,"Orange : poche épuisée","Vert"))</f>
        <v>Vert</v>
      </c>
    </row>
    <row r="190" customFormat="false" ht="22.35" hidden="false" customHeight="false" outlineLevel="0" collapsed="false">
      <c r="B190" s="40" t="n">
        <v>0.075</v>
      </c>
      <c r="C190" s="16" t="n">
        <f aca="false">B190</f>
        <v>0.075</v>
      </c>
      <c r="D190" s="16" t="n">
        <f aca="false">W_cash-Cash_min+W_HY*(1-Paramètres!$J$83)+C7+D7+C8+D8-C10-D10</f>
        <v>0.223051</v>
      </c>
      <c r="E190" s="16" t="n">
        <f aca="false">2*Gate</f>
        <v>0.1</v>
      </c>
      <c r="F190" s="16" t="n">
        <f aca="false">MAX(0,C190+E190-D190)/(1-CHOOSE(Reverse_flux,Paramètres!$J$79,Paramètres!$J$79,Paramètres!$K$79,Paramètres!$L$79))</f>
        <v>0</v>
      </c>
      <c r="G190" s="23" t="str">
        <f aca="false">IF(F190&gt;0.0001,"Rouge : cession forcée",IF(D190-C190-E190&lt;S_poche_rouge,"Orange : poche épuisée","Vert"))</f>
        <v>Orange : poche épuisée</v>
      </c>
    </row>
    <row r="191" customFormat="false" ht="22.35" hidden="false" customHeight="false" outlineLevel="0" collapsed="false">
      <c r="B191" s="40" t="n">
        <v>0.1</v>
      </c>
      <c r="C191" s="16" t="n">
        <f aca="false">B191</f>
        <v>0.1</v>
      </c>
      <c r="D191" s="16" t="n">
        <f aca="false">W_cash-Cash_min+W_HY*(1-Paramètres!$J$83)+C7+D7+C8+D8-C10-D10</f>
        <v>0.223051</v>
      </c>
      <c r="E191" s="16" t="n">
        <f aca="false">2*Gate</f>
        <v>0.1</v>
      </c>
      <c r="F191" s="16" t="n">
        <f aca="false">MAX(0,C191+E191-D191)/(1-CHOOSE(Reverse_flux,Paramètres!$J$79,Paramètres!$J$79,Paramètres!$K$79,Paramètres!$L$79))</f>
        <v>0</v>
      </c>
      <c r="G191" s="23" t="str">
        <f aca="false">IF(F191&gt;0.0001,"Rouge : cession forcée",IF(D191-C191-E191&lt;S_poche_rouge,"Orange : poche épuisée","Vert"))</f>
        <v>Orange : poche épuisée</v>
      </c>
    </row>
    <row r="192" customFormat="false" ht="22.35" hidden="false" customHeight="false" outlineLevel="0" collapsed="false">
      <c r="B192" s="40" t="n">
        <v>0.125</v>
      </c>
      <c r="C192" s="16" t="n">
        <f aca="false">B192</f>
        <v>0.125</v>
      </c>
      <c r="D192" s="16" t="n">
        <f aca="false">W_cash-Cash_min+W_HY*(1-Paramètres!$J$83)+C7+D7+C8+D8-C10-D10</f>
        <v>0.223051</v>
      </c>
      <c r="E192" s="16" t="n">
        <f aca="false">2*Gate</f>
        <v>0.1</v>
      </c>
      <c r="F192" s="16" t="n">
        <f aca="false">MAX(0,C192+E192-D192)/(1-CHOOSE(Reverse_flux,Paramètres!$J$79,Paramètres!$J$79,Paramètres!$K$79,Paramètres!$L$79))</f>
        <v>0.0022929411764706</v>
      </c>
      <c r="G192" s="23" t="str">
        <f aca="false">IF(F192&gt;0.0001,"Rouge : cession forcée",IF(D192-C192-E192&lt;S_poche_rouge,"Orange : poche épuisée","Vert"))</f>
        <v>Rouge : cession forcée</v>
      </c>
    </row>
    <row r="193" customFormat="false" ht="22.35" hidden="false" customHeight="false" outlineLevel="0" collapsed="false">
      <c r="B193" s="40" t="n">
        <v>0.15</v>
      </c>
      <c r="C193" s="16" t="n">
        <f aca="false">B193</f>
        <v>0.15</v>
      </c>
      <c r="D193" s="16" t="n">
        <f aca="false">W_cash-Cash_min+W_HY*(1-Paramètres!$J$83)+C7+D7+C8+D8-C10-D10</f>
        <v>0.223051</v>
      </c>
      <c r="E193" s="16" t="n">
        <f aca="false">2*Gate</f>
        <v>0.1</v>
      </c>
      <c r="F193" s="16" t="n">
        <f aca="false">MAX(0,C193+E193-D193)/(1-CHOOSE(Reverse_flux,Paramètres!$J$79,Paramètres!$J$79,Paramètres!$K$79,Paramètres!$L$79))</f>
        <v>0.0317047058823529</v>
      </c>
      <c r="G193" s="23" t="str">
        <f aca="false">IF(F193&gt;0.0001,"Rouge : cession forcée",IF(D193-C193-E193&lt;S_poche_rouge,"Orange : poche épuisée","Vert"))</f>
        <v>Rouge : cession forcée</v>
      </c>
    </row>
    <row r="194" customFormat="false" ht="22.35" hidden="false" customHeight="false" outlineLevel="0" collapsed="false">
      <c r="B194" s="40" t="n">
        <v>0.2</v>
      </c>
      <c r="C194" s="16" t="n">
        <f aca="false">B194</f>
        <v>0.2</v>
      </c>
      <c r="D194" s="16" t="n">
        <f aca="false">W_cash-Cash_min+W_HY*(1-Paramètres!$J$83)+C7+D7+C8+D8-C10-D10</f>
        <v>0.223051</v>
      </c>
      <c r="E194" s="16" t="n">
        <f aca="false">2*Gate</f>
        <v>0.1</v>
      </c>
      <c r="F194" s="16" t="n">
        <f aca="false">MAX(0,C194+E194-D194)/(1-CHOOSE(Reverse_flux,Paramètres!$J$79,Paramètres!$J$79,Paramètres!$K$79,Paramètres!$L$79))</f>
        <v>0.0905282352941177</v>
      </c>
      <c r="G194" s="23" t="str">
        <f aca="false">IF(F194&gt;0.0001,"Rouge : cession forcée",IF(D194-C194-E194&lt;S_poche_rouge,"Orange : poche épuisée","Vert"))</f>
        <v>Rouge : cession forcée</v>
      </c>
    </row>
    <row r="195" customFormat="false" ht="22.35" hidden="false" customHeight="false" outlineLevel="0" collapsed="false">
      <c r="B195" s="40" t="n">
        <v>0.25</v>
      </c>
      <c r="C195" s="16" t="n">
        <f aca="false">B195</f>
        <v>0.25</v>
      </c>
      <c r="D195" s="16" t="n">
        <f aca="false">W_cash-Cash_min+W_HY*(1-Paramètres!$J$83)+C7+D7+C8+D8-C10-D10</f>
        <v>0.223051</v>
      </c>
      <c r="E195" s="16" t="n">
        <f aca="false">2*Gate</f>
        <v>0.1</v>
      </c>
      <c r="F195" s="16" t="n">
        <f aca="false">MAX(0,C195+E195-D195)/(1-CHOOSE(Reverse_flux,Paramètres!$J$79,Paramètres!$J$79,Paramètres!$K$79,Paramètres!$L$79))</f>
        <v>0.149351764705882</v>
      </c>
      <c r="G195" s="23" t="str">
        <f aca="false">IF(F195&gt;0.0001,"Rouge : cession forcée",IF(D195-C195-E195&lt;S_poche_rouge,"Orange : poche épuisée","Vert"))</f>
        <v>Rouge : cession forcée</v>
      </c>
    </row>
    <row r="196" customFormat="false" ht="22.35" hidden="false" customHeight="false" outlineLevel="0" collapsed="false">
      <c r="B196" s="40" t="n">
        <v>0.3</v>
      </c>
      <c r="C196" s="16" t="n">
        <f aca="false">B196</f>
        <v>0.3</v>
      </c>
      <c r="D196" s="16" t="n">
        <f aca="false">W_cash-Cash_min+W_HY*(1-Paramètres!$J$83)+C7+D7+C8+D8-C10-D10</f>
        <v>0.223051</v>
      </c>
      <c r="E196" s="16" t="n">
        <f aca="false">2*Gate</f>
        <v>0.1</v>
      </c>
      <c r="F196" s="16" t="n">
        <f aca="false">MAX(0,C196+E196-D196)/(1-CHOOSE(Reverse_flux,Paramètres!$J$79,Paramètres!$J$79,Paramètres!$K$79,Paramètres!$L$79))</f>
        <v>0.208175294117647</v>
      </c>
      <c r="G196" s="23" t="str">
        <f aca="false">IF(F196&gt;0.0001,"Rouge : cession forcée",IF(D196-C196-E196&lt;S_poche_rouge,"Orange : poche épuisée","Vert"))</f>
        <v>Rouge : cession forcée</v>
      </c>
    </row>
    <row r="197" customFormat="false" ht="22.35" hidden="false" customHeight="false" outlineLevel="0" collapsed="false">
      <c r="B197" s="7" t="s">
        <v>586</v>
      </c>
      <c r="C197" s="42" t="n">
        <f aca="false" t="array" ref="C197:C197">MIN(IF(F189:F196&gt;0.0001,B189:B196,9))</f>
        <v>0.125</v>
      </c>
      <c r="P197" s="9" t="s">
        <v>587</v>
      </c>
    </row>
  </sheetData>
  <mergeCells count="1">
    <mergeCell ref="B3:P3"/>
  </mergeCells>
  <conditionalFormatting sqref="P15:P87">
    <cfRule type="expression" priority="2" aboveAverage="0" equalAverage="0" bottom="0" percent="0" rank="0" text="" dxfId="0">
      <formula>LEFT(P15,4)="Vert"</formula>
    </cfRule>
    <cfRule type="expression" priority="3" aboveAverage="0" equalAverage="0" bottom="0" percent="0" rank="0" text="" dxfId="1">
      <formula>LEFT(P15,6)="Orange"</formula>
    </cfRule>
    <cfRule type="expression" priority="4" aboveAverage="0" equalAverage="0" bottom="0" percent="0" rank="0" text="" dxfId="2">
      <formula>LEFT(P15,5)="Rouge"</formula>
    </cfRule>
  </conditionalFormatting>
  <conditionalFormatting sqref="P101:P173">
    <cfRule type="expression" priority="5" aboveAverage="0" equalAverage="0" bottom="0" percent="0" rank="0" text="" dxfId="0">
      <formula>LEFT(P101,4)="Vert"</formula>
    </cfRule>
    <cfRule type="expression" priority="6" aboveAverage="0" equalAverage="0" bottom="0" percent="0" rank="0" text="" dxfId="1">
      <formula>LEFT(P101,6)="Orange"</formula>
    </cfRule>
    <cfRule type="expression" priority="7" aboveAverage="0" equalAverage="0" bottom="0" percent="0" rank="0" text="" dxfId="2">
      <formula>LEFT(P101,5)="Rouge"</formula>
    </cfRule>
  </conditionalFormatting>
  <conditionalFormatting sqref="G189:G196">
    <cfRule type="expression" priority="8" aboveAverage="0" equalAverage="0" bottom="0" percent="0" rank="0" text="" dxfId="0">
      <formula>LEFT(G189,4)="Vert"</formula>
    </cfRule>
    <cfRule type="expression" priority="9" aboveAverage="0" equalAverage="0" bottom="0" percent="0" rank="0" text="" dxfId="1">
      <formula>LEFT(G189,6)="Orange"</formula>
    </cfRule>
    <cfRule type="expression" priority="10" aboveAverage="0" equalAverage="0" bottom="0" percent="0" rank="0" text="" dxfId="2">
      <formula>LEFT(G189,5)="Rouge"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22"/>
    <col collapsed="false" customWidth="true" hidden="false" outlineLevel="0" max="7" min="4" style="0" width="14"/>
    <col collapsed="false" customWidth="true" hidden="false" outlineLevel="0" max="8" min="8" style="0" width="40"/>
  </cols>
  <sheetData>
    <row r="2" customFormat="false" ht="15" hidden="false" customHeight="false" outlineLevel="0" collapsed="false">
      <c r="B2" s="1" t="s">
        <v>588</v>
      </c>
    </row>
    <row r="3" customFormat="false" ht="42" hidden="false" customHeight="true" outlineLevel="0" collapsed="false">
      <c r="B3" s="20" t="s">
        <v>589</v>
      </c>
      <c r="C3" s="20"/>
      <c r="D3" s="20"/>
      <c r="E3" s="20"/>
      <c r="F3" s="20"/>
      <c r="G3" s="20"/>
      <c r="H3" s="20"/>
    </row>
    <row r="5" customFormat="false" ht="15.75" hidden="false" customHeight="true" outlineLevel="0" collapsed="false">
      <c r="B5" s="5" t="s">
        <v>590</v>
      </c>
      <c r="C5" s="6" t="s">
        <v>591</v>
      </c>
      <c r="D5" s="6" t="s">
        <v>592</v>
      </c>
      <c r="E5" s="6" t="s">
        <v>593</v>
      </c>
      <c r="F5" s="6" t="s">
        <v>594</v>
      </c>
      <c r="G5" s="6" t="s">
        <v>595</v>
      </c>
      <c r="H5" s="6" t="s">
        <v>54</v>
      </c>
    </row>
    <row r="6" customFormat="false" ht="15" hidden="false" customHeight="false" outlineLevel="0" collapsed="false">
      <c r="B6" s="43" t="n">
        <v>1</v>
      </c>
      <c r="C6" s="9" t="s">
        <v>596</v>
      </c>
      <c r="D6" s="28" t="n">
        <f aca="false">Top1</f>
        <v>0.15</v>
      </c>
      <c r="E6" s="22" t="n">
        <f aca="false">D6*AN_depart</f>
        <v>1200000</v>
      </c>
      <c r="F6" s="16" t="n">
        <f aca="false">SUM(D6:D6)</f>
        <v>0.15</v>
      </c>
      <c r="G6" s="9" t="str">
        <f aca="false">IF(D6&gt;0.2,"Rouge : &gt; 20 %",IF(D6&gt;0.1,"Orange : 10 à 20 %","Vert"))</f>
        <v>Orange : 10 à 20 %</v>
      </c>
      <c r="H6" s="9" t="s">
        <v>597</v>
      </c>
    </row>
    <row r="7" customFormat="false" ht="15" hidden="false" customHeight="false" outlineLevel="0" collapsed="false">
      <c r="B7" s="43" t="n">
        <v>2</v>
      </c>
      <c r="C7" s="9" t="s">
        <v>598</v>
      </c>
      <c r="D7" s="28" t="n">
        <v>0.08</v>
      </c>
      <c r="E7" s="22" t="n">
        <f aca="false">D7*AN_depart</f>
        <v>640000</v>
      </c>
      <c r="F7" s="16" t="n">
        <f aca="false">SUM(D6:D7)</f>
        <v>0.23</v>
      </c>
      <c r="G7" s="9" t="str">
        <f aca="false">IF(D7&gt;0.2,"Rouge : &gt; 20 %",IF(D7&gt;0.1,"Orange : 10 à 20 %","Vert"))</f>
        <v>Vert</v>
      </c>
      <c r="H7" s="9" t="s">
        <v>256</v>
      </c>
    </row>
    <row r="8" customFormat="false" ht="15" hidden="false" customHeight="false" outlineLevel="0" collapsed="false">
      <c r="B8" s="43" t="n">
        <v>3</v>
      </c>
      <c r="C8" s="9" t="s">
        <v>599</v>
      </c>
      <c r="D8" s="28" t="n">
        <v>0.05</v>
      </c>
      <c r="E8" s="22" t="n">
        <f aca="false">D8*AN_depart</f>
        <v>400000</v>
      </c>
      <c r="F8" s="16" t="n">
        <f aca="false">SUM(D6:D8)</f>
        <v>0.28</v>
      </c>
      <c r="G8" s="9" t="str">
        <f aca="false">IF(D8&gt;0.2,"Rouge : &gt; 20 %",IF(D8&gt;0.1,"Orange : 10 à 20 %","Vert"))</f>
        <v>Vert</v>
      </c>
      <c r="H8" s="9" t="s">
        <v>256</v>
      </c>
    </row>
    <row r="9" customFormat="false" ht="15" hidden="false" customHeight="false" outlineLevel="0" collapsed="false">
      <c r="B9" s="43" t="n">
        <v>4</v>
      </c>
      <c r="C9" s="9" t="s">
        <v>600</v>
      </c>
      <c r="D9" s="28" t="n">
        <v>0.04</v>
      </c>
      <c r="E9" s="22" t="n">
        <f aca="false">D9*AN_depart</f>
        <v>320000</v>
      </c>
      <c r="F9" s="16" t="n">
        <f aca="false">SUM(D6:D9)</f>
        <v>0.32</v>
      </c>
      <c r="G9" s="9" t="str">
        <f aca="false">IF(D9&gt;0.2,"Rouge : &gt; 20 %",IF(D9&gt;0.1,"Orange : 10 à 20 %","Vert"))</f>
        <v>Vert</v>
      </c>
      <c r="H9" s="9" t="s">
        <v>256</v>
      </c>
    </row>
    <row r="10" customFormat="false" ht="15" hidden="false" customHeight="false" outlineLevel="0" collapsed="false">
      <c r="B10" s="43" t="n">
        <v>5</v>
      </c>
      <c r="C10" s="9" t="s">
        <v>601</v>
      </c>
      <c r="D10" s="28" t="n">
        <v>0.03</v>
      </c>
      <c r="E10" s="22" t="n">
        <f aca="false">D10*AN_depart</f>
        <v>240000</v>
      </c>
      <c r="F10" s="16" t="n">
        <f aca="false">SUM(D6:D10)</f>
        <v>0.35</v>
      </c>
      <c r="G10" s="9" t="str">
        <f aca="false">IF(D10&gt;0.2,"Rouge : &gt; 20 %",IF(D10&gt;0.1,"Orange : 10 à 20 %","Vert"))</f>
        <v>Vert</v>
      </c>
      <c r="H10" s="9" t="s">
        <v>256</v>
      </c>
    </row>
    <row r="11" customFormat="false" ht="15" hidden="false" customHeight="false" outlineLevel="0" collapsed="false">
      <c r="B11" s="43" t="n">
        <v>6</v>
      </c>
      <c r="C11" s="9" t="s">
        <v>602</v>
      </c>
      <c r="D11" s="28" t="n">
        <v>0.03</v>
      </c>
      <c r="E11" s="22" t="n">
        <f aca="false">D11*AN_depart</f>
        <v>240000</v>
      </c>
      <c r="F11" s="16" t="n">
        <f aca="false">SUM(D6:D11)</f>
        <v>0.38</v>
      </c>
      <c r="G11" s="9" t="str">
        <f aca="false">IF(D11&gt;0.2,"Rouge : &gt; 20 %",IF(D11&gt;0.1,"Orange : 10 à 20 %","Vert"))</f>
        <v>Vert</v>
      </c>
      <c r="H11" s="9" t="s">
        <v>256</v>
      </c>
    </row>
    <row r="12" customFormat="false" ht="15" hidden="false" customHeight="false" outlineLevel="0" collapsed="false">
      <c r="B12" s="43" t="n">
        <v>7</v>
      </c>
      <c r="C12" s="9" t="s">
        <v>603</v>
      </c>
      <c r="D12" s="28" t="n">
        <v>0.02</v>
      </c>
      <c r="E12" s="22" t="n">
        <f aca="false">D12*AN_depart</f>
        <v>160000</v>
      </c>
      <c r="F12" s="16" t="n">
        <f aca="false">SUM(D6:D12)</f>
        <v>0.4</v>
      </c>
      <c r="G12" s="9" t="str">
        <f aca="false">IF(D12&gt;0.2,"Rouge : &gt; 20 %",IF(D12&gt;0.1,"Orange : 10 à 20 %","Vert"))</f>
        <v>Vert</v>
      </c>
      <c r="H12" s="9" t="s">
        <v>256</v>
      </c>
    </row>
    <row r="13" customFormat="false" ht="15" hidden="false" customHeight="false" outlineLevel="0" collapsed="false">
      <c r="B13" s="43" t="n">
        <v>8</v>
      </c>
      <c r="C13" s="9" t="s">
        <v>604</v>
      </c>
      <c r="D13" s="28" t="n">
        <v>0.02</v>
      </c>
      <c r="E13" s="22" t="n">
        <f aca="false">D13*AN_depart</f>
        <v>160000</v>
      </c>
      <c r="F13" s="16" t="n">
        <f aca="false">SUM(D6:D13)</f>
        <v>0.42</v>
      </c>
      <c r="G13" s="9" t="str">
        <f aca="false">IF(D13&gt;0.2,"Rouge : &gt; 20 %",IF(D13&gt;0.1,"Orange : 10 à 20 %","Vert"))</f>
        <v>Vert</v>
      </c>
      <c r="H13" s="9" t="s">
        <v>256</v>
      </c>
    </row>
    <row r="14" customFormat="false" ht="15" hidden="false" customHeight="false" outlineLevel="0" collapsed="false">
      <c r="B14" s="43" t="n">
        <v>9</v>
      </c>
      <c r="C14" s="9" t="s">
        <v>605</v>
      </c>
      <c r="D14" s="28" t="n">
        <v>0.02</v>
      </c>
      <c r="E14" s="22" t="n">
        <f aca="false">D14*AN_depart</f>
        <v>160000</v>
      </c>
      <c r="F14" s="16" t="n">
        <f aca="false">SUM(D6:D14)</f>
        <v>0.44</v>
      </c>
      <c r="G14" s="9" t="str">
        <f aca="false">IF(D14&gt;0.2,"Rouge : &gt; 20 %",IF(D14&gt;0.1,"Orange : 10 à 20 %","Vert"))</f>
        <v>Vert</v>
      </c>
      <c r="H14" s="9" t="s">
        <v>256</v>
      </c>
    </row>
    <row r="15" customFormat="false" ht="15" hidden="false" customHeight="false" outlineLevel="0" collapsed="false">
      <c r="B15" s="43" t="n">
        <v>10</v>
      </c>
      <c r="C15" s="9" t="s">
        <v>606</v>
      </c>
      <c r="D15" s="28" t="n">
        <v>0.02</v>
      </c>
      <c r="E15" s="22" t="n">
        <f aca="false">D15*AN_depart</f>
        <v>160000</v>
      </c>
      <c r="F15" s="16" t="n">
        <f aca="false">SUM(D6:D15)</f>
        <v>0.46</v>
      </c>
      <c r="G15" s="9" t="str">
        <f aca="false">IF(D15&gt;0.2,"Rouge : &gt; 20 %",IF(D15&gt;0.1,"Orange : 10 à 20 %","Vert"))</f>
        <v>Vert</v>
      </c>
      <c r="H15" s="9" t="s">
        <v>256</v>
      </c>
    </row>
    <row r="16" customFormat="false" ht="15" hidden="false" customHeight="false" outlineLevel="0" collapsed="false">
      <c r="C16" s="9" t="s">
        <v>607</v>
      </c>
      <c r="D16" s="16" t="n">
        <f aca="false">1-SUM(D6:D15)</f>
        <v>0.54</v>
      </c>
      <c r="E16" s="22" t="n">
        <f aca="false">D16*AN_depart</f>
        <v>4320000</v>
      </c>
      <c r="F16" s="16" t="n">
        <v>1</v>
      </c>
      <c r="G16" s="9"/>
      <c r="H16" s="9"/>
    </row>
    <row r="18" customFormat="false" ht="18" hidden="false" customHeight="true" outlineLevel="0" collapsed="false">
      <c r="B18" s="3" t="s">
        <v>608</v>
      </c>
      <c r="C18" s="4"/>
      <c r="D18" s="4"/>
      <c r="E18" s="4"/>
      <c r="F18" s="4"/>
      <c r="G18" s="4"/>
      <c r="H18" s="4"/>
    </row>
    <row r="19" customFormat="false" ht="15.75" hidden="false" customHeight="true" outlineLevel="0" collapsed="false">
      <c r="B19" s="5" t="s">
        <v>363</v>
      </c>
      <c r="C19" s="6"/>
      <c r="D19" s="6" t="s">
        <v>3</v>
      </c>
      <c r="E19" s="6"/>
      <c r="F19" s="6"/>
      <c r="G19" s="6" t="s">
        <v>4</v>
      </c>
      <c r="H19" s="6"/>
    </row>
    <row r="20" customFormat="false" ht="32.8" hidden="false" customHeight="false" outlineLevel="0" collapsed="false">
      <c r="B20" s="7" t="s">
        <v>253</v>
      </c>
      <c r="D20" s="11" t="n">
        <f aca="false">D6</f>
        <v>0.15</v>
      </c>
      <c r="G20" s="9" t="s">
        <v>609</v>
      </c>
    </row>
    <row r="21" customFormat="false" ht="22.35" hidden="false" customHeight="false" outlineLevel="0" collapsed="false">
      <c r="B21" s="7" t="s">
        <v>610</v>
      </c>
      <c r="D21" s="16" t="n">
        <f aca="false">SUM(D6:D8)</f>
        <v>0.28</v>
      </c>
      <c r="G21" s="9"/>
    </row>
    <row r="22" customFormat="false" ht="43.25" hidden="false" customHeight="false" outlineLevel="0" collapsed="false">
      <c r="B22" s="7" t="s">
        <v>611</v>
      </c>
      <c r="D22" s="16" t="n">
        <f aca="false">SUM(D6:D10)</f>
        <v>0.35</v>
      </c>
      <c r="G22" s="9" t="s">
        <v>612</v>
      </c>
    </row>
    <row r="23" customFormat="false" ht="22.35" hidden="false" customHeight="false" outlineLevel="0" collapsed="false">
      <c r="B23" s="7" t="s">
        <v>613</v>
      </c>
      <c r="D23" s="16" t="n">
        <f aca="false">SUM(D6:D15)</f>
        <v>0.46</v>
      </c>
      <c r="G23" s="9"/>
    </row>
    <row r="24" customFormat="false" ht="43.25" hidden="false" customHeight="false" outlineLevel="0" collapsed="false">
      <c r="B24" s="7" t="s">
        <v>614</v>
      </c>
      <c r="D24" s="22" t="n">
        <f aca="false">SUMPRODUCT(D6:D16,D6:D16)*10000</f>
        <v>3280</v>
      </c>
      <c r="G24" s="9" t="s">
        <v>615</v>
      </c>
    </row>
    <row r="25" customFormat="false" ht="74.6" hidden="false" customHeight="false" outlineLevel="0" collapsed="false">
      <c r="B25" s="7" t="s">
        <v>616</v>
      </c>
      <c r="D25" s="44" t="n">
        <f aca="false">D6/Gate</f>
        <v>3</v>
      </c>
      <c r="G25" s="9" t="s">
        <v>617</v>
      </c>
    </row>
    <row r="26" customFormat="false" ht="53.7" hidden="false" customHeight="false" outlineLevel="0" collapsed="false">
      <c r="B26" s="7" t="s">
        <v>618</v>
      </c>
      <c r="D26" s="38" t="str">
        <f aca="false">IF(D25&lt;=2,"Vert : absorbé en deux dates",IF(D25&lt;=Reports_max,"Orange : cascade sur plusieurs dates","Rouge : dépasse le nombre maximal de reports"))</f>
        <v>Orange : cascade sur plusieurs dates</v>
      </c>
      <c r="G26" s="9" t="s">
        <v>619</v>
      </c>
    </row>
  </sheetData>
  <mergeCells count="1">
    <mergeCell ref="B3:H3"/>
  </mergeCells>
  <conditionalFormatting sqref="D26">
    <cfRule type="expression" priority="2" aboveAverage="0" equalAverage="0" bottom="0" percent="0" rank="0" text="" dxfId="0">
      <formula>LEFT(D26,4)="Vert"</formula>
    </cfRule>
    <cfRule type="expression" priority="3" aboveAverage="0" equalAverage="0" bottom="0" percent="0" rank="0" text="" dxfId="1">
      <formula>LEFT(D26,6)="Orange"</formula>
    </cfRule>
    <cfRule type="expression" priority="4" aboveAverage="0" equalAverage="0" bottom="0" percent="0" rank="0" text="" dxfId="2">
      <formula>LEFT(D26,5)="Rouge"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S1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7" min="3" style="0" width="13"/>
    <col collapsed="false" customWidth="true" hidden="false" outlineLevel="0" max="8" min="8" style="0" width="3"/>
    <col collapsed="false" customWidth="true" hidden="false" outlineLevel="0" max="9" min="9" style="0" width="34"/>
    <col collapsed="false" customWidth="true" hidden="false" outlineLevel="0" max="13" min="10" style="0" width="13"/>
    <col collapsed="false" customWidth="true" hidden="false" outlineLevel="0" max="14" min="14" style="0" width="3"/>
    <col collapsed="false" customWidth="true" hidden="false" outlineLevel="0" max="19" min="15" style="0" width="13"/>
  </cols>
  <sheetData>
    <row r="2" customFormat="false" ht="15" hidden="false" customHeight="false" outlineLevel="0" collapsed="false">
      <c r="B2" s="1" t="s">
        <v>620</v>
      </c>
    </row>
    <row r="3" customFormat="false" ht="42" hidden="false" customHeight="true" outlineLevel="0" collapsed="false">
      <c r="B3" s="20" t="s">
        <v>621</v>
      </c>
      <c r="C3" s="20"/>
      <c r="D3" s="20"/>
      <c r="E3" s="20"/>
      <c r="F3" s="20"/>
      <c r="G3" s="20"/>
      <c r="H3" s="20"/>
      <c r="I3" s="20"/>
      <c r="J3" s="20"/>
      <c r="K3" s="20"/>
      <c r="L3" s="20"/>
      <c r="M3" s="20"/>
    </row>
    <row r="5" customFormat="false" ht="30" hidden="false" customHeight="true" outlineLevel="0" collapsed="false">
      <c r="B5" s="5" t="s">
        <v>622</v>
      </c>
      <c r="C5" s="6" t="s">
        <v>216</v>
      </c>
      <c r="D5" s="6" t="s">
        <v>623</v>
      </c>
      <c r="E5" s="6" t="s">
        <v>217</v>
      </c>
      <c r="F5" s="6" t="s">
        <v>624</v>
      </c>
      <c r="G5" s="6" t="s">
        <v>625</v>
      </c>
      <c r="I5" s="45" t="s">
        <v>626</v>
      </c>
      <c r="J5" s="6" t="s">
        <v>627</v>
      </c>
      <c r="K5" s="6" t="s">
        <v>628</v>
      </c>
      <c r="L5" s="6" t="s">
        <v>629</v>
      </c>
      <c r="M5" s="6" t="s">
        <v>630</v>
      </c>
      <c r="N5" s="6" t="s">
        <v>631</v>
      </c>
      <c r="O5" s="6" t="s">
        <v>632</v>
      </c>
      <c r="P5" s="6" t="s">
        <v>633</v>
      </c>
      <c r="Q5" s="6" t="s">
        <v>634</v>
      </c>
      <c r="R5" s="6" t="s">
        <v>635</v>
      </c>
      <c r="S5" s="6" t="s">
        <v>636</v>
      </c>
    </row>
    <row r="6" customFormat="false" ht="15" hidden="false" customHeight="false" outlineLevel="0" collapsed="false">
      <c r="B6" s="46" t="n">
        <v>40878</v>
      </c>
      <c r="C6" s="33" t="n">
        <v>0.00752245615292817</v>
      </c>
      <c r="D6" s="33" t="n">
        <v>0.0377797971303677</v>
      </c>
      <c r="E6" s="33" t="n">
        <v>0.0167134640765643</v>
      </c>
      <c r="F6" s="33" t="n">
        <v>0.0231914397098041</v>
      </c>
      <c r="G6" s="33" t="n">
        <v>-0.0276222881847026</v>
      </c>
      <c r="I6" s="47" t="s">
        <v>637</v>
      </c>
      <c r="J6" s="27" t="n">
        <f aca="false">COUNT(C6:C183)</f>
        <v>178</v>
      </c>
      <c r="K6" s="27" t="n">
        <f aca="false">COUNT(D6:D183)</f>
        <v>178</v>
      </c>
      <c r="L6" s="27" t="n">
        <f aca="false">COUNT(E6:E183)</f>
        <v>178</v>
      </c>
      <c r="M6" s="27" t="n">
        <f aca="false">COUNT(F6:F183)</f>
        <v>178</v>
      </c>
      <c r="N6" s="27" t="n">
        <f aca="false">COUNT(G6:G183)</f>
        <v>178</v>
      </c>
    </row>
    <row r="7" customFormat="false" ht="32.8" hidden="false" customHeight="false" outlineLevel="0" collapsed="false">
      <c r="B7" s="46" t="n">
        <v>40909</v>
      </c>
      <c r="C7" s="33" t="n">
        <v>0.00819337325701182</v>
      </c>
      <c r="D7" s="33" t="n">
        <v>0.0336134092901679</v>
      </c>
      <c r="E7" s="33" t="n">
        <v>0.0258897342697333</v>
      </c>
      <c r="F7" s="33" t="n">
        <v>0.0353028172249067</v>
      </c>
      <c r="G7" s="33" t="n">
        <v>0.0141644641653613</v>
      </c>
      <c r="I7" s="47" t="s">
        <v>638</v>
      </c>
      <c r="J7" s="33" t="n">
        <f aca="false">AVERAGE(C6:C183)</f>
        <v>0.00516737915747331</v>
      </c>
      <c r="K7" s="33" t="n">
        <f aca="false">AVERAGE(D6:D183)</f>
        <v>-0.000115524602610854</v>
      </c>
      <c r="L7" s="33" t="n">
        <f aca="false">AVERAGE(E6:E183)</f>
        <v>0.00929440771227314</v>
      </c>
      <c r="M7" s="33" t="n">
        <f aca="false">AVERAGE(F6:F183)</f>
        <v>0.00368965280481002</v>
      </c>
      <c r="N7" s="33" t="n">
        <f aca="false">AVERAGE(G6:G183)</f>
        <v>-0.000682125229284834</v>
      </c>
    </row>
    <row r="8" customFormat="false" ht="22.35" hidden="false" customHeight="false" outlineLevel="0" collapsed="false">
      <c r="B8" s="46" t="n">
        <v>40940</v>
      </c>
      <c r="C8" s="33" t="n">
        <v>0.0187974805621754</v>
      </c>
      <c r="D8" s="33" t="n">
        <v>-0.0174218456465622</v>
      </c>
      <c r="E8" s="33" t="n">
        <v>0.0517355286281493</v>
      </c>
      <c r="F8" s="33" t="n">
        <v>0.00807927492352397</v>
      </c>
      <c r="G8" s="33" t="n">
        <v>0.0257564935132684</v>
      </c>
      <c r="I8" s="47" t="s">
        <v>639</v>
      </c>
      <c r="J8" s="33" t="n">
        <f aca="false">STDEV(C6:C183)</f>
        <v>0.0241011482318308</v>
      </c>
      <c r="K8" s="33" t="n">
        <f aca="false">STDEV(D6:D183)</f>
        <v>0.0288036134638215</v>
      </c>
      <c r="L8" s="33" t="n">
        <f aca="false">STDEV(E6:E183)</f>
        <v>0.0527087249857364</v>
      </c>
      <c r="M8" s="33" t="n">
        <f aca="false">STDEV(F6:F183)</f>
        <v>0.0158381844917079</v>
      </c>
      <c r="N8" s="33" t="n">
        <f aca="false">STDEV(G6:G183)</f>
        <v>0.0211330745801832</v>
      </c>
    </row>
    <row r="9" customFormat="false" ht="22.35" hidden="false" customHeight="false" outlineLevel="0" collapsed="false">
      <c r="B9" s="46" t="n">
        <v>40969</v>
      </c>
      <c r="C9" s="33" t="n">
        <v>0.0182867406875036</v>
      </c>
      <c r="D9" s="33" t="n">
        <v>-0.00118164159967504</v>
      </c>
      <c r="E9" s="33" t="n">
        <v>0.00337204884598052</v>
      </c>
      <c r="F9" s="33" t="n">
        <v>0.0040840081256193</v>
      </c>
      <c r="G9" s="33" t="n">
        <v>-0.00986205400876905</v>
      </c>
      <c r="I9" s="47" t="s">
        <v>640</v>
      </c>
      <c r="J9" s="16" t="n">
        <f aca="false">STDEV(C6:C183)*SQRT(12)</f>
        <v>0.0834888265165595</v>
      </c>
      <c r="K9" s="16" t="n">
        <f aca="false">STDEV(D6:D183)*SQRT(12)</f>
        <v>0.0997786439218276</v>
      </c>
      <c r="L9" s="16" t="n">
        <f aca="false">STDEV(E6:E183)*SQRT(12)</f>
        <v>0.182588379354941</v>
      </c>
      <c r="M9" s="16" t="n">
        <f aca="false">STDEV(F6:F183)*SQRT(12)</f>
        <v>0.054865080478575</v>
      </c>
      <c r="N9" s="16" t="n">
        <f aca="false">STDEV(G6:G183)*SQRT(12)</f>
        <v>0.0732071177860393</v>
      </c>
    </row>
    <row r="10" customFormat="false" ht="22.35" hidden="false" customHeight="false" outlineLevel="0" collapsed="false">
      <c r="B10" s="46" t="n">
        <v>41000</v>
      </c>
      <c r="C10" s="33" t="n">
        <v>-0.0019274186964785</v>
      </c>
      <c r="D10" s="33" t="n">
        <v>-0.00236710093200132</v>
      </c>
      <c r="E10" s="33" t="n">
        <v>-0.0189605858213302</v>
      </c>
      <c r="F10" s="33" t="n">
        <v>0.00223463709464219</v>
      </c>
      <c r="G10" s="33" t="n">
        <v>-0.00775959113370284</v>
      </c>
      <c r="I10" s="47" t="s">
        <v>641</v>
      </c>
      <c r="J10" s="16" t="n">
        <f aca="false">STDEV(C6:C183)*SQRT(6)</f>
        <v>0.0590355153831664</v>
      </c>
      <c r="K10" s="16" t="n">
        <f aca="false">STDEV(D6:D183)*SQRT(6)</f>
        <v>0.0705541557347222</v>
      </c>
      <c r="L10" s="16" t="n">
        <f aca="false">STDEV(E6:E183)*SQRT(6)</f>
        <v>0.129109481207741</v>
      </c>
      <c r="M10" s="16" t="n">
        <f aca="false">STDEV(F6:F183)*SQRT(6)</f>
        <v>0.038795470456746</v>
      </c>
      <c r="N10" s="16" t="n">
        <f aca="false">STDEV(G6:G183)*SQRT(6)</f>
        <v>0.0517652494176307</v>
      </c>
    </row>
    <row r="11" customFormat="false" ht="32.8" hidden="false" customHeight="false" outlineLevel="0" collapsed="false">
      <c r="B11" s="46" t="n">
        <v>41030</v>
      </c>
      <c r="C11" s="33" t="n">
        <v>-0.00762889142691001</v>
      </c>
      <c r="D11" s="33" t="n">
        <v>-0.011516861475081</v>
      </c>
      <c r="E11" s="33" t="n">
        <v>-0.0592268971974004</v>
      </c>
      <c r="F11" s="33" t="n">
        <v>-0.0231106479222231</v>
      </c>
      <c r="G11" s="33" t="n">
        <v>-0.0654621312814891</v>
      </c>
      <c r="I11" s="47" t="s">
        <v>642</v>
      </c>
      <c r="J11" s="16" t="n">
        <f aca="false">AVERAGE(C6:C183)*6</f>
        <v>0.0310042749448398</v>
      </c>
      <c r="K11" s="16" t="n">
        <f aca="false">AVERAGE(D6:D183)*6</f>
        <v>-0.000693147615665124</v>
      </c>
      <c r="L11" s="16" t="n">
        <f aca="false">AVERAGE(E6:E183)*6</f>
        <v>0.0557664462736388</v>
      </c>
      <c r="M11" s="16" t="n">
        <f aca="false">AVERAGE(F6:F183)*6</f>
        <v>0.0221379168288601</v>
      </c>
      <c r="N11" s="16" t="n">
        <f aca="false">AVERAGE(G6:G183)*6</f>
        <v>-0.00409275137570901</v>
      </c>
      <c r="O11" s="48" t="n">
        <f aca="false" t="array" ref="O11:O11">PRODUCT(1+C6:C11)-1</f>
        <v>0.0437410421783437</v>
      </c>
      <c r="P11" s="48" t="n">
        <f aca="false" t="array" ref="P11:P11">PRODUCT(1+D6:D11)-1</f>
        <v>0.038142558301506</v>
      </c>
      <c r="Q11" s="48" t="n">
        <f aca="false" t="array" ref="Q11:Q11">PRODUCT(1+E6:E11)-1</f>
        <v>0.015872375205594</v>
      </c>
      <c r="R11" s="48" t="n">
        <f aca="false" t="array" ref="R11:R11">PRODUCT(1+F6:F11)-1</f>
        <v>0.0497933417744374</v>
      </c>
      <c r="S11" s="48" t="n">
        <f aca="false" t="array" ref="S11:S11">PRODUCT(1+G6:G11)-1</f>
        <v>-0.0712535254124497</v>
      </c>
    </row>
    <row r="12" customFormat="false" ht="32.8" hidden="false" customHeight="false" outlineLevel="0" collapsed="false">
      <c r="B12" s="46" t="n">
        <v>41061</v>
      </c>
      <c r="C12" s="33" t="n">
        <v>0.0204472757858549</v>
      </c>
      <c r="D12" s="33" t="n">
        <v>0.00360143124639256</v>
      </c>
      <c r="E12" s="33" t="n">
        <v>0.0834680345673375</v>
      </c>
      <c r="F12" s="33" t="n">
        <v>0.0317056935553618</v>
      </c>
      <c r="G12" s="33" t="n">
        <v>0.0234555504006684</v>
      </c>
      <c r="I12" s="47" t="s">
        <v>643</v>
      </c>
      <c r="J12" s="16" t="n">
        <f aca="false">MIN(C6:C183)</f>
        <v>-0.0977935322295021</v>
      </c>
      <c r="K12" s="16" t="n">
        <f aca="false">MIN(D6:D183)</f>
        <v>-0.105095863628892</v>
      </c>
      <c r="L12" s="16" t="n">
        <f aca="false">MIN(E6:E183)</f>
        <v>-0.368244906782765</v>
      </c>
      <c r="M12" s="16" t="n">
        <f aca="false">MIN(F6:F183)</f>
        <v>-0.0964260399085759</v>
      </c>
      <c r="N12" s="16" t="n">
        <f aca="false">MIN(G6:G183)</f>
        <v>-0.0718705111070924</v>
      </c>
      <c r="O12" s="48" t="n">
        <f aca="false" t="array" ref="O12:O12">PRODUCT(1+C7:C12)-1</f>
        <v>0.0571304853924912</v>
      </c>
      <c r="P12" s="48" t="n">
        <f aca="false" t="array" ref="P12:P12">PRODUCT(1+D7:D12)-1</f>
        <v>0.00395224519706083</v>
      </c>
      <c r="Q12" s="48" t="n">
        <f aca="false" t="array" ref="Q12:Q12">PRODUCT(1+E7:E12)-1</f>
        <v>0.0825717221468523</v>
      </c>
      <c r="R12" s="48" t="n">
        <f aca="false" t="array" ref="R12:R12">PRODUCT(1+F7:F12)-1</f>
        <v>0.0585289572715517</v>
      </c>
      <c r="S12" s="48" t="n">
        <f aca="false" t="array" ref="S12:S12">PRODUCT(1+G7:G12)-1</f>
        <v>-0.0224675835512831</v>
      </c>
    </row>
    <row r="13" customFormat="false" ht="15" hidden="false" customHeight="false" outlineLevel="0" collapsed="false">
      <c r="B13" s="46" t="n">
        <v>41091</v>
      </c>
      <c r="C13" s="33" t="n">
        <v>0.0192295564869052</v>
      </c>
      <c r="D13" s="33" t="n">
        <v>0.0215308973982749</v>
      </c>
      <c r="E13" s="33" t="n">
        <v>0.0419794739835486</v>
      </c>
      <c r="F13" s="33" t="n">
        <v>0.0127753531013503</v>
      </c>
      <c r="G13" s="33" t="n">
        <v>-0.0320216036309763</v>
      </c>
      <c r="I13" s="47" t="s">
        <v>644</v>
      </c>
      <c r="J13" s="49" t="n">
        <f aca="false">CORREL(C7:C183,C6:C182)</f>
        <v>-0.116778987274792</v>
      </c>
      <c r="K13" s="49" t="n">
        <f aca="false">CORREL(D7:D183,D6:D182)</f>
        <v>-0.0703722339911578</v>
      </c>
      <c r="L13" s="49" t="n">
        <f aca="false">CORREL(E7:E183,E6:E182)</f>
        <v>-0.0788239339347451</v>
      </c>
      <c r="M13" s="49" t="n">
        <f aca="false">CORREL(F7:F183,F6:F182)</f>
        <v>-0.0928100818603284</v>
      </c>
      <c r="N13" s="49" t="n">
        <f aca="false">CORREL(G7:G183,G6:G182)</f>
        <v>0.0305522979294224</v>
      </c>
      <c r="O13" s="48" t="n">
        <f aca="false" t="array" ref="O13:O13">PRODUCT(1+C8:C13)-1</f>
        <v>0.0687023584519302</v>
      </c>
      <c r="P13" s="48" t="n">
        <f aca="false" t="array" ref="P13:P13">PRODUCT(1+D8:D13)-1</f>
        <v>-0.00778353999347425</v>
      </c>
      <c r="Q13" s="48" t="n">
        <f aca="false" t="array" ref="Q13:Q13">PRODUCT(1+E8:E13)-1</f>
        <v>0.0995504447610118</v>
      </c>
      <c r="R13" s="48" t="n">
        <f aca="false" t="array" ref="R13:R13">PRODUCT(1+F8:F13)-1</f>
        <v>0.0354961086093615</v>
      </c>
      <c r="S13" s="48" t="n">
        <f aca="false" t="array" ref="S13:S13">PRODUCT(1+G8:G13)-1</f>
        <v>-0.0669853911204673</v>
      </c>
    </row>
    <row r="14" customFormat="false" ht="15" hidden="false" customHeight="false" outlineLevel="0" collapsed="false">
      <c r="B14" s="46" t="n">
        <v>41122</v>
      </c>
      <c r="C14" s="33" t="n">
        <v>0.0293891359610567</v>
      </c>
      <c r="D14" s="33" t="n">
        <v>-0.00117095739755346</v>
      </c>
      <c r="E14" s="33" t="n">
        <v>0.038484656488184</v>
      </c>
      <c r="F14" s="33" t="n">
        <v>0.00249862461058289</v>
      </c>
      <c r="G14" s="33" t="n">
        <v>0.0205179183305073</v>
      </c>
      <c r="I14" s="47" t="s">
        <v>645</v>
      </c>
      <c r="J14" s="36" t="n">
        <f aca="false">SKEW(C6:C183)</f>
        <v>-0.640086577562274</v>
      </c>
      <c r="K14" s="36" t="n">
        <f aca="false">SKEW(D6:D183)</f>
        <v>-0.790047164465808</v>
      </c>
      <c r="L14" s="36" t="n">
        <f aca="false">SKEW(E6:E183)</f>
        <v>-1.59790708280387</v>
      </c>
      <c r="M14" s="36" t="n">
        <f aca="false">SKEW(F6:F183)</f>
        <v>-1.37825319097472</v>
      </c>
      <c r="N14" s="36" t="n">
        <f aca="false">SKEW(G6:G183)</f>
        <v>-0.175288510860226</v>
      </c>
      <c r="O14" s="48" t="n">
        <f aca="false" t="array" ref="O14:O14">PRODUCT(1+C9:C14)-1</f>
        <v>0.0798128365603457</v>
      </c>
      <c r="P14" s="48" t="n">
        <f aca="false" t="array" ref="P14:P14">PRODUCT(1+D9:D14)-1</f>
        <v>0.00862675646890065</v>
      </c>
      <c r="Q14" s="48" t="n">
        <f aca="false" t="array" ref="Q14:Q14">PRODUCT(1+E9:E14)-1</f>
        <v>0.0856971499370032</v>
      </c>
      <c r="R14" s="48" t="n">
        <f aca="false" t="array" ref="R14:R14">PRODUCT(1+F9:F14)-1</f>
        <v>0.0297636807871564</v>
      </c>
      <c r="S14" s="48" t="n">
        <f aca="false" t="array" ref="S14:S14">PRODUCT(1+G9:G14)-1</f>
        <v>-0.0717503301738767</v>
      </c>
    </row>
    <row r="15" customFormat="false" ht="15" hidden="false" customHeight="false" outlineLevel="0" collapsed="false">
      <c r="B15" s="46" t="n">
        <v>41153</v>
      </c>
      <c r="C15" s="33" t="n">
        <v>-0.00666012760821864</v>
      </c>
      <c r="D15" s="33" t="n">
        <v>0</v>
      </c>
      <c r="E15" s="33" t="n">
        <v>0.0172120703591301</v>
      </c>
      <c r="F15" s="33" t="n">
        <v>0.00916555500549735</v>
      </c>
      <c r="G15" s="33" t="n">
        <v>0.0267048615699961</v>
      </c>
      <c r="I15" s="47" t="s">
        <v>646</v>
      </c>
      <c r="J15" s="36" t="n">
        <f aca="false">KURT(C6:C183)</f>
        <v>2.85938690452566</v>
      </c>
      <c r="K15" s="36" t="n">
        <f aca="false">KURT(D6:D183)</f>
        <v>1.46145871909935</v>
      </c>
      <c r="L15" s="36" t="n">
        <f aca="false">KURT(E6:E183)</f>
        <v>15.782200849944</v>
      </c>
      <c r="M15" s="36" t="n">
        <f aca="false">KURT(F6:F183)</f>
        <v>9.7605659947235</v>
      </c>
      <c r="N15" s="36" t="n">
        <f aca="false">KURT(G6:G183)</f>
        <v>0.378733043981287</v>
      </c>
      <c r="O15" s="48" t="n">
        <f aca="false" t="array" ref="O15:O15">PRODUCT(1+C10:C15)-1</f>
        <v>0.0533586488140592</v>
      </c>
      <c r="P15" s="48" t="n">
        <f aca="false" t="array" ref="P15:P15">PRODUCT(1+D10:D15)-1</f>
        <v>0.00982000179120113</v>
      </c>
      <c r="Q15" s="48" t="n">
        <f aca="false" t="array" ref="Q15:Q15">PRODUCT(1+E10:E15)-1</f>
        <v>0.100672723483402</v>
      </c>
      <c r="R15" s="48" t="n">
        <f aca="false" t="array" ref="R15:R15">PRODUCT(1+F10:F15)-1</f>
        <v>0.0349751893629022</v>
      </c>
      <c r="S15" s="48" t="n">
        <f aca="false" t="array" ref="S15:S15">PRODUCT(1+G10:G15)-1</f>
        <v>-0.0374690187162418</v>
      </c>
    </row>
    <row r="16" customFormat="false" ht="32.8" hidden="false" customHeight="false" outlineLevel="0" collapsed="false">
      <c r="B16" s="46" t="n">
        <v>41183</v>
      </c>
      <c r="C16" s="33" t="n">
        <v>0.0177825863208515</v>
      </c>
      <c r="D16" s="33" t="n">
        <v>0.0386872562313696</v>
      </c>
      <c r="E16" s="33" t="n">
        <v>0.0175032176931798</v>
      </c>
      <c r="F16" s="33" t="n">
        <v>0.0110347429763554</v>
      </c>
      <c r="G16" s="33" t="n">
        <v>0.00915165543424723</v>
      </c>
      <c r="I16" s="47" t="s">
        <v>647</v>
      </c>
      <c r="J16" s="16" t="n">
        <f aca="false">MIN(O11:O183)</f>
        <v>-0.113109153899375</v>
      </c>
      <c r="K16" s="16" t="n">
        <f aca="false">MIN(P11:P183)</f>
        <v>-0.20189842273032</v>
      </c>
      <c r="L16" s="16" t="n">
        <f aca="false">MIN(Q11:Q183)</f>
        <v>-0.406763084456277</v>
      </c>
      <c r="M16" s="16" t="n">
        <f aca="false">MIN(R11:R183)</f>
        <v>-0.115946126720801</v>
      </c>
      <c r="N16" s="16" t="n">
        <f aca="false">MIN(S11:S183)</f>
        <v>-0.157365465790047</v>
      </c>
      <c r="O16" s="48" t="n">
        <f aca="false" t="array" ref="O16:O16">PRODUCT(1+C11:C16)-1</f>
        <v>0.074160446841671</v>
      </c>
      <c r="P16" s="48" t="n">
        <f aca="false" t="array" ref="P16:P16">PRODUCT(1+D11:D16)-1</f>
        <v>0.0513758797729536</v>
      </c>
      <c r="Q16" s="48" t="n">
        <f aca="false" t="array" ref="Q16:Q16">PRODUCT(1+E11:E16)-1</f>
        <v>0.141583122538551</v>
      </c>
      <c r="R16" s="48" t="n">
        <f aca="false" t="array" ref="R16:R16">PRODUCT(1+F11:F16)-1</f>
        <v>0.0440627731623828</v>
      </c>
      <c r="S16" s="48" t="n">
        <f aca="false" t="array" ref="S16:S16">PRODUCT(1+G11:G16)-1</f>
        <v>-0.0210641246922433</v>
      </c>
    </row>
    <row r="17" customFormat="false" ht="32.8" hidden="false" customHeight="false" outlineLevel="0" collapsed="false">
      <c r="B17" s="46" t="n">
        <v>41214</v>
      </c>
      <c r="C17" s="33" t="n">
        <v>-0.00363136685833143</v>
      </c>
      <c r="D17" s="33" t="n">
        <v>-0.0290137029236876</v>
      </c>
      <c r="E17" s="33" t="n">
        <v>0.0172019179210605</v>
      </c>
      <c r="F17" s="33" t="n">
        <v>0.00599178428014787</v>
      </c>
      <c r="G17" s="33" t="n">
        <v>0.000843217930773133</v>
      </c>
      <c r="I17" s="47" t="s">
        <v>648</v>
      </c>
      <c r="J17" s="16" t="n">
        <f aca="false">PERCENTILE(O11:O183,0.05)</f>
        <v>-0.0595411804575081</v>
      </c>
      <c r="K17" s="16" t="n">
        <f aca="false">PERCENTILE(P11:P183,0.05)</f>
        <v>-0.118132809990627</v>
      </c>
      <c r="L17" s="16" t="n">
        <f aca="false">PERCENTILE(Q11:Q183,0.05)</f>
        <v>-0.110337482663131</v>
      </c>
      <c r="M17" s="16" t="n">
        <f aca="false">PERCENTILE(R11:R183,0.05)</f>
        <v>-0.0469088639988083</v>
      </c>
      <c r="N17" s="16" t="n">
        <f aca="false">PERCENTILE(S11:S183,0.05)</f>
        <v>-0.0877765190801771</v>
      </c>
      <c r="O17" s="48" t="n">
        <f aca="false" t="array" ref="O17:O17">PRODUCT(1+C12:C17)-1</f>
        <v>0.0784874397778306</v>
      </c>
      <c r="P17" s="48" t="n">
        <f aca="false" t="array" ref="P17:P17">PRODUCT(1+D12:D17)-1</f>
        <v>0.0327657929092284</v>
      </c>
      <c r="Q17" s="48" t="n">
        <f aca="false" t="array" ref="Q17:Q17">PRODUCT(1+E12:E17)-1</f>
        <v>0.234325830801504</v>
      </c>
      <c r="R17" s="48" t="n">
        <f aca="false" t="array" ref="R17:R17">PRODUCT(1+F12:F17)-1</f>
        <v>0.0751663633554289</v>
      </c>
      <c r="S17" s="48" t="n">
        <f aca="false" t="array" ref="S17:S17">PRODUCT(1+G12:G17)-1</f>
        <v>0.0483912577393952</v>
      </c>
    </row>
    <row r="18" customFormat="false" ht="32.8" hidden="false" customHeight="false" outlineLevel="0" collapsed="false">
      <c r="B18" s="46" t="n">
        <v>41244</v>
      </c>
      <c r="C18" s="33" t="n">
        <v>0.0149547258965108</v>
      </c>
      <c r="D18" s="33" t="n">
        <v>0.00348860468211365</v>
      </c>
      <c r="E18" s="33" t="n">
        <v>0.0113059957062642</v>
      </c>
      <c r="F18" s="33" t="n">
        <v>0.0167848588813874</v>
      </c>
      <c r="G18" s="33" t="n">
        <v>0.0195902063302647</v>
      </c>
      <c r="I18" s="47" t="s">
        <v>649</v>
      </c>
      <c r="J18" s="16" t="n">
        <f aca="false">PERCENTILE(O11:O183,0.01)</f>
        <v>-0.107073988228945</v>
      </c>
      <c r="K18" s="16" t="n">
        <f aca="false">PERCENTILE(P11:P183,0.01)</f>
        <v>-0.175551254255467</v>
      </c>
      <c r="L18" s="16" t="n">
        <f aca="false">PERCENTILE(Q11:Q183,0.01)</f>
        <v>-0.245009130292384</v>
      </c>
      <c r="M18" s="16" t="n">
        <f aca="false">PERCENTILE(R11:R183,0.01)</f>
        <v>-0.0897933547444888</v>
      </c>
      <c r="N18" s="16" t="n">
        <f aca="false">PERCENTILE(S11:S183,0.01)</f>
        <v>-0.146842730026535</v>
      </c>
      <c r="O18" s="48" t="n">
        <f aca="false" t="array" ref="O18:O18">PRODUCT(1+C13:C18)-1</f>
        <v>0.0726824891365066</v>
      </c>
      <c r="P18" s="48" t="n">
        <f aca="false" t="array" ref="P18:P18">PRODUCT(1+D13:D18)-1</f>
        <v>0.0326496876382605</v>
      </c>
      <c r="Q18" s="48" t="n">
        <f aca="false" t="array" ref="Q18:Q18">PRODUCT(1+E13:E18)-1</f>
        <v>0.152116235568642</v>
      </c>
      <c r="R18" s="48" t="n">
        <f aca="false" t="array" ref="R18:R18">PRODUCT(1+F13:F18)-1</f>
        <v>0.0596169875452008</v>
      </c>
      <c r="S18" s="48" t="n">
        <f aca="false" t="array" ref="S18:S18">PRODUCT(1+G13:G18)-1</f>
        <v>0.0444317375335792</v>
      </c>
    </row>
    <row r="19" customFormat="false" ht="15" hidden="false" customHeight="false" outlineLevel="0" collapsed="false">
      <c r="B19" s="46" t="n">
        <v>41275</v>
      </c>
      <c r="C19" s="33" t="n">
        <v>0.00375187089900679</v>
      </c>
      <c r="D19" s="33" t="n">
        <v>0.0104284300183832</v>
      </c>
      <c r="E19" s="33" t="n">
        <v>0.0234290926627938</v>
      </c>
      <c r="F19" s="33" t="n">
        <v>0.000111209107391634</v>
      </c>
      <c r="G19" s="33" t="n">
        <v>0.0257527156395767</v>
      </c>
      <c r="O19" s="48" t="n">
        <f aca="false" t="array" ref="O19:O19">PRODUCT(1+C14:C19)-1</f>
        <v>0.0563930848537997</v>
      </c>
      <c r="P19" s="48" t="n">
        <f aca="false" t="array" ref="P19:P19">PRODUCT(1+D14:D19)-1</f>
        <v>0.0214263761348503</v>
      </c>
      <c r="Q19" s="48" t="n">
        <f aca="false" t="array" ref="Q19:Q19">PRODUCT(1+E14:E19)-1</f>
        <v>0.131605087288606</v>
      </c>
      <c r="R19" s="48" t="n">
        <f aca="false" t="array" ref="R19:R19">PRODUCT(1+F14:F19)-1</f>
        <v>0.0463671172085809</v>
      </c>
      <c r="S19" s="48" t="n">
        <f aca="false" t="array" ref="S19:S19">PRODUCT(1+G14:G19)-1</f>
        <v>0.106769216228258</v>
      </c>
    </row>
    <row r="20" customFormat="false" ht="15" hidden="false" customHeight="false" outlineLevel="0" collapsed="false">
      <c r="B20" s="46" t="n">
        <v>41306</v>
      </c>
      <c r="C20" s="33" t="n">
        <v>0.00886978594288193</v>
      </c>
      <c r="D20" s="33" t="n">
        <v>0.0252294396662895</v>
      </c>
      <c r="E20" s="33" t="n">
        <v>0.0340588089982079</v>
      </c>
      <c r="F20" s="33" t="n">
        <v>0.00658154320569019</v>
      </c>
      <c r="G20" s="33" t="n">
        <v>-0.0307601178216801</v>
      </c>
      <c r="I20" s="50" t="s">
        <v>650</v>
      </c>
      <c r="O20" s="48" t="n">
        <f aca="false" t="array" ref="O20:O20">PRODUCT(1+C15:C20)-1</f>
        <v>0.0353354510517323</v>
      </c>
      <c r="P20" s="48" t="n">
        <f aca="false" t="array" ref="P20:P20">PRODUCT(1+D15:D20)-1</f>
        <v>0.0484240511635841</v>
      </c>
      <c r="Q20" s="48" t="n">
        <f aca="false" t="array" ref="Q20:Q20">PRODUCT(1+E15:E20)-1</f>
        <v>0.126782376135456</v>
      </c>
      <c r="R20" s="48" t="n">
        <f aca="false" t="array" ref="R20:R20">PRODUCT(1+F15:F20)-1</f>
        <v>0.0506287008709221</v>
      </c>
      <c r="S20" s="48" t="n">
        <f aca="false" t="array" ref="S20:S20">PRODUCT(1+G15:G20)-1</f>
        <v>0.0511573049991789</v>
      </c>
    </row>
    <row r="21" customFormat="false" ht="22.35" hidden="false" customHeight="false" outlineLevel="0" collapsed="false">
      <c r="B21" s="46" t="n">
        <v>41334</v>
      </c>
      <c r="C21" s="33" t="n">
        <v>0.00314519853502466</v>
      </c>
      <c r="D21" s="33" t="n">
        <v>0.0223714542634534</v>
      </c>
      <c r="E21" s="33" t="n">
        <v>-0.00213672142796573</v>
      </c>
      <c r="F21" s="33" t="n">
        <v>0.00690323332801635</v>
      </c>
      <c r="G21" s="33" t="n">
        <v>-0.0260896735593241</v>
      </c>
      <c r="J21" s="6" t="s">
        <v>651</v>
      </c>
      <c r="K21" s="6" t="s">
        <v>652</v>
      </c>
      <c r="L21" s="6" t="s">
        <v>653</v>
      </c>
      <c r="M21" s="6" t="s">
        <v>654</v>
      </c>
      <c r="N21" s="6" t="s">
        <v>655</v>
      </c>
      <c r="O21" s="48" t="n">
        <f aca="false" t="array" ref="O21:O21">PRODUCT(1+C16:C21)-1</f>
        <v>0.0455553184378872</v>
      </c>
      <c r="P21" s="48" t="n">
        <f aca="false" t="array" ref="P21:P21">PRODUCT(1+D16:D21)-1</f>
        <v>0.0718788218728947</v>
      </c>
      <c r="Q21" s="48" t="n">
        <f aca="false" t="array" ref="Q21:Q21">PRODUCT(1+E16:E21)-1</f>
        <v>0.105349404368303</v>
      </c>
      <c r="R21" s="48" t="n">
        <f aca="false" t="array" ref="R21:R21">PRODUCT(1+F16:F21)-1</f>
        <v>0.0482734281674742</v>
      </c>
      <c r="S21" s="48" t="n">
        <f aca="false" t="array" ref="S21:S21">PRODUCT(1+G16:G21)-1</f>
        <v>-0.00289460742710468</v>
      </c>
    </row>
    <row r="22" customFormat="false" ht="15" hidden="false" customHeight="false" outlineLevel="0" collapsed="false">
      <c r="B22" s="46" t="n">
        <v>41365</v>
      </c>
      <c r="C22" s="33" t="n">
        <v>0.0391884774073283</v>
      </c>
      <c r="D22" s="33" t="n">
        <v>-0.0175057143735714</v>
      </c>
      <c r="E22" s="33" t="n">
        <v>0.0146806894620251</v>
      </c>
      <c r="F22" s="33" t="n">
        <v>0.016830707804141</v>
      </c>
      <c r="G22" s="33" t="n">
        <v>0.0224856266542344</v>
      </c>
      <c r="I22" s="51" t="s">
        <v>651</v>
      </c>
      <c r="J22" s="52" t="n">
        <f aca="false">CORREL(C6:C183,C6:C183)</f>
        <v>1</v>
      </c>
      <c r="K22" s="52" t="n">
        <f aca="false">CORREL(C6:C183,D6:D183)</f>
        <v>0.567142710417963</v>
      </c>
      <c r="L22" s="52" t="n">
        <f aca="false">CORREL(C6:C183,E6:E183)</f>
        <v>0.470096988995979</v>
      </c>
      <c r="M22" s="52" t="n">
        <f aca="false">CORREL(C6:C183,F6:F183)</f>
        <v>0.579253573916853</v>
      </c>
      <c r="N22" s="52" t="n">
        <f aca="false">CORREL(C6:C183,G6:G183)</f>
        <v>0.205189704530012</v>
      </c>
      <c r="O22" s="48" t="n">
        <f aca="false" t="array" ref="O22:O22">PRODUCT(1+C17:C22)-1</f>
        <v>0.0675453225627096</v>
      </c>
      <c r="P22" s="48" t="n">
        <f aca="false" t="array" ref="P22:P22">PRODUCT(1+D17:D22)-1</f>
        <v>0.013890187884932</v>
      </c>
      <c r="Q22" s="48" t="n">
        <f aca="false" t="array" ref="Q22:Q22">PRODUCT(1+E17:E22)-1</f>
        <v>0.102283193033667</v>
      </c>
      <c r="R22" s="48" t="n">
        <f aca="false" t="array" ref="R22:R22">PRODUCT(1+F17:F22)-1</f>
        <v>0.0542828714252546</v>
      </c>
      <c r="S22" s="48" t="n">
        <f aca="false" t="array" ref="S22:S22">PRODUCT(1+G17:G22)-1</f>
        <v>0.0102801959201091</v>
      </c>
    </row>
    <row r="23" customFormat="false" ht="15" hidden="false" customHeight="false" outlineLevel="0" collapsed="false">
      <c r="B23" s="46" t="n">
        <v>41395</v>
      </c>
      <c r="C23" s="33" t="n">
        <v>-0.00434956373637341</v>
      </c>
      <c r="D23" s="33" t="n">
        <v>-0.0486683470976532</v>
      </c>
      <c r="E23" s="33" t="n">
        <v>-0.0465942982825742</v>
      </c>
      <c r="F23" s="33" t="n">
        <v>-0.0109110841982798</v>
      </c>
      <c r="G23" s="33" t="n">
        <v>-0.00396537104692918</v>
      </c>
      <c r="I23" s="51" t="s">
        <v>652</v>
      </c>
      <c r="J23" s="52" t="n">
        <f aca="false">CORREL(D6:D183,C6:C183)</f>
        <v>0.567142710417963</v>
      </c>
      <c r="K23" s="52" t="n">
        <f aca="false">CORREL(D6:D183,D6:D183)</f>
        <v>1</v>
      </c>
      <c r="L23" s="52" t="n">
        <f aca="false">CORREL(D6:D183,E6:E183)</f>
        <v>0.317848041968618</v>
      </c>
      <c r="M23" s="52" t="n">
        <f aca="false">CORREL(D6:D183,F6:F183)</f>
        <v>0.374330523428719</v>
      </c>
      <c r="N23" s="52" t="n">
        <f aca="false">CORREL(D6:D183,G6:G183)</f>
        <v>0.129464198710683</v>
      </c>
      <c r="O23" s="48" t="n">
        <f aca="false" t="array" ref="O23:O23">PRODUCT(1+C18:C23)-1</f>
        <v>0.0667758205005911</v>
      </c>
      <c r="P23" s="48" t="n">
        <f aca="false" t="array" ref="P23:P23">PRODUCT(1+D18:D23)-1</f>
        <v>-0.00663291417568102</v>
      </c>
      <c r="Q23" s="48" t="n">
        <f aca="false" t="array" ref="Q23:Q23">PRODUCT(1+E18:E23)-1</f>
        <v>0.033150904093306</v>
      </c>
      <c r="R23" s="48" t="n">
        <f aca="false" t="array" ref="R23:R23">PRODUCT(1+F18:F23)-1</f>
        <v>0.036568606763032</v>
      </c>
      <c r="S23" s="48" t="n">
        <f aca="false" t="array" ref="S23:S23">PRODUCT(1+G18:G23)-1</f>
        <v>0.00542626662583223</v>
      </c>
    </row>
    <row r="24" customFormat="false" ht="15" hidden="false" customHeight="false" outlineLevel="0" collapsed="false">
      <c r="B24" s="46" t="n">
        <v>41426</v>
      </c>
      <c r="C24" s="33" t="n">
        <v>-0.000619518732427893</v>
      </c>
      <c r="D24" s="33" t="n">
        <v>0.0163935265973108</v>
      </c>
      <c r="E24" s="33" t="n">
        <v>0.0117828524095707</v>
      </c>
      <c r="F24" s="33" t="n">
        <v>-0.0152671500211855</v>
      </c>
      <c r="G24" s="33" t="n">
        <v>-0.00236829630444702</v>
      </c>
      <c r="I24" s="51" t="s">
        <v>653</v>
      </c>
      <c r="J24" s="52" t="n">
        <f aca="false">CORREL(E6:E183,C6:C183)</f>
        <v>0.470096988995979</v>
      </c>
      <c r="K24" s="52" t="n">
        <f aca="false">CORREL(E6:E183,D6:D183)</f>
        <v>0.317848041968618</v>
      </c>
      <c r="L24" s="52" t="n">
        <f aca="false">CORREL(E6:E183,E6:E183)</f>
        <v>1</v>
      </c>
      <c r="M24" s="52" t="n">
        <f aca="false">CORREL(E6:E183,F6:F183)</f>
        <v>0.767108552585768</v>
      </c>
      <c r="N24" s="52" t="n">
        <f aca="false">CORREL(E6:E183,G6:G183)</f>
        <v>0.0602760789280213</v>
      </c>
      <c r="O24" s="48" t="n">
        <f aca="false" t="array" ref="O24:O24">PRODUCT(1+C19:C24)-1</f>
        <v>0.0504063932061492</v>
      </c>
      <c r="P24" s="48" t="n">
        <f aca="false" t="array" ref="P24:P24">PRODUCT(1+D19:D24)-1</f>
        <v>0.00614184441736865</v>
      </c>
      <c r="Q24" s="48" t="n">
        <f aca="false" t="array" ref="Q24:Q24">PRODUCT(1+E19:E24)-1</f>
        <v>0.0336380612309435</v>
      </c>
      <c r="R24" s="48" t="n">
        <f aca="false" t="array" ref="R24:R24">PRODUCT(1+F19:F24)-1</f>
        <v>0.00389295672567047</v>
      </c>
      <c r="S24" s="48" t="n">
        <f aca="false" t="array" ref="S24:S24">PRODUCT(1+G19:G24)-1</f>
        <v>-0.0162271929578706</v>
      </c>
    </row>
    <row r="25" customFormat="false" ht="15" hidden="false" customHeight="false" outlineLevel="0" collapsed="false">
      <c r="B25" s="46" t="n">
        <v>41456</v>
      </c>
      <c r="C25" s="33" t="n">
        <v>0.0108370237974829</v>
      </c>
      <c r="D25" s="33" t="n">
        <v>0.0138248530627563</v>
      </c>
      <c r="E25" s="33" t="n">
        <v>0.0356615502355122</v>
      </c>
      <c r="F25" s="33" t="n">
        <v>0.0207314547232287</v>
      </c>
      <c r="G25" s="33" t="n">
        <v>0.019353380671848</v>
      </c>
      <c r="I25" s="51" t="s">
        <v>654</v>
      </c>
      <c r="J25" s="52" t="n">
        <f aca="false">CORREL(F6:F183,C6:C183)</f>
        <v>0.579253573916853</v>
      </c>
      <c r="K25" s="52" t="n">
        <f aca="false">CORREL(F6:F183,D6:D183)</f>
        <v>0.374330523428719</v>
      </c>
      <c r="L25" s="52" t="n">
        <f aca="false">CORREL(F6:F183,E6:E183)</f>
        <v>0.767108552585768</v>
      </c>
      <c r="M25" s="52" t="n">
        <f aca="false">CORREL(F6:F183,F6:F183)</f>
        <v>1</v>
      </c>
      <c r="N25" s="52" t="n">
        <f aca="false">CORREL(F6:F183,G6:G183)</f>
        <v>0.285743893382407</v>
      </c>
      <c r="O25" s="48" t="n">
        <f aca="false" t="array" ref="O25:O25">PRODUCT(1+C20:C25)-1</f>
        <v>0.0578208649667216</v>
      </c>
      <c r="P25" s="48" t="n">
        <f aca="false" t="array" ref="P25:P25">PRODUCT(1+D20:D25)-1</f>
        <v>0.00952385866475547</v>
      </c>
      <c r="Q25" s="48" t="n">
        <f aca="false" t="array" ref="Q25:Q25">PRODUCT(1+E20:E25)-1</f>
        <v>0.0459925407158455</v>
      </c>
      <c r="R25" s="48" t="n">
        <f aca="false" t="array" ref="R25:R25">PRODUCT(1+F20:F25)-1</f>
        <v>0.0245911742350686</v>
      </c>
      <c r="S25" s="48" t="n">
        <f aca="false" t="array" ref="S25:S25">PRODUCT(1+G20:G25)-1</f>
        <v>-0.0223646290361947</v>
      </c>
    </row>
    <row r="26" customFormat="false" ht="15" hidden="false" customHeight="false" outlineLevel="0" collapsed="false">
      <c r="B26" s="46" t="n">
        <v>41487</v>
      </c>
      <c r="C26" s="33" t="n">
        <v>-0.00414998629408561</v>
      </c>
      <c r="D26" s="33" t="n">
        <v>0.00681823639834245</v>
      </c>
      <c r="E26" s="33" t="n">
        <v>-0.0210504559421311</v>
      </c>
      <c r="F26" s="33" t="n">
        <v>-0.00642821093843804</v>
      </c>
      <c r="G26" s="33" t="n">
        <v>-0.00308122486551876</v>
      </c>
      <c r="I26" s="51" t="s">
        <v>655</v>
      </c>
      <c r="J26" s="52" t="n">
        <f aca="false">CORREL(G6:G183,C6:C183)</f>
        <v>0.205189704530012</v>
      </c>
      <c r="K26" s="52" t="n">
        <f aca="false">CORREL(G6:G183,D6:D183)</f>
        <v>0.129464198710683</v>
      </c>
      <c r="L26" s="52" t="n">
        <f aca="false">CORREL(G6:G183,E6:E183)</f>
        <v>0.0602760789280213</v>
      </c>
      <c r="M26" s="52" t="n">
        <f aca="false">CORREL(G6:G183,F6:F183)</f>
        <v>0.285743893382407</v>
      </c>
      <c r="N26" s="52" t="n">
        <f aca="false">CORREL(G6:G183,G6:G183)</f>
        <v>1</v>
      </c>
      <c r="O26" s="48" t="n">
        <f aca="false" t="array" ref="O26:O26">PRODUCT(1+C21:C26)-1</f>
        <v>0.0441693641275851</v>
      </c>
      <c r="P26" s="48" t="n">
        <f aca="false" t="array" ref="P26:P26">PRODUCT(1+D21:D26)-1</f>
        <v>-0.00860530174227403</v>
      </c>
      <c r="Q26" s="48" t="n">
        <f aca="false" t="array" ref="Q26:Q26">PRODUCT(1+E21:E26)-1</f>
        <v>-0.0097527220780308</v>
      </c>
      <c r="R26" s="48" t="n">
        <f aca="false" t="array" ref="R26:R26">PRODUCT(1+F21:F26)-1</f>
        <v>0.0113486511975507</v>
      </c>
      <c r="S26" s="48" t="n">
        <f aca="false" t="array" ref="S26:S26">PRODUCT(1+G21:G26)-1</f>
        <v>0.00555401657530052</v>
      </c>
    </row>
    <row r="27" customFormat="false" ht="15" hidden="false" customHeight="false" outlineLevel="0" collapsed="false">
      <c r="B27" s="46" t="n">
        <v>41518</v>
      </c>
      <c r="C27" s="33" t="n">
        <v>-0.0112162562014986</v>
      </c>
      <c r="D27" s="33" t="n">
        <v>-0.0135440562043249</v>
      </c>
      <c r="E27" s="33" t="n">
        <v>0.021662205168126</v>
      </c>
      <c r="F27" s="33" t="n">
        <v>0.00823126169620851</v>
      </c>
      <c r="G27" s="33" t="n">
        <v>0.0205267108664868</v>
      </c>
      <c r="O27" s="48" t="n">
        <f aca="false" t="array" ref="O27:O27">PRODUCT(1+C22:C27)-1</f>
        <v>0.029220589930109</v>
      </c>
      <c r="P27" s="48" t="n">
        <f aca="false" t="array" ref="P27:P27">PRODUCT(1+D22:D27)-1</f>
        <v>-0.0434326108523736</v>
      </c>
      <c r="Q27" s="48" t="n">
        <f aca="false" t="array" ref="Q27:Q27">PRODUCT(1+E22:E27)-1</f>
        <v>0.0138645637619381</v>
      </c>
      <c r="R27" s="48" t="n">
        <f aca="false" t="array" ref="R27:R27">PRODUCT(1+F22:F27)-1</f>
        <v>0.0126825427319777</v>
      </c>
      <c r="S27" s="48" t="n">
        <f aca="false" t="array" ref="S27:S27">PRODUCT(1+G22:G27)-1</f>
        <v>0.0536850316441178</v>
      </c>
    </row>
    <row r="28" customFormat="false" ht="15" hidden="false" customHeight="false" outlineLevel="0" collapsed="false">
      <c r="B28" s="46" t="n">
        <v>41548</v>
      </c>
      <c r="C28" s="33" t="n">
        <v>0.0186203668612838</v>
      </c>
      <c r="D28" s="33" t="n">
        <v>0.0137300163170087</v>
      </c>
      <c r="E28" s="33" t="n">
        <v>0.0102264239359933</v>
      </c>
      <c r="F28" s="33" t="n">
        <v>0.0172582232165125</v>
      </c>
      <c r="G28" s="33" t="n">
        <v>0.01693544597331</v>
      </c>
      <c r="I28" s="50" t="s">
        <v>656</v>
      </c>
      <c r="O28" s="48" t="n">
        <f aca="false" t="array" ref="O28:O28">PRODUCT(1+C23:C28)-1</f>
        <v>0.0088497685342035</v>
      </c>
      <c r="P28" s="48" t="n">
        <f aca="false" t="array" ref="P28:P28">PRODUCT(1+D23:D28)-1</f>
        <v>-0.0130211552419668</v>
      </c>
      <c r="Q28" s="48" t="n">
        <f aca="false" t="array" ref="Q28:Q28">PRODUCT(1+E23:E28)-1</f>
        <v>0.00941388088078043</v>
      </c>
      <c r="R28" s="48" t="n">
        <f aca="false" t="array" ref="R28:R28">PRODUCT(1+F23:F28)-1</f>
        <v>0.0131083140934587</v>
      </c>
      <c r="S28" s="48" t="n">
        <f aca="false" t="array" ref="S28:S28">PRODUCT(1+G23:G28)-1</f>
        <v>0.0479654966658643</v>
      </c>
    </row>
    <row r="29" customFormat="false" ht="15" hidden="false" customHeight="false" outlineLevel="0" collapsed="false">
      <c r="B29" s="46" t="n">
        <v>41579</v>
      </c>
      <c r="C29" s="33" t="n">
        <v>-0.022146043271385</v>
      </c>
      <c r="D29" s="33" t="n">
        <v>-0.0199805827011631</v>
      </c>
      <c r="E29" s="33" t="n">
        <v>0.0541463702008866</v>
      </c>
      <c r="F29" s="33" t="n">
        <v>0.00484772735574324</v>
      </c>
      <c r="G29" s="33" t="n">
        <v>-0.00947506348514904</v>
      </c>
      <c r="I29" s="53" t="s">
        <v>657</v>
      </c>
      <c r="J29" s="54" t="n">
        <v>0.1169</v>
      </c>
      <c r="O29" s="48" t="n">
        <f aca="false" t="array" ref="O29:O29">PRODUCT(1+C24:C29)-1</f>
        <v>-0.00918263883056969</v>
      </c>
      <c r="P29" s="48" t="n">
        <f aca="false" t="array" ref="P29:P29">PRODUCT(1+D24:D29)-1</f>
        <v>0.0167415636545998</v>
      </c>
      <c r="Q29" s="48" t="n">
        <f aca="false" t="array" ref="Q29:Q29">PRODUCT(1+E24:E29)-1</f>
        <v>0.116072598101829</v>
      </c>
      <c r="R29" s="48" t="n">
        <f aca="false" t="array" ref="R29:R29">PRODUCT(1+F24:F29)-1</f>
        <v>0.0292498184117755</v>
      </c>
      <c r="S29" s="48" t="n">
        <f aca="false" t="array" ref="S29:S29">PRODUCT(1+G24:G29)-1</f>
        <v>0.0421685420172446</v>
      </c>
    </row>
    <row r="30" customFormat="false" ht="15" hidden="false" customHeight="false" outlineLevel="0" collapsed="false">
      <c r="B30" s="46" t="n">
        <v>41609</v>
      </c>
      <c r="C30" s="33" t="n">
        <v>0.0206792112460678</v>
      </c>
      <c r="D30" s="33" t="n">
        <v>0.0391704436379243</v>
      </c>
      <c r="E30" s="33" t="n">
        <v>-0.00997134606262545</v>
      </c>
      <c r="F30" s="33" t="n">
        <v>0.00619657066132636</v>
      </c>
      <c r="G30" s="33" t="n">
        <v>0.0158953608174646</v>
      </c>
      <c r="I30" s="53" t="s">
        <v>658</v>
      </c>
      <c r="J30" s="55" t="n">
        <v>0.0297</v>
      </c>
      <c r="O30" s="48" t="n">
        <f aca="false" t="array" ref="O30:O30">PRODUCT(1+C25:C30)-1</f>
        <v>0.0119335945050931</v>
      </c>
      <c r="P30" s="48" t="n">
        <f aca="false" t="array" ref="P30:P30">PRODUCT(1+D25:D30)-1</f>
        <v>0.0395262800475051</v>
      </c>
      <c r="Q30" s="48" t="n">
        <f aca="false" t="array" ref="Q30:Q30">PRODUCT(1+E25:E30)-1</f>
        <v>0.0920760807160426</v>
      </c>
      <c r="R30" s="48" t="n">
        <f aca="false" t="array" ref="R30:R30">PRODUCT(1+F25:F30)-1</f>
        <v>0.0516838527952042</v>
      </c>
      <c r="S30" s="48" t="n">
        <f aca="false" t="array" ref="S30:S30">PRODUCT(1+G25:G30)-1</f>
        <v>0.0612475356419844</v>
      </c>
    </row>
    <row r="31" customFormat="false" ht="15" hidden="false" customHeight="false" outlineLevel="0" collapsed="false">
      <c r="B31" s="46" t="n">
        <v>41640</v>
      </c>
      <c r="C31" s="33" t="n">
        <v>-0.00136023629139308</v>
      </c>
      <c r="D31" s="33" t="n">
        <v>-0.0353119936719579</v>
      </c>
      <c r="E31" s="33" t="n">
        <v>-0.00454808772311255</v>
      </c>
      <c r="F31" s="33" t="n">
        <v>0.00244596711846627</v>
      </c>
      <c r="G31" s="33" t="n">
        <v>-0.0181958727512934</v>
      </c>
      <c r="I31" s="53" t="s">
        <v>659</v>
      </c>
      <c r="J31" s="55" t="n">
        <v>0.0334</v>
      </c>
      <c r="O31" s="48" t="n">
        <f aca="false" t="array" ref="O31:O31">PRODUCT(1+C26:C31)-1</f>
        <v>-0.000276897348955307</v>
      </c>
      <c r="P31" s="48" t="n">
        <f aca="false" t="array" ref="P31:P31">PRODUCT(1+D26:D31)-1</f>
        <v>-0.0108562326173723</v>
      </c>
      <c r="Q31" s="48" t="n">
        <f aca="false" t="array" ref="Q31:Q31">PRODUCT(1+E26:E31)-1</f>
        <v>0.0496761443479497</v>
      </c>
      <c r="R31" s="48" t="n">
        <f aca="false" t="array" ref="R31:R31">PRODUCT(1+F26:F31)-1</f>
        <v>0.0328438807678604</v>
      </c>
      <c r="S31" s="48" t="n">
        <f aca="false" t="array" ref="S31:S31">PRODUCT(1+G26:G31)-1</f>
        <v>0.0221550546475708</v>
      </c>
    </row>
    <row r="32" customFormat="false" ht="15" hidden="false" customHeight="false" outlineLevel="0" collapsed="false">
      <c r="B32" s="46" t="n">
        <v>41671</v>
      </c>
      <c r="C32" s="33" t="n">
        <v>0.0237452382361881</v>
      </c>
      <c r="D32" s="33" t="n">
        <v>0.0183908376301467</v>
      </c>
      <c r="E32" s="33" t="n">
        <v>0.0174241249134534</v>
      </c>
      <c r="F32" s="33" t="n">
        <v>0.0132778040959883</v>
      </c>
      <c r="G32" s="33" t="n">
        <v>0.0109659632768682</v>
      </c>
      <c r="I32" s="53" t="s">
        <v>660</v>
      </c>
      <c r="J32" s="54" t="n">
        <v>0.7126</v>
      </c>
      <c r="O32" s="48" t="n">
        <f aca="false" t="array" ref="O32:O32">PRODUCT(1+C27:C32)-1</f>
        <v>0.0277268181029062</v>
      </c>
      <c r="P32" s="48" t="n">
        <f aca="false" t="array" ref="P32:P32">PRODUCT(1+D27:D32)-1</f>
        <v>0.00051321418743755</v>
      </c>
      <c r="Q32" s="48" t="n">
        <f aca="false" t="array" ref="Q32:Q32">PRODUCT(1+E27:E32)-1</f>
        <v>0.0909304152478465</v>
      </c>
      <c r="R32" s="48" t="n">
        <f aca="false" t="array" ref="R32:R32">PRODUCT(1+F27:F32)-1</f>
        <v>0.0533287991871425</v>
      </c>
      <c r="S32" s="48" t="n">
        <f aca="false" t="array" ref="S32:S32">PRODUCT(1+G27:G32)-1</f>
        <v>0.0365578372227002</v>
      </c>
    </row>
    <row r="33" customFormat="false" ht="15" hidden="false" customHeight="false" outlineLevel="0" collapsed="false">
      <c r="B33" s="46" t="n">
        <v>41699</v>
      </c>
      <c r="C33" s="33" t="n">
        <v>0.00816021209957207</v>
      </c>
      <c r="D33" s="33" t="n">
        <v>-0.00451445475574674</v>
      </c>
      <c r="E33" s="33" t="n">
        <v>-0.00960448045516976</v>
      </c>
      <c r="F33" s="33" t="n">
        <v>0.00138878910988853</v>
      </c>
      <c r="G33" s="33" t="n">
        <v>0.00325925302342101</v>
      </c>
      <c r="I33" s="53" t="s">
        <v>661</v>
      </c>
      <c r="J33" s="55" t="n">
        <v>0.0502</v>
      </c>
      <c r="O33" s="48" t="n">
        <f aca="false" t="array" ref="O33:O33">PRODUCT(1+C28:C33)-1</f>
        <v>0.0478664252091385</v>
      </c>
      <c r="P33" s="48" t="n">
        <f aca="false" t="array" ref="P33:P33">PRODUCT(1+D28:D33)-1</f>
        <v>0.00967148995734868</v>
      </c>
      <c r="Q33" s="48" t="n">
        <f aca="false" t="array" ref="Q33:Q33">PRODUCT(1+E28:E33)-1</f>
        <v>0.0575438632564935</v>
      </c>
      <c r="R33" s="48" t="n">
        <f aca="false" t="array" ref="R33:R33">PRODUCT(1+F28:F33)-1</f>
        <v>0.0461802671919194</v>
      </c>
      <c r="S33" s="48" t="n">
        <f aca="false" t="array" ref="S33:S33">PRODUCT(1+G28:G33)-1</f>
        <v>0.0190191304298666</v>
      </c>
    </row>
    <row r="34" customFormat="false" ht="15" hidden="false" customHeight="false" outlineLevel="0" collapsed="false">
      <c r="B34" s="46" t="n">
        <v>41730</v>
      </c>
      <c r="C34" s="33" t="n">
        <v>-0.00133759805742895</v>
      </c>
      <c r="D34" s="33" t="n">
        <v>0.0273821617760723</v>
      </c>
      <c r="E34" s="33" t="n">
        <v>-0.0262302304990333</v>
      </c>
      <c r="F34" s="33" t="n">
        <v>0.00413647288850812</v>
      </c>
      <c r="G34" s="33" t="n">
        <v>0.00447568004643495</v>
      </c>
      <c r="I34" s="53" t="s">
        <v>662</v>
      </c>
      <c r="J34" s="55" t="n">
        <v>0.1088</v>
      </c>
      <c r="O34" s="48" t="n">
        <f aca="false" t="array" ref="O34:O34">PRODUCT(1+C29:C34)-1</f>
        <v>0.0273354383624276</v>
      </c>
      <c r="P34" s="48" t="n">
        <f aca="false" t="array" ref="P34:P34">PRODUCT(1+D29:D34)-1</f>
        <v>0.0232689782677438</v>
      </c>
      <c r="Q34" s="48" t="n">
        <f aca="false" t="array" ref="Q34:Q34">PRODUCT(1+E29:E34)-1</f>
        <v>0.0193796356545159</v>
      </c>
      <c r="R34" s="48" t="n">
        <f aca="false" t="array" ref="R34:R34">PRODUCT(1+F29:F34)-1</f>
        <v>0.0326854475376031</v>
      </c>
      <c r="S34" s="48" t="n">
        <f aca="false" t="array" ref="S34:S34">PRODUCT(1+G29:G34)-1</f>
        <v>0.00653383464197921</v>
      </c>
    </row>
    <row r="35" customFormat="false" ht="15" hidden="false" customHeight="false" outlineLevel="0" collapsed="false">
      <c r="B35" s="46" t="n">
        <v>41760</v>
      </c>
      <c r="C35" s="33" t="n">
        <v>0.01616182517679</v>
      </c>
      <c r="D35" s="33" t="n">
        <v>0.0242824661926875</v>
      </c>
      <c r="E35" s="33" t="n">
        <v>0.00203819471121558</v>
      </c>
      <c r="F35" s="33" t="n">
        <v>0.00708589133187136</v>
      </c>
      <c r="G35" s="33" t="n">
        <v>-0.0129665312248549</v>
      </c>
      <c r="I35" s="51" t="s">
        <v>663</v>
      </c>
      <c r="J35" s="52" t="n">
        <f aca="false">1/(1-G_ar1)</f>
        <v>1.13237458951421</v>
      </c>
      <c r="O35" s="48" t="n">
        <f aca="false" t="array" ref="O35:O35">PRODUCT(1+C30:C35)-1</f>
        <v>0.0675817661030209</v>
      </c>
      <c r="P35" s="48" t="n">
        <f aca="false" t="array" ref="P35:P35">PRODUCT(1+D30:D35)-1</f>
        <v>0.0694854144088395</v>
      </c>
      <c r="Q35" s="48" t="n">
        <f aca="false" t="array" ref="Q35:Q35">PRODUCT(1+E30:E35)-1</f>
        <v>-0.0310099634057738</v>
      </c>
      <c r="R35" s="48" t="n">
        <f aca="false" t="array" ref="R35:R35">PRODUCT(1+F30:F35)-1</f>
        <v>0.034985616313854</v>
      </c>
      <c r="S35" s="48" t="n">
        <f aca="false" t="array" ref="S35:S35">PRODUCT(1+G30:G35)-1</f>
        <v>0.00298593768045485</v>
      </c>
    </row>
    <row r="36" customFormat="false" ht="15" hidden="false" customHeight="false" outlineLevel="0" collapsed="false">
      <c r="B36" s="46" t="n">
        <v>41791</v>
      </c>
      <c r="C36" s="33" t="n">
        <v>0.0176918981436236</v>
      </c>
      <c r="D36" s="33" t="n">
        <v>-0.0129308405842565</v>
      </c>
      <c r="E36" s="33" t="n">
        <v>0.0596062649026681</v>
      </c>
      <c r="F36" s="33" t="n">
        <v>0.00545128244342275</v>
      </c>
      <c r="G36" s="33" t="n">
        <v>0.000723147351305631</v>
      </c>
      <c r="I36" s="51" t="s">
        <v>664</v>
      </c>
      <c r="J36" s="52" t="n">
        <f aca="false">VEV_priv/VEV_cote</f>
        <v>0.461397058823529</v>
      </c>
      <c r="O36" s="48" t="n">
        <f aca="false" t="array" ref="O36:O36">PRODUCT(1+C31:C36)-1</f>
        <v>0.0644571790999051</v>
      </c>
      <c r="P36" s="48" t="n">
        <f aca="false" t="array" ref="P36:P36">PRODUCT(1+D31:D36)-1</f>
        <v>0.0158642169539525</v>
      </c>
      <c r="Q36" s="48" t="n">
        <f aca="false" t="array" ref="Q36:Q36">PRODUCT(1+E31:E36)-1</f>
        <v>0.0370890875936765</v>
      </c>
      <c r="R36" s="48" t="n">
        <f aca="false" t="array" ref="R36:R36">PRODUCT(1+F31:F36)-1</f>
        <v>0.0342190040950992</v>
      </c>
      <c r="S36" s="48" t="n">
        <f aca="false" t="array" ref="S36:S36">PRODUCT(1+G31:G36)-1</f>
        <v>-0.0119934758861138</v>
      </c>
    </row>
    <row r="37" customFormat="false" ht="15" hidden="false" customHeight="false" outlineLevel="0" collapsed="false">
      <c r="B37" s="46" t="n">
        <v>41821</v>
      </c>
      <c r="C37" s="33" t="n">
        <v>0.00915542378556038</v>
      </c>
      <c r="D37" s="33" t="n">
        <v>-0.00420253247600888</v>
      </c>
      <c r="E37" s="33" t="n">
        <v>-0.0498017698551063</v>
      </c>
      <c r="F37" s="33" t="n">
        <v>-0.0118544984428521</v>
      </c>
      <c r="G37" s="33" t="n">
        <v>-0.0182051471573701</v>
      </c>
      <c r="I37" s="51" t="s">
        <v>665</v>
      </c>
      <c r="J37" s="52" t="n">
        <f aca="false">'MST Données'!$J$9/G_vol_desm</f>
        <v>2.49966546456765</v>
      </c>
      <c r="O37" s="48" t="n">
        <f aca="false" t="array" ref="O37:O37">PRODUCT(1+C32:C37)-1</f>
        <v>0.0756658954645717</v>
      </c>
      <c r="P37" s="48" t="n">
        <f aca="false" t="array" ref="P37:P37">PRODUCT(1+D32:D37)-1</f>
        <v>0.0486240193256795</v>
      </c>
      <c r="Q37" s="48" t="n">
        <f aca="false" t="array" ref="Q37:Q37">PRODUCT(1+E32:E37)-1</f>
        <v>-0.0100574388569847</v>
      </c>
      <c r="R37" s="48" t="n">
        <f aca="false" t="array" ref="R37:R37">PRODUCT(1+F32:F37)-1</f>
        <v>0.0194652779731455</v>
      </c>
      <c r="S37" s="48" t="n">
        <f aca="false" t="array" ref="S37:S37">PRODUCT(1+G32:G37)-1</f>
        <v>-0.0120028088818269</v>
      </c>
    </row>
    <row r="38" customFormat="false" ht="39.75" hidden="false" customHeight="true" outlineLevel="0" collapsed="false">
      <c r="B38" s="46" t="n">
        <v>41852</v>
      </c>
      <c r="C38" s="33" t="n">
        <v>0.028471940782125</v>
      </c>
      <c r="D38" s="33" t="n">
        <v>0.0241233211252168</v>
      </c>
      <c r="E38" s="33" t="n">
        <v>0.0271656204123003</v>
      </c>
      <c r="F38" s="33" t="n">
        <v>0.0130634589470961</v>
      </c>
      <c r="G38" s="33" t="n">
        <v>-0.0195179455180121</v>
      </c>
      <c r="I38" s="2" t="s">
        <v>666</v>
      </c>
      <c r="J38" s="2"/>
      <c r="K38" s="2"/>
      <c r="L38" s="2"/>
      <c r="M38" s="2"/>
      <c r="N38" s="2"/>
      <c r="O38" s="48" t="n">
        <f aca="false" t="array" ref="O38:O38">PRODUCT(1+C33:C38)-1</f>
        <v>0.0806323192746881</v>
      </c>
      <c r="P38" s="48" t="n">
        <f aca="false" t="array" ref="P38:P38">PRODUCT(1+D33:D38)-1</f>
        <v>0.0545266842566672</v>
      </c>
      <c r="Q38" s="48" t="n">
        <f aca="false" t="array" ref="Q38:Q38">PRODUCT(1+E33:E38)-1</f>
        <v>-0.000579070134096194</v>
      </c>
      <c r="R38" s="48" t="n">
        <f aca="false" t="array" ref="R38:R38">PRODUCT(1+F33:F38)-1</f>
        <v>0.0192496239482429</v>
      </c>
      <c r="S38" s="48" t="n">
        <f aca="false" t="array" ref="S38:S38">PRODUCT(1+G33:G38)-1</f>
        <v>-0.0417941345620925</v>
      </c>
    </row>
    <row r="39" customFormat="false" ht="15" hidden="false" customHeight="false" outlineLevel="0" collapsed="false">
      <c r="B39" s="46" t="n">
        <v>41883</v>
      </c>
      <c r="C39" s="33" t="n">
        <v>-0.00193757280067963</v>
      </c>
      <c r="D39" s="33" t="n">
        <v>0.0107065493396152</v>
      </c>
      <c r="E39" s="33" t="n">
        <v>-0.0414629418686163</v>
      </c>
      <c r="F39" s="33" t="n">
        <v>-0.0148144073011416</v>
      </c>
      <c r="G39" s="33" t="n">
        <v>-0.0337830460522536</v>
      </c>
      <c r="O39" s="48" t="n">
        <f aca="false" t="array" ref="O39:O39">PRODUCT(1+C34:C39)-1</f>
        <v>0.0698086499954069</v>
      </c>
      <c r="P39" s="48" t="n">
        <f aca="false" t="array" ref="P39:P39">PRODUCT(1+D34:D39)-1</f>
        <v>0.0706504291532351</v>
      </c>
      <c r="Q39" s="48" t="n">
        <f aca="false" t="array" ref="Q39:Q39">PRODUCT(1+E34:E39)-1</f>
        <v>-0.0327278556461278</v>
      </c>
      <c r="R39" s="48" t="n">
        <f aca="false" t="array" ref="R39:R39">PRODUCT(1+F34:F39)-1</f>
        <v>0.00275742628405506</v>
      </c>
      <c r="S39" s="48" t="n">
        <f aca="false" t="array" ref="S39:S39">PRODUCT(1+G34:G39)-1</f>
        <v>-0.0771729742156032</v>
      </c>
    </row>
    <row r="40" customFormat="false" ht="15" hidden="false" customHeight="false" outlineLevel="0" collapsed="false">
      <c r="B40" s="46" t="n">
        <v>41913</v>
      </c>
      <c r="C40" s="33" t="n">
        <v>0.020073418121987</v>
      </c>
      <c r="D40" s="33" t="n">
        <v>-0.0337382802562599</v>
      </c>
      <c r="E40" s="33" t="n">
        <v>0.00034341598564458</v>
      </c>
      <c r="F40" s="33" t="n">
        <v>0.00751020461757375</v>
      </c>
      <c r="G40" s="33" t="n">
        <v>-0.00610491584183015</v>
      </c>
      <c r="O40" s="48" t="n">
        <f aca="false" t="array" ref="O40:O40">PRODUCT(1+C35:C40)-1</f>
        <v>0.092745019953238</v>
      </c>
      <c r="P40" s="48" t="n">
        <f aca="false" t="array" ref="P40:P40">PRODUCT(1+D35:D40)-1</f>
        <v>0.00695589568106958</v>
      </c>
      <c r="Q40" s="48" t="n">
        <f aca="false" t="array" ref="Q40:Q40">PRODUCT(1+E35:E40)-1</f>
        <v>-0.00633152581170637</v>
      </c>
      <c r="R40" s="48" t="n">
        <f aca="false" t="array" ref="R40:R40">PRODUCT(1+F35:F40)-1</f>
        <v>0.00612652464563457</v>
      </c>
      <c r="S40" s="48" t="n">
        <f aca="false" t="array" ref="S40:S40">PRODUCT(1+G35:G40)-1</f>
        <v>-0.0868935279617554</v>
      </c>
    </row>
    <row r="41" customFormat="false" ht="15" hidden="false" customHeight="false" outlineLevel="0" collapsed="false">
      <c r="B41" s="46" t="n">
        <v>41944</v>
      </c>
      <c r="C41" s="33" t="n">
        <v>0.000348987044768467</v>
      </c>
      <c r="D41" s="33" t="n">
        <v>0.0350879916279503</v>
      </c>
      <c r="E41" s="33" t="n">
        <v>0.0151573438326755</v>
      </c>
      <c r="F41" s="33" t="n">
        <v>-0.000229763169159014</v>
      </c>
      <c r="G41" s="33" t="n">
        <v>-0.0139055870248671</v>
      </c>
      <c r="O41" s="48" t="n">
        <f aca="false" t="array" ref="O41:O41">PRODUCT(1+C36:C41)-1</f>
        <v>0.0757404448039136</v>
      </c>
      <c r="P41" s="48" t="n">
        <f aca="false" t="array" ref="P41:P41">PRODUCT(1+D36:D41)-1</f>
        <v>0.0175786368702393</v>
      </c>
      <c r="Q41" s="48" t="n">
        <f aca="false" t="array" ref="Q41:Q41">PRODUCT(1+E36:E41)-1</f>
        <v>0.00667804304402675</v>
      </c>
      <c r="R41" s="48" t="n">
        <f aca="false" t="array" ref="R41:R41">PRODUCT(1+F36:F41)-1</f>
        <v>-0.00118216084185219</v>
      </c>
      <c r="S41" s="48" t="n">
        <f aca="false" t="array" ref="S41:S41">PRODUCT(1+G36:G41)-1</f>
        <v>-0.0877622502044371</v>
      </c>
    </row>
    <row r="42" customFormat="false" ht="15" hidden="false" customHeight="false" outlineLevel="0" collapsed="false">
      <c r="B42" s="46" t="n">
        <v>41974</v>
      </c>
      <c r="C42" s="33" t="n">
        <v>0.00553843333980479</v>
      </c>
      <c r="D42" s="33" t="n">
        <v>0.0360169258067042</v>
      </c>
      <c r="E42" s="33" t="n">
        <v>-0.0416896576087378</v>
      </c>
      <c r="F42" s="33" t="n">
        <v>-0.00658759553658916</v>
      </c>
      <c r="G42" s="33" t="n">
        <v>-0.0221835506063896</v>
      </c>
      <c r="O42" s="48" t="n">
        <f aca="false" t="array" ref="O42:O42">PRODUCT(1+C37:C42)-1</f>
        <v>0.0628937535235594</v>
      </c>
      <c r="P42" s="48" t="n">
        <f aca="false" t="array" ref="P42:P42">PRODUCT(1+D37:D42)-1</f>
        <v>0.0680393375484358</v>
      </c>
      <c r="Q42" s="48" t="n">
        <f aca="false" t="array" ref="Q42:Q42">PRODUCT(1+E37:E42)-1</f>
        <v>-0.0895580631585808</v>
      </c>
      <c r="R42" s="48" t="n">
        <f aca="false" t="array" ref="R42:R42">PRODUCT(1+F37:F42)-1</f>
        <v>-0.0131416125824301</v>
      </c>
      <c r="S42" s="48" t="n">
        <f aca="false" t="array" ref="S42:S42">PRODUCT(1+G37:G42)-1</f>
        <v>-0.108643504580817</v>
      </c>
    </row>
    <row r="43" customFormat="false" ht="15" hidden="false" customHeight="false" outlineLevel="0" collapsed="false">
      <c r="B43" s="46" t="n">
        <v>42005</v>
      </c>
      <c r="C43" s="33" t="n">
        <v>0.0163938431215937</v>
      </c>
      <c r="D43" s="33" t="n">
        <v>-0.0223408954080892</v>
      </c>
      <c r="E43" s="33" t="n">
        <v>0.027176999526533</v>
      </c>
      <c r="F43" s="33" t="n">
        <v>0.00452361332815239</v>
      </c>
      <c r="G43" s="33" t="n">
        <v>-0.0718705111070924</v>
      </c>
      <c r="O43" s="48" t="n">
        <f aca="false" t="array" ref="O43:O43">PRODUCT(1+C38:C43)-1</f>
        <v>0.0705176244519776</v>
      </c>
      <c r="P43" s="48" t="n">
        <f aca="false" t="array" ref="P43:P43">PRODUCT(1+D38:D43)-1</f>
        <v>0.0485850953335394</v>
      </c>
      <c r="Q43" s="48" t="n">
        <f aca="false" t="array" ref="Q43:Q43">PRODUCT(1+E38:E43)-1</f>
        <v>-0.0158000854355519</v>
      </c>
      <c r="R43" s="48" t="n">
        <f aca="false" t="array" ref="R43:R43">PRODUCT(1+F38:F43)-1</f>
        <v>0.00321516579262537</v>
      </c>
      <c r="S43" s="48" t="n">
        <f aca="false" t="array" ref="S43:S43">PRODUCT(1+G38:G43)-1</f>
        <v>-0.157365465790047</v>
      </c>
    </row>
    <row r="44" customFormat="false" ht="15" hidden="false" customHeight="false" outlineLevel="0" collapsed="false">
      <c r="B44" s="46" t="n">
        <v>42036</v>
      </c>
      <c r="C44" s="33" t="n">
        <v>0.015397000854383</v>
      </c>
      <c r="D44" s="33" t="n">
        <v>-0.0251045707274834</v>
      </c>
      <c r="E44" s="33" t="n">
        <v>0.0469051045253572</v>
      </c>
      <c r="F44" s="33" t="n">
        <v>0.0175099978134767</v>
      </c>
      <c r="G44" s="33" t="n">
        <v>-0.00797283943655014</v>
      </c>
      <c r="O44" s="48" t="n">
        <f aca="false" t="array" ref="O44:O44">PRODUCT(1+C39:C44)-1</f>
        <v>0.0569081587229907</v>
      </c>
      <c r="P44" s="48" t="n">
        <f aca="false" t="array" ref="P44:P44">PRODUCT(1+D39:D44)-1</f>
        <v>-0.00181863301307961</v>
      </c>
      <c r="Q44" s="48" t="n">
        <f aca="false" t="array" ref="Q44:Q44">PRODUCT(1+E39:E44)-1</f>
        <v>0.00311370820350954</v>
      </c>
      <c r="R44" s="48" t="n">
        <f aca="false" t="array" ref="R44:R44">PRODUCT(1+F39:F44)-1</f>
        <v>0.00761847852357267</v>
      </c>
      <c r="S44" s="48" t="n">
        <f aca="false" t="array" ref="S44:S44">PRODUCT(1+G39:G44)-1</f>
        <v>-0.147443504402903</v>
      </c>
    </row>
    <row r="45" customFormat="false" ht="15" hidden="false" customHeight="false" outlineLevel="0" collapsed="false">
      <c r="B45" s="46" t="n">
        <v>42064</v>
      </c>
      <c r="C45" s="33" t="n">
        <v>0.0126881975184865</v>
      </c>
      <c r="D45" s="33" t="n">
        <v>0.00858359179788648</v>
      </c>
      <c r="E45" s="33" t="n">
        <v>0.00935242086289689</v>
      </c>
      <c r="F45" s="33" t="n">
        <v>-0.00451243735519558</v>
      </c>
      <c r="G45" s="33" t="n">
        <v>-0.0328373961306124</v>
      </c>
      <c r="O45" s="48" t="n">
        <f aca="false" t="array" ref="O45:O45">PRODUCT(1+C40:C45)-1</f>
        <v>0.072396264032508</v>
      </c>
      <c r="P45" s="48" t="n">
        <f aca="false" t="array" ref="P45:P45">PRODUCT(1+D40:D45)-1</f>
        <v>-0.00391528180044776</v>
      </c>
      <c r="Q45" s="48" t="n">
        <f aca="false" t="array" ref="Q45:Q45">PRODUCT(1+E40:E45)-1</f>
        <v>0.0562922332390308</v>
      </c>
      <c r="R45" s="48" t="n">
        <f aca="false" t="array" ref="R45:R45">PRODUCT(1+F40:F45)-1</f>
        <v>0.0181550265198673</v>
      </c>
      <c r="S45" s="48" t="n">
        <f aca="false" t="array" ref="S45:S45">PRODUCT(1+G40:G45)-1</f>
        <v>-0.146609095546836</v>
      </c>
    </row>
    <row r="46" customFormat="false" ht="15" hidden="false" customHeight="false" outlineLevel="0" collapsed="false">
      <c r="B46" s="46" t="n">
        <v>42095</v>
      </c>
      <c r="C46" s="33" t="n">
        <v>0.00406948472865738</v>
      </c>
      <c r="D46" s="33" t="n">
        <v>-0.0211211887207444</v>
      </c>
      <c r="E46" s="33" t="n">
        <v>0.000803662961148699</v>
      </c>
      <c r="F46" s="33" t="n">
        <v>0.00577484125553984</v>
      </c>
      <c r="G46" s="33" t="n">
        <v>0.0262298503181428</v>
      </c>
      <c r="O46" s="48" t="n">
        <f aca="false" t="array" ref="O46:O46">PRODUCT(1+C41:C46)-1</f>
        <v>0.0555714374308804</v>
      </c>
      <c r="P46" s="48" t="n">
        <f aca="false" t="array" ref="P46:P46">PRODUCT(1+D41:D46)-1</f>
        <v>0.00909122752291114</v>
      </c>
      <c r="Q46" s="48" t="n">
        <f aca="false" t="array" ref="Q46:Q46">PRODUCT(1+E41:E46)-1</f>
        <v>0.0567782216484389</v>
      </c>
      <c r="R46" s="48" t="n">
        <f aca="false" t="array" ref="R46:R46">PRODUCT(1+F41:F46)-1</f>
        <v>0.0164013282230213</v>
      </c>
      <c r="S46" s="48" t="n">
        <f aca="false" t="array" ref="S46:S46">PRODUCT(1+G41:G46)-1</f>
        <v>-0.118845405215363</v>
      </c>
    </row>
    <row r="47" customFormat="false" ht="15" hidden="false" customHeight="false" outlineLevel="0" collapsed="false">
      <c r="B47" s="46" t="n">
        <v>42125</v>
      </c>
      <c r="C47" s="33" t="n">
        <v>0.00736178401746876</v>
      </c>
      <c r="D47" s="33" t="n">
        <v>0.0182524795031958</v>
      </c>
      <c r="E47" s="33" t="n">
        <v>-0.0138587681050764</v>
      </c>
      <c r="F47" s="33" t="n">
        <v>0.00297411927642536</v>
      </c>
      <c r="G47" s="33" t="n">
        <v>-0.0138538976629585</v>
      </c>
      <c r="O47" s="48" t="n">
        <f aca="false" t="array" ref="O47:O47">PRODUCT(1+C42:C47)-1</f>
        <v>0.062971363133562</v>
      </c>
      <c r="P47" s="48" t="n">
        <f aca="false" t="array" ref="P47:P47">PRODUCT(1+D42:D47)-1</f>
        <v>-0.00732145210756774</v>
      </c>
      <c r="Q47" s="48" t="n">
        <f aca="false" t="array" ref="Q47:Q47">PRODUCT(1+E42:E47)-1</f>
        <v>0.0265724655072672</v>
      </c>
      <c r="R47" s="48" t="n">
        <f aca="false" t="array" ref="R47:R47">PRODUCT(1+F42:F47)-1</f>
        <v>0.0196585069758966</v>
      </c>
      <c r="S47" s="48" t="n">
        <f aca="false" t="array" ref="S47:S47">PRODUCT(1+G42:G47)-1</f>
        <v>-0.118799216617042</v>
      </c>
    </row>
    <row r="48" customFormat="false" ht="15" hidden="false" customHeight="false" outlineLevel="0" collapsed="false">
      <c r="B48" s="46" t="n">
        <v>42156</v>
      </c>
      <c r="C48" s="33" t="n">
        <v>0.000357068617155765</v>
      </c>
      <c r="D48" s="33" t="n">
        <v>-0.0181923212999572</v>
      </c>
      <c r="E48" s="33" t="n">
        <v>-0.00928479977084956</v>
      </c>
      <c r="F48" s="33" t="n">
        <v>-0.0168798794301541</v>
      </c>
      <c r="G48" s="33" t="n">
        <v>0.0239610737373242</v>
      </c>
      <c r="O48" s="48" t="n">
        <f aca="false" t="array" ref="O48:O48">PRODUCT(1+C43:C48)-1</f>
        <v>0.0574940565090571</v>
      </c>
      <c r="P48" s="48" t="n">
        <f aca="false" t="array" ref="P48:P48">PRODUCT(1+D43:D48)-1</f>
        <v>-0.059263032751418</v>
      </c>
      <c r="Q48" s="48" t="n">
        <f aca="false" t="array" ref="Q48:Q48">PRODUCT(1+E43:E48)-1</f>
        <v>0.0612855780904469</v>
      </c>
      <c r="R48" s="48" t="n">
        <f aca="false" t="array" ref="R48:R48">PRODUCT(1+F43:F48)-1</f>
        <v>0.00909429942107631</v>
      </c>
      <c r="S48" s="48" t="n">
        <f aca="false" t="array" ref="S48:S48">PRODUCT(1+G43:G48)-1</f>
        <v>-0.0772140304138346</v>
      </c>
    </row>
    <row r="49" customFormat="false" ht="15" hidden="false" customHeight="false" outlineLevel="0" collapsed="false">
      <c r="B49" s="46" t="n">
        <v>42186</v>
      </c>
      <c r="C49" s="33" t="n">
        <v>-0.0217156289428259</v>
      </c>
      <c r="D49" s="33" t="n">
        <v>-0.00129209738908281</v>
      </c>
      <c r="E49" s="33" t="n">
        <v>-0.0255168078587849</v>
      </c>
      <c r="F49" s="33" t="n">
        <v>0.00135529855460696</v>
      </c>
      <c r="G49" s="33" t="n">
        <v>-0.0252805590351146</v>
      </c>
      <c r="O49" s="48" t="n">
        <f aca="false" t="array" ref="O49:O49">PRODUCT(1+C44:C49)-1</f>
        <v>0.0178435406410655</v>
      </c>
      <c r="P49" s="48" t="n">
        <f aca="false" t="array" ref="P49:P49">PRODUCT(1+D44:D49)-1</f>
        <v>-0.0390091607017188</v>
      </c>
      <c r="Q49" s="48" t="n">
        <f aca="false" t="array" ref="Q49:Q49">PRODUCT(1+E44:E49)-1</f>
        <v>0.00684201300040788</v>
      </c>
      <c r="R49" s="48" t="n">
        <f aca="false" t="array" ref="R49:R49">PRODUCT(1+F44:F49)-1</f>
        <v>0.00591156848838725</v>
      </c>
      <c r="S49" s="48" t="n">
        <f aca="false" t="array" ref="S49:S49">PRODUCT(1+G44:G49)-1</f>
        <v>-0.0308923106428191</v>
      </c>
    </row>
    <row r="50" customFormat="false" ht="15" hidden="false" customHeight="false" outlineLevel="0" collapsed="false">
      <c r="B50" s="46" t="n">
        <v>42217</v>
      </c>
      <c r="C50" s="33" t="n">
        <v>-0.0180733398167662</v>
      </c>
      <c r="D50" s="33" t="n">
        <v>0.00915948834376745</v>
      </c>
      <c r="E50" s="33" t="n">
        <v>-0.00612278352598655</v>
      </c>
      <c r="F50" s="33" t="n">
        <v>-0.0117817765713503</v>
      </c>
      <c r="G50" s="33" t="n">
        <v>0.0251193728155486</v>
      </c>
      <c r="O50" s="48" t="n">
        <f aca="false" t="array" ref="O50:O50">PRODUCT(1+C45:C50)-1</f>
        <v>-0.0157074448616688</v>
      </c>
      <c r="P50" s="48" t="n">
        <f aca="false" t="array" ref="P50:P50">PRODUCT(1+D45:D50)-1</f>
        <v>-0.00523379783103817</v>
      </c>
      <c r="Q50" s="48" t="n">
        <f aca="false" t="array" ref="Q50:Q50">PRODUCT(1+E45:E50)-1</f>
        <v>-0.0441565973989381</v>
      </c>
      <c r="R50" s="48" t="n">
        <f aca="false" t="array" ref="R50:R50">PRODUCT(1+F45:F50)-1</f>
        <v>-0.0230463137718033</v>
      </c>
      <c r="S50" s="48" t="n">
        <f aca="false" t="array" ref="S50:S50">PRODUCT(1+G45:G50)-1</f>
        <v>0.00143534995584194</v>
      </c>
    </row>
    <row r="51" customFormat="false" ht="15" hidden="false" customHeight="false" outlineLevel="0" collapsed="false">
      <c r="B51" s="46" t="n">
        <v>42248</v>
      </c>
      <c r="C51" s="33" t="n">
        <v>-0.00720883532407668</v>
      </c>
      <c r="D51" s="33" t="n">
        <v>0.0109519385180608</v>
      </c>
      <c r="E51" s="33" t="n">
        <v>-0.0709695741550037</v>
      </c>
      <c r="F51" s="33" t="n">
        <v>-0.0215854515808054</v>
      </c>
      <c r="G51" s="33" t="n">
        <v>0.00373699998862542</v>
      </c>
      <c r="O51" s="48" t="n">
        <f aca="false" t="array" ref="O51:O51">PRODUCT(1+C46:C51)-1</f>
        <v>-0.0350465675494498</v>
      </c>
      <c r="P51" s="48" t="n">
        <f aca="false" t="array" ref="P51:P51">PRODUCT(1+D46:D51)-1</f>
        <v>-0.00289789697819198</v>
      </c>
      <c r="Q51" s="48" t="n">
        <f aca="false" t="array" ref="Q51:Q51">PRODUCT(1+E46:E51)-1</f>
        <v>-0.120220465117193</v>
      </c>
      <c r="R51" s="48" t="n">
        <f aca="false" t="array" ref="R51:R51">PRODUCT(1+F46:F51)-1</f>
        <v>-0.0398014645226794</v>
      </c>
      <c r="S51" s="48" t="n">
        <f aca="false" t="array" ref="S51:S51">PRODUCT(1+G46:G51)-1</f>
        <v>0.0393058104456885</v>
      </c>
    </row>
    <row r="52" customFormat="false" ht="15" hidden="false" customHeight="false" outlineLevel="0" collapsed="false">
      <c r="B52" s="46" t="n">
        <v>42278</v>
      </c>
      <c r="C52" s="33" t="n">
        <v>0.0207222828230925</v>
      </c>
      <c r="D52" s="33" t="n">
        <v>-0.00591711869161915</v>
      </c>
      <c r="E52" s="33" t="n">
        <v>0.0473541493021449</v>
      </c>
      <c r="F52" s="33" t="n">
        <v>0.0227950864246057</v>
      </c>
      <c r="G52" s="33" t="n">
        <v>-0.0219409425698449</v>
      </c>
      <c r="O52" s="48" t="n">
        <f aca="false" t="array" ref="O52:O52">PRODUCT(1+C47:C52)-1</f>
        <v>-0.0190425210909783</v>
      </c>
      <c r="P52" s="48" t="n">
        <f aca="false" t="array" ref="P52:P52">PRODUCT(1+D47:D52)-1</f>
        <v>0.0125892195329107</v>
      </c>
      <c r="Q52" s="48" t="n">
        <f aca="false" t="array" ref="Q52:Q52">PRODUCT(1+E47:E52)-1</f>
        <v>-0.0792991868112402</v>
      </c>
      <c r="R52" s="48" t="n">
        <f aca="false" t="array" ref="R52:R52">PRODUCT(1+F47:F52)-1</f>
        <v>-0.0235524853133757</v>
      </c>
      <c r="S52" s="48" t="n">
        <f aca="false" t="array" ref="S52:S52">PRODUCT(1+G47:G52)-1</f>
        <v>-0.0094787624516417</v>
      </c>
    </row>
    <row r="53" customFormat="false" ht="15" hidden="false" customHeight="false" outlineLevel="0" collapsed="false">
      <c r="B53" s="46" t="n">
        <v>42309</v>
      </c>
      <c r="C53" s="33" t="n">
        <v>-0.00292382618899423</v>
      </c>
      <c r="D53" s="33" t="n">
        <v>-0.00663827794863658</v>
      </c>
      <c r="E53" s="33" t="n">
        <v>0.0592697754652833</v>
      </c>
      <c r="F53" s="33" t="n">
        <v>-0.0110424655871208</v>
      </c>
      <c r="G53" s="33" t="n">
        <v>-0.0386915206775965</v>
      </c>
      <c r="O53" s="48" t="n">
        <f aca="false" t="array" ref="O53:O53">PRODUCT(1+C48:C53)-1</f>
        <v>-0.0290585316417594</v>
      </c>
      <c r="P53" s="48" t="n">
        <f aca="false" t="array" ref="P53:P53">PRODUCT(1+D48:D53)-1</f>
        <v>-0.0121631018894059</v>
      </c>
      <c r="Q53" s="48" t="n">
        <f aca="false" t="array" ref="Q53:Q53">PRODUCT(1+E48:E53)-1</f>
        <v>-0.0110234598109983</v>
      </c>
      <c r="R53" s="48" t="n">
        <f aca="false" t="array" ref="R53:R53">PRODUCT(1+F48:F53)-1</f>
        <v>-0.0371983603079148</v>
      </c>
      <c r="S53" s="48" t="n">
        <f aca="false" t="array" ref="S53:S53">PRODUCT(1+G48:G53)-1</f>
        <v>-0.0344265800497794</v>
      </c>
    </row>
    <row r="54" customFormat="false" ht="15" hidden="false" customHeight="false" outlineLevel="0" collapsed="false">
      <c r="B54" s="46" t="n">
        <v>42339</v>
      </c>
      <c r="C54" s="33" t="n">
        <v>0.00133227037764787</v>
      </c>
      <c r="D54" s="33" t="n">
        <v>0.00314516216601268</v>
      </c>
      <c r="E54" s="33" t="n">
        <v>-0.0714037262396899</v>
      </c>
      <c r="F54" s="33" t="n">
        <v>-0.0187361458240732</v>
      </c>
      <c r="G54" s="33" t="n">
        <v>0.0331628345652055</v>
      </c>
      <c r="O54" s="48" t="n">
        <f aca="false" t="array" ref="O54:O54">PRODUCT(1+C49:C54)-1</f>
        <v>-0.0281120057871594</v>
      </c>
      <c r="P54" s="48" t="n">
        <f aca="false" t="array" ref="P54:P54">PRODUCT(1+D49:D54)-1</f>
        <v>0.00930541372499416</v>
      </c>
      <c r="Q54" s="48" t="n">
        <f aca="false" t="array" ref="Q54:Q54">PRODUCT(1+E49:E54)-1</f>
        <v>-0.0730333703939784</v>
      </c>
      <c r="R54" s="48" t="n">
        <f aca="false" t="array" ref="R54:R54">PRODUCT(1+F49:F54)-1</f>
        <v>-0.0390162626073149</v>
      </c>
      <c r="S54" s="48" t="n">
        <f aca="false" t="array" ref="S54:S54">PRODUCT(1+G49:G54)-1</f>
        <v>-0.0257495161456678</v>
      </c>
    </row>
    <row r="55" customFormat="false" ht="15" hidden="false" customHeight="false" outlineLevel="0" collapsed="false">
      <c r="B55" s="46" t="n">
        <v>42370</v>
      </c>
      <c r="C55" s="33" t="n">
        <v>0.0047964615366495</v>
      </c>
      <c r="D55" s="33" t="n">
        <v>-0.0319782170968735</v>
      </c>
      <c r="E55" s="33" t="n">
        <v>-0.0430353839205153</v>
      </c>
      <c r="F55" s="33" t="n">
        <v>-0.0099741294965889</v>
      </c>
      <c r="G55" s="33" t="n">
        <v>-0.00988411798927358</v>
      </c>
      <c r="O55" s="48" t="n">
        <f aca="false" t="array" ref="O55:O55">PRODUCT(1+C50:C55)-1</f>
        <v>-0.00177326093872432</v>
      </c>
      <c r="P55" s="48" t="n">
        <f aca="false" t="array" ref="P55:P55">PRODUCT(1+D50:D55)-1</f>
        <v>-0.0217063232066121</v>
      </c>
      <c r="Q55" s="48" t="n">
        <f aca="false" t="array" ref="Q55:Q55">PRODUCT(1+E50:E55)-1</f>
        <v>-0.0896977269866838</v>
      </c>
      <c r="R55" s="48" t="n">
        <f aca="false" t="array" ref="R55:R55">PRODUCT(1+F50:F55)-1</f>
        <v>-0.0498889230175362</v>
      </c>
      <c r="S55" s="48" t="n">
        <f aca="false" t="array" ref="S55:S55">PRODUCT(1+G50:G55)-1</f>
        <v>-0.0103604826370136</v>
      </c>
    </row>
    <row r="56" customFormat="false" ht="15" hidden="false" customHeight="false" outlineLevel="0" collapsed="false">
      <c r="B56" s="46" t="n">
        <v>42401</v>
      </c>
      <c r="C56" s="33" t="n">
        <v>0.0193871780689224</v>
      </c>
      <c r="D56" s="33" t="n">
        <v>0.0306373512828364</v>
      </c>
      <c r="E56" s="33" t="n">
        <v>0.00184001265300277</v>
      </c>
      <c r="F56" s="33" t="n">
        <v>0.00536855342835156</v>
      </c>
      <c r="G56" s="33" t="n">
        <v>0.00905595264181969</v>
      </c>
      <c r="O56" s="48" t="n">
        <f aca="false" t="array" ref="O56:O56">PRODUCT(1+C51:C56)-1</f>
        <v>0.0363091052184383</v>
      </c>
      <c r="P56" s="48" t="n">
        <f aca="false" t="array" ref="P56:P56">PRODUCT(1+D51:D56)-1</f>
        <v>-0.000885374935283734</v>
      </c>
      <c r="Q56" s="48" t="n">
        <f aca="false" t="array" ref="Q56:Q56">PRODUCT(1+E51:E56)-1</f>
        <v>-0.0824045208027333</v>
      </c>
      <c r="R56" s="48" t="n">
        <f aca="false" t="array" ref="R56:R56">PRODUCT(1+F51:F56)-1</f>
        <v>-0.0333999349374678</v>
      </c>
      <c r="S56" s="48" t="n">
        <f aca="false" t="array" ref="S56:S56">PRODUCT(1+G51:G56)-1</f>
        <v>-0.0258679404116782</v>
      </c>
    </row>
    <row r="57" customFormat="false" ht="15" hidden="false" customHeight="false" outlineLevel="0" collapsed="false">
      <c r="B57" s="46" t="n">
        <v>42430</v>
      </c>
      <c r="C57" s="33" t="n">
        <v>0.0238103371073659</v>
      </c>
      <c r="D57" s="33" t="n">
        <v>0.00615378129179622</v>
      </c>
      <c r="E57" s="33" t="n">
        <v>0.104000833433079</v>
      </c>
      <c r="F57" s="33" t="n">
        <v>0.028736920261392</v>
      </c>
      <c r="G57" s="33" t="n">
        <v>0.0375970503524188</v>
      </c>
      <c r="O57" s="48" t="n">
        <f aca="false" t="array" ref="O57:O57">PRODUCT(1+C52:C57)-1</f>
        <v>0.0686879699493084</v>
      </c>
      <c r="P57" s="48" t="n">
        <f aca="false" t="array" ref="P57:P57">PRODUCT(1+D52:D57)-1</f>
        <v>-0.0056273501721561</v>
      </c>
      <c r="Q57" s="48" t="n">
        <f aca="false" t="array" ref="Q57:Q57">PRODUCT(1+E52:E57)-1</f>
        <v>0.090412268109318</v>
      </c>
      <c r="R57" s="48" t="n">
        <f aca="false" t="array" ref="R57:R57">PRODUCT(1+F52:F57)-1</f>
        <v>0.0163147876975938</v>
      </c>
      <c r="S57" s="48" t="n">
        <f aca="false" t="array" ref="S57:S57">PRODUCT(1+G52:G57)-1</f>
        <v>0.00699341729359726</v>
      </c>
    </row>
    <row r="58" customFormat="false" ht="15" hidden="false" customHeight="false" outlineLevel="0" collapsed="false">
      <c r="B58" s="46" t="n">
        <v>42461</v>
      </c>
      <c r="C58" s="33" t="n">
        <v>0.0139757329286362</v>
      </c>
      <c r="D58" s="33" t="n">
        <v>-0.00170175817781293</v>
      </c>
      <c r="E58" s="33" t="n">
        <v>0.0226754028541613</v>
      </c>
      <c r="F58" s="33" t="n">
        <v>0.022307021958199</v>
      </c>
      <c r="G58" s="33" t="n">
        <v>0.0100288193409519</v>
      </c>
      <c r="O58" s="48" t="n">
        <f aca="false" t="array" ref="O58:O58">PRODUCT(1+C53:C58)-1</f>
        <v>0.0616243868060786</v>
      </c>
      <c r="P58" s="48" t="n">
        <f aca="false" t="array" ref="P58:P58">PRODUCT(1+D53:D58)-1</f>
        <v>-0.00141076090891856</v>
      </c>
      <c r="Q58" s="48" t="n">
        <f aca="false" t="array" ref="Q58:Q58">PRODUCT(1+E53:E58)-1</f>
        <v>0.0647189456487434</v>
      </c>
      <c r="R58" s="48" t="n">
        <f aca="false" t="array" ref="R58:R58">PRODUCT(1+F53:F58)-1</f>
        <v>0.0158298155451633</v>
      </c>
      <c r="S58" s="48" t="n">
        <f aca="false" t="array" ref="S58:S58">PRODUCT(1+G53:G58)-1</f>
        <v>0.0399089550129697</v>
      </c>
    </row>
    <row r="59" customFormat="false" ht="15" hidden="false" customHeight="false" outlineLevel="0" collapsed="false">
      <c r="B59" s="46" t="n">
        <v>42491</v>
      </c>
      <c r="C59" s="33" t="n">
        <v>-5.67468243352816E-005</v>
      </c>
      <c r="D59" s="33" t="n">
        <v>0.00391012194592477</v>
      </c>
      <c r="E59" s="33" t="n">
        <v>-0.0166941651174992</v>
      </c>
      <c r="F59" s="33" t="n">
        <v>0.000987534743642438</v>
      </c>
      <c r="G59" s="33" t="n">
        <v>-0.0261987385086813</v>
      </c>
      <c r="O59" s="48" t="n">
        <f aca="false" t="array" ref="O59:O59">PRODUCT(1+C54:C59)-1</f>
        <v>0.0646770737044089</v>
      </c>
      <c r="P59" s="48" t="n">
        <f aca="false" t="array" ref="P59:P59">PRODUCT(1+D54:D59)-1</f>
        <v>0.00919314941952254</v>
      </c>
      <c r="Q59" s="48" t="n">
        <f aca="false" t="array" ref="Q59:Q59">PRODUCT(1+E54:E59)-1</f>
        <v>-0.0116357739873355</v>
      </c>
      <c r="R59" s="48" t="n">
        <f aca="false" t="array" ref="R59:R59">PRODUCT(1+F54:F59)-1</f>
        <v>0.0281866990227357</v>
      </c>
      <c r="S59" s="48" t="n">
        <f aca="false" t="array" ref="S59:S59">PRODUCT(1+G54:G59)-1</f>
        <v>0.0534231976623618</v>
      </c>
    </row>
    <row r="60" customFormat="false" ht="15" hidden="false" customHeight="false" outlineLevel="0" collapsed="false">
      <c r="B60" s="46" t="n">
        <v>42522</v>
      </c>
      <c r="C60" s="33" t="n">
        <v>0.0537042125621227</v>
      </c>
      <c r="D60" s="33" t="n">
        <v>0.0106029840355689</v>
      </c>
      <c r="E60" s="33" t="n">
        <v>0.00362169059093354</v>
      </c>
      <c r="F60" s="33" t="n">
        <v>0.00626079077399696</v>
      </c>
      <c r="G60" s="33" t="n">
        <v>-0.00182507332960291</v>
      </c>
      <c r="O60" s="48" t="n">
        <f aca="false" t="array" ref="O60:O60">PRODUCT(1+C55:C60)-1</f>
        <v>0.120362092352768</v>
      </c>
      <c r="P60" s="48" t="n">
        <f aca="false" t="array" ref="P60:P60">PRODUCT(1+D55:D60)-1</f>
        <v>0.0166959346835178</v>
      </c>
      <c r="Q60" s="48" t="n">
        <f aca="false" t="array" ref="Q60:Q60">PRODUCT(1+E55:E60)-1</f>
        <v>0.068218561133782</v>
      </c>
      <c r="R60" s="48" t="n">
        <f aca="false" t="array" ref="R60:R60">PRODUCT(1+F55:F60)-1</f>
        <v>0.0543789587468388</v>
      </c>
      <c r="S60" s="48" t="n">
        <f aca="false" t="array" ref="S60:S60">PRODUCT(1+G55:G60)-1</f>
        <v>0.0177491755421451</v>
      </c>
    </row>
    <row r="61" customFormat="false" ht="15" hidden="false" customHeight="false" outlineLevel="0" collapsed="false">
      <c r="B61" s="46" t="n">
        <v>42552</v>
      </c>
      <c r="C61" s="33" t="n">
        <v>0.0340109297604609</v>
      </c>
      <c r="D61" s="33" t="n">
        <v>0.0502704710269638</v>
      </c>
      <c r="E61" s="33" t="n">
        <v>0.0606612030162739</v>
      </c>
      <c r="F61" s="33" t="n">
        <v>0.0154183630411654</v>
      </c>
      <c r="G61" s="33" t="n">
        <v>0.00359618784805593</v>
      </c>
      <c r="O61" s="48" t="n">
        <f aca="false" t="array" ref="O61:O61">PRODUCT(1+C56:C61)-1</f>
        <v>0.152936632569746</v>
      </c>
      <c r="P61" s="48" t="n">
        <f aca="false" t="array" ref="P61:P61">PRODUCT(1+D56:D61)-1</f>
        <v>0.103080258182699</v>
      </c>
      <c r="Q61" s="48" t="n">
        <f aca="false" t="array" ref="Q61:Q61">PRODUCT(1+E56:E61)-1</f>
        <v>0.183970614063292</v>
      </c>
      <c r="R61" s="48" t="n">
        <f aca="false" t="array" ref="R61:R61">PRODUCT(1+F56:F61)-1</f>
        <v>0.0814219993780199</v>
      </c>
      <c r="S61" s="48" t="n">
        <f aca="false" t="array" ref="S61:S61">PRODUCT(1+G56:G61)-1</f>
        <v>0.0316057052688838</v>
      </c>
    </row>
    <row r="62" customFormat="false" ht="15" hidden="false" customHeight="false" outlineLevel="0" collapsed="false">
      <c r="B62" s="46" t="n">
        <v>42583</v>
      </c>
      <c r="C62" s="33" t="n">
        <v>-0.0152651808197511</v>
      </c>
      <c r="D62" s="33" t="n">
        <v>0.00949296160365176</v>
      </c>
      <c r="E62" s="33" t="n">
        <v>0.0590497216756594</v>
      </c>
      <c r="F62" s="33" t="n">
        <v>0.012581051124975</v>
      </c>
      <c r="G62" s="33" t="n">
        <v>-0.00132732665097923</v>
      </c>
      <c r="O62" s="48" t="n">
        <f aca="false" t="array" ref="O62:O62">PRODUCT(1+C57:C62)-1</f>
        <v>0.11374448376973</v>
      </c>
      <c r="P62" s="48" t="n">
        <f aca="false" t="array" ref="P62:P62">PRODUCT(1+D57:D62)-1</f>
        <v>0.0804496415090465</v>
      </c>
      <c r="Q62" s="48" t="n">
        <f aca="false" t="array" ref="Q62:Q62">PRODUCT(1+E57:E62)-1</f>
        <v>0.251580824742109</v>
      </c>
      <c r="R62" s="48" t="n">
        <f aca="false" t="array" ref="R62:R62">PRODUCT(1+F57:F62)-1</f>
        <v>0.089180103262406</v>
      </c>
      <c r="S62" s="48" t="n">
        <f aca="false" t="array" ref="S62:S62">PRODUCT(1+G57:G62)-1</f>
        <v>0.0209903869311763</v>
      </c>
    </row>
    <row r="63" customFormat="false" ht="15" hidden="false" customHeight="false" outlineLevel="0" collapsed="false">
      <c r="B63" s="46" t="n">
        <v>42614</v>
      </c>
      <c r="C63" s="33" t="n">
        <v>0.00621765623646688</v>
      </c>
      <c r="D63" s="33" t="n">
        <v>0.0161898052656113</v>
      </c>
      <c r="E63" s="33" t="n">
        <v>-0.0147599843172382</v>
      </c>
      <c r="F63" s="33" t="n">
        <v>0.0034522680150193</v>
      </c>
      <c r="G63" s="33" t="n">
        <v>0.00594643876349132</v>
      </c>
      <c r="O63" s="48" t="n">
        <f aca="false" t="array" ref="O63:O63">PRODUCT(1+C58:C63)-1</f>
        <v>0.0946064163323135</v>
      </c>
      <c r="P63" s="48" t="n">
        <f aca="false" t="array" ref="P63:P63">PRODUCT(1+D58:D63)-1</f>
        <v>0.0912267401060054</v>
      </c>
      <c r="Q63" s="48" t="n">
        <f aca="false" t="array" ref="Q63:Q63">PRODUCT(1+E58:E63)-1</f>
        <v>0.116944366393819</v>
      </c>
      <c r="R63" s="48" t="n">
        <f aca="false" t="array" ref="R63:R63">PRODUCT(1+F58:F63)-1</f>
        <v>0.062409857534605</v>
      </c>
      <c r="S63" s="48" t="n">
        <f aca="false" t="array" ref="S63:S63">PRODUCT(1+G58:G63)-1</f>
        <v>-0.0101536589793355</v>
      </c>
    </row>
    <row r="64" customFormat="false" ht="15" hidden="false" customHeight="false" outlineLevel="0" collapsed="false">
      <c r="B64" s="46" t="n">
        <v>42644</v>
      </c>
      <c r="C64" s="33" t="n">
        <v>0.00623419662761425</v>
      </c>
      <c r="D64" s="33" t="n">
        <v>-0.0234583109528029</v>
      </c>
      <c r="E64" s="33" t="n">
        <v>-0.0126986516865852</v>
      </c>
      <c r="F64" s="33" t="n">
        <v>-0.00083150162530358</v>
      </c>
      <c r="G64" s="33" t="n">
        <v>-0.0209368065446512</v>
      </c>
      <c r="O64" s="48" t="n">
        <f aca="false" t="array" ref="O64:O64">PRODUCT(1+C59:C64)-1</f>
        <v>0.0862492781561433</v>
      </c>
      <c r="P64" s="48" t="n">
        <f aca="false" t="array" ref="P64:P64">PRODUCT(1+D59:D64)-1</f>
        <v>0.0674449370676049</v>
      </c>
      <c r="Q64" s="48" t="n">
        <f aca="false" t="array" ref="Q64:Q64">PRODUCT(1+E59:E64)-1</f>
        <v>0.0783095749189051</v>
      </c>
      <c r="R64" s="48" t="n">
        <f aca="false" t="array" ref="R64:R64">PRODUCT(1+F59:F64)-1</f>
        <v>0.0383636610242621</v>
      </c>
      <c r="S64" s="48" t="n">
        <f aca="false" t="array" ref="S64:S64">PRODUCT(1+G59:G64)-1</f>
        <v>-0.0405005272006592</v>
      </c>
    </row>
    <row r="65" customFormat="false" ht="15" hidden="false" customHeight="false" outlineLevel="0" collapsed="false">
      <c r="B65" s="46" t="n">
        <v>42675</v>
      </c>
      <c r="C65" s="33" t="n">
        <v>-0.0494560039349642</v>
      </c>
      <c r="D65" s="33" t="n">
        <v>-0.0360967961673642</v>
      </c>
      <c r="E65" s="33" t="n">
        <v>0.0427555738265723</v>
      </c>
      <c r="F65" s="33" t="n">
        <v>-0.00163411646504752</v>
      </c>
      <c r="G65" s="33" t="n">
        <v>-0.0306038077595295</v>
      </c>
      <c r="O65" s="48" t="n">
        <f aca="false" t="array" ref="O65:O65">PRODUCT(1+C60:C65)-1</f>
        <v>0.0325863255761294</v>
      </c>
      <c r="P65" s="48" t="n">
        <f aca="false" t="array" ref="P65:P65">PRODUCT(1+D60:D65)-1</f>
        <v>0.0249060869712128</v>
      </c>
      <c r="Q65" s="48" t="n">
        <f aca="false" t="array" ref="Q65:Q65">PRODUCT(1+E60:E65)-1</f>
        <v>0.143503149954979</v>
      </c>
      <c r="R65" s="48" t="n">
        <f aca="false" t="array" ref="R65:R65">PRODUCT(1+F60:F65)-1</f>
        <v>0.0356441193191985</v>
      </c>
      <c r="S65" s="48" t="n">
        <f aca="false" t="array" ref="S65:S65">PRODUCT(1+G60:G65)-1</f>
        <v>-0.0448409011465304</v>
      </c>
    </row>
    <row r="66" customFormat="false" ht="15" hidden="false" customHeight="false" outlineLevel="0" collapsed="false">
      <c r="B66" s="46" t="n">
        <v>42705</v>
      </c>
      <c r="C66" s="33" t="n">
        <v>0.00148762617681954</v>
      </c>
      <c r="D66" s="33" t="n">
        <v>0.0342296572254824</v>
      </c>
      <c r="E66" s="33" t="n">
        <v>0.0400293492003393</v>
      </c>
      <c r="F66" s="33" t="n">
        <v>0.0155444517020022</v>
      </c>
      <c r="G66" s="33" t="n">
        <v>-0.0120663596042497</v>
      </c>
      <c r="O66" s="48" t="n">
        <f aca="false" t="array" ref="O66:O66">PRODUCT(1+C61:C66)-1</f>
        <v>-0.018583758425551</v>
      </c>
      <c r="P66" s="48" t="n">
        <f aca="false" t="array" ref="P66:P66">PRODUCT(1+D61:D66)-1</f>
        <v>0.0488671493762782</v>
      </c>
      <c r="Q66" s="48" t="n">
        <f aca="false" t="array" ref="Q66:Q66">PRODUCT(1+E61:E66)-1</f>
        <v>0.184985187153505</v>
      </c>
      <c r="R66" s="48" t="n">
        <f aca="false" t="array" ref="R66:R66">PRODUCT(1+F61:F66)-1</f>
        <v>0.0451988678833821</v>
      </c>
      <c r="S66" s="48" t="n">
        <f aca="false" t="array" ref="S66:S66">PRODUCT(1+G61:G66)-1</f>
        <v>-0.0546408445310251</v>
      </c>
    </row>
    <row r="67" customFormat="false" ht="15" hidden="false" customHeight="false" outlineLevel="0" collapsed="false">
      <c r="B67" s="46" t="n">
        <v>42736</v>
      </c>
      <c r="C67" s="33" t="n">
        <v>0.0168464815909552</v>
      </c>
      <c r="D67" s="33" t="n">
        <v>-0.00810631661646011</v>
      </c>
      <c r="E67" s="33" t="n">
        <v>0.0174289658276496</v>
      </c>
      <c r="F67" s="33" t="n">
        <v>0.00471851944582265</v>
      </c>
      <c r="G67" s="33" t="n">
        <v>0.0179261467005725</v>
      </c>
      <c r="O67" s="48" t="n">
        <f aca="false" t="array" ref="O67:O67">PRODUCT(1+C62:C67)-1</f>
        <v>-0.034875141549633</v>
      </c>
      <c r="P67" s="48" t="n">
        <f aca="false" t="array" ref="P67:P67">PRODUCT(1+D62:D67)-1</f>
        <v>-0.00943163796888213</v>
      </c>
      <c r="Q67" s="48" t="n">
        <f aca="false" t="array" ref="Q67:Q67">PRODUCT(1+E62:E67)-1</f>
        <v>0.136685541111639</v>
      </c>
      <c r="R67" s="48" t="n">
        <f aca="false" t="array" ref="R67:R67">PRODUCT(1+F62:F67)-1</f>
        <v>0.0341852159548441</v>
      </c>
      <c r="S67" s="48" t="n">
        <f aca="false" t="array" ref="S67:S67">PRODUCT(1+G62:G67)-1</f>
        <v>-0.0411424295681625</v>
      </c>
    </row>
    <row r="68" customFormat="false" ht="15" hidden="false" customHeight="false" outlineLevel="0" collapsed="false">
      <c r="B68" s="46" t="n">
        <v>42767</v>
      </c>
      <c r="C68" s="33" t="n">
        <v>0.0287473626147127</v>
      </c>
      <c r="D68" s="33" t="n">
        <v>0.00709588808933115</v>
      </c>
      <c r="E68" s="33" t="n">
        <v>0.0496118555074883</v>
      </c>
      <c r="F68" s="33" t="n">
        <v>0.0100493518100004</v>
      </c>
      <c r="G68" s="33" t="n">
        <v>-0.0116109136643893</v>
      </c>
      <c r="O68" s="48" t="n">
        <f aca="false" t="array" ref="O68:O68">PRODUCT(1+C63:C68)-1</f>
        <v>0.00826093826075547</v>
      </c>
      <c r="P68" s="48" t="n">
        <f aca="false" t="array" ref="P68:P68">PRODUCT(1+D63:D68)-1</f>
        <v>-0.0117837744126833</v>
      </c>
      <c r="Q68" s="48" t="n">
        <f aca="false" t="array" ref="Q68:Q68">PRODUCT(1+E63:E68)-1</f>
        <v>0.126555812740309</v>
      </c>
      <c r="R68" s="48" t="n">
        <f aca="false" t="array" ref="R68:R68">PRODUCT(1+F63:F68)-1</f>
        <v>0.0315995009645422</v>
      </c>
      <c r="S68" s="48" t="n">
        <f aca="false" t="array" ref="S68:S68">PRODUCT(1+G63:G68)-1</f>
        <v>-0.0510160303205851</v>
      </c>
    </row>
    <row r="69" customFormat="false" ht="15" hidden="false" customHeight="false" outlineLevel="0" collapsed="false">
      <c r="B69" s="46" t="n">
        <v>42795</v>
      </c>
      <c r="C69" s="33" t="n">
        <v>0.00521179768908031</v>
      </c>
      <c r="D69" s="33" t="n">
        <v>0.00737570624232276</v>
      </c>
      <c r="E69" s="33" t="n">
        <v>0.00532282813298768</v>
      </c>
      <c r="F69" s="33" t="n">
        <v>-0.00160965282664771</v>
      </c>
      <c r="G69" s="33" t="n">
        <v>0.00971458363391187</v>
      </c>
      <c r="O69" s="48" t="n">
        <f aca="false" t="array" ref="O69:O69">PRODUCT(1+C64:C69)-1</f>
        <v>0.00725303716057102</v>
      </c>
      <c r="P69" s="48" t="n">
        <f aca="false" t="array" ref="P69:P69">PRODUCT(1+D64:D69)-1</f>
        <v>-0.0203552397271483</v>
      </c>
      <c r="Q69" s="48" t="n">
        <f aca="false" t="array" ref="Q69:Q69">PRODUCT(1+E64:E69)-1</f>
        <v>0.149519160495015</v>
      </c>
      <c r="R69" s="48" t="n">
        <f aca="false" t="array" ref="R69:R69">PRODUCT(1+F64:F69)-1</f>
        <v>0.0263955912414464</v>
      </c>
      <c r="S69" s="48" t="n">
        <f aca="false" t="array" ref="S69:S69">PRODUCT(1+G64:G69)-1</f>
        <v>-0.0474612594703056</v>
      </c>
    </row>
    <row r="70" customFormat="false" ht="15" hidden="false" customHeight="false" outlineLevel="0" collapsed="false">
      <c r="B70" s="46" t="n">
        <v>42826</v>
      </c>
      <c r="C70" s="33" t="n">
        <v>0.0142094014071531</v>
      </c>
      <c r="D70" s="33" t="n">
        <v>0.00121139676452914</v>
      </c>
      <c r="E70" s="33" t="n">
        <v>0.0125914282692463</v>
      </c>
      <c r="F70" s="33" t="n">
        <v>0.00687185241416866</v>
      </c>
      <c r="G70" s="33" t="n">
        <v>0.0206260681858692</v>
      </c>
      <c r="O70" s="48" t="n">
        <f aca="false" t="array" ref="O70:O70">PRODUCT(1+C65:C70)-1</f>
        <v>0.015236317060112</v>
      </c>
      <c r="P70" s="48" t="n">
        <f aca="false" t="array" ref="P70:P70">PRODUCT(1+D65:D70)-1</f>
        <v>0.00439285876553064</v>
      </c>
      <c r="Q70" s="48" t="n">
        <f aca="false" t="array" ref="Q70:Q70">PRODUCT(1+E65:E70)-1</f>
        <v>0.178964508188849</v>
      </c>
      <c r="R70" s="48" t="n">
        <f aca="false" t="array" ref="R70:R70">PRODUCT(1+F65:F70)-1</f>
        <v>0.0343088597609682</v>
      </c>
      <c r="S70" s="48" t="n">
        <f aca="false" t="array" ref="S70:S70">PRODUCT(1+G65:G70)-1</f>
        <v>-0.00702439225555518</v>
      </c>
    </row>
    <row r="71" customFormat="false" ht="15" hidden="false" customHeight="false" outlineLevel="0" collapsed="false">
      <c r="B71" s="46" t="n">
        <v>42856</v>
      </c>
      <c r="C71" s="33" t="n">
        <v>0.0196352854149037</v>
      </c>
      <c r="D71" s="33" t="n">
        <v>-0.00230154108493996</v>
      </c>
      <c r="E71" s="33" t="n">
        <v>-0.0572601260863805</v>
      </c>
      <c r="F71" s="33" t="n">
        <v>0.00677372017610149</v>
      </c>
      <c r="G71" s="33" t="n">
        <v>0.0242202136465646</v>
      </c>
      <c r="O71" s="48" t="n">
        <f aca="false" t="array" ref="O71:O71">PRODUCT(1+C66:C71)-1</f>
        <v>0.0890298357513764</v>
      </c>
      <c r="P71" s="48" t="n">
        <f aca="false" t="array" ref="P71:P71">PRODUCT(1+D66:D71)-1</f>
        <v>0.0396077151224556</v>
      </c>
      <c r="Q71" s="48" t="n">
        <f aca="false" t="array" ref="Q71:Q71">PRODUCT(1+E66:E71)-1</f>
        <v>0.0658843545855179</v>
      </c>
      <c r="R71" s="48" t="n">
        <f aca="false" t="array" ref="R71:R71">PRODUCT(1+F66:F71)-1</f>
        <v>0.0430193937172889</v>
      </c>
      <c r="S71" s="48" t="n">
        <f aca="false" t="array" ref="S71:S71">PRODUCT(1+G66:G71)-1</f>
        <v>0.0491331586100936</v>
      </c>
    </row>
    <row r="72" customFormat="false" ht="15" hidden="false" customHeight="false" outlineLevel="0" collapsed="false">
      <c r="B72" s="46" t="n">
        <v>42887</v>
      </c>
      <c r="C72" s="33" t="n">
        <v>-0.0184112330905991</v>
      </c>
      <c r="D72" s="33" t="n">
        <v>-0.00384370031255937</v>
      </c>
      <c r="E72" s="33" t="n">
        <v>0.0132411829452933</v>
      </c>
      <c r="F72" s="33" t="n">
        <v>-0.000778367246542196</v>
      </c>
      <c r="G72" s="33" t="n">
        <v>0.0241647806272001</v>
      </c>
      <c r="O72" s="48" t="n">
        <f aca="false" t="array" ref="O72:O72">PRODUCT(1+C67:C72)-1</f>
        <v>0.0673915739564071</v>
      </c>
      <c r="P72" s="48" t="n">
        <f aca="false" t="array" ref="P72:P72">PRODUCT(1+D67:D72)-1</f>
        <v>0.00133637378097018</v>
      </c>
      <c r="Q72" s="48" t="n">
        <f aca="false" t="array" ref="Q72:Q72">PRODUCT(1+E67:E72)-1</f>
        <v>0.038430237717332</v>
      </c>
      <c r="R72" s="48" t="n">
        <f aca="false" t="array" ref="R72:R72">PRODUCT(1+F67:F72)-1</f>
        <v>0.0262549707568418</v>
      </c>
      <c r="S72" s="48" t="n">
        <f aca="false" t="array" ref="S72:S72">PRODUCT(1+G67:G72)-1</f>
        <v>0.0876087090284794</v>
      </c>
    </row>
    <row r="73" customFormat="false" ht="15" hidden="false" customHeight="false" outlineLevel="0" collapsed="false">
      <c r="B73" s="46" t="n">
        <v>42917</v>
      </c>
      <c r="C73" s="33" t="n">
        <v>0.0089108859947463</v>
      </c>
      <c r="D73" s="33" t="n">
        <v>0.00576160500112799</v>
      </c>
      <c r="E73" s="33" t="n">
        <v>0.00336210967625972</v>
      </c>
      <c r="F73" s="33" t="n">
        <v>0.00917814208077979</v>
      </c>
      <c r="G73" s="33" t="n">
        <v>0.0267133085711011</v>
      </c>
      <c r="O73" s="48" t="n">
        <f aca="false" t="array" ref="O73:O73">PRODUCT(1+C68:C73)-1</f>
        <v>0.0590615182134138</v>
      </c>
      <c r="P73" s="48" t="n">
        <f aca="false" t="array" ref="P73:P73">PRODUCT(1+D68:D73)-1</f>
        <v>0.015336316090377</v>
      </c>
      <c r="Q73" s="48" t="n">
        <f aca="false" t="array" ref="Q73:Q73">PRODUCT(1+E68:E73)-1</f>
        <v>0.0240730203902821</v>
      </c>
      <c r="R73" s="48" t="n">
        <f aca="false" t="array" ref="R73:R73">PRODUCT(1+F68:F73)-1</f>
        <v>0.0308101867782891</v>
      </c>
      <c r="S73" s="48" t="n">
        <f aca="false" t="array" ref="S73:S73">PRODUCT(1+G68:G73)-1</f>
        <v>0.0969973997591453</v>
      </c>
    </row>
    <row r="74" customFormat="false" ht="15" hidden="false" customHeight="false" outlineLevel="0" collapsed="false">
      <c r="B74" s="46" t="n">
        <v>42948</v>
      </c>
      <c r="C74" s="33" t="n">
        <v>0.0134741732404381</v>
      </c>
      <c r="D74" s="33" t="n">
        <v>0.00464826499069421</v>
      </c>
      <c r="E74" s="33" t="n">
        <v>-0.036310079117988</v>
      </c>
      <c r="F74" s="33" t="n">
        <v>0.000299524336193106</v>
      </c>
      <c r="G74" s="33" t="n">
        <v>0.0124405046587073</v>
      </c>
      <c r="O74" s="48" t="n">
        <f aca="false" t="array" ref="O74:O74">PRODUCT(1+C69:C74)-1</f>
        <v>0.0433382729206444</v>
      </c>
      <c r="P74" s="48" t="n">
        <f aca="false" t="array" ref="P74:P74">PRODUCT(1+D69:D74)-1</f>
        <v>0.012868665641657</v>
      </c>
      <c r="Q74" s="48" t="n">
        <f aca="false" t="array" ref="Q74:Q74">PRODUCT(1+E69:E74)-1</f>
        <v>-0.0597582879624085</v>
      </c>
      <c r="R74" s="48" t="n">
        <f aca="false" t="array" ref="R74:R74">PRODUCT(1+F69:F74)-1</f>
        <v>0.0208599586420881</v>
      </c>
      <c r="S74" s="48" t="n">
        <f aca="false" t="array" ref="S74:S74">PRODUCT(1+G69:G74)-1</f>
        <v>0.123691688198504</v>
      </c>
    </row>
    <row r="75" customFormat="false" ht="15" hidden="false" customHeight="false" outlineLevel="0" collapsed="false">
      <c r="B75" s="46" t="n">
        <v>42979</v>
      </c>
      <c r="C75" s="33" t="n">
        <v>-0.0303102396934385</v>
      </c>
      <c r="D75" s="33" t="n">
        <v>-0.00258854044630402</v>
      </c>
      <c r="E75" s="33" t="n">
        <v>0.0433400836412785</v>
      </c>
      <c r="F75" s="33" t="n">
        <v>0.00428110600604252</v>
      </c>
      <c r="G75" s="33" t="n">
        <v>-0.0127631368989437</v>
      </c>
      <c r="O75" s="48" t="n">
        <f aca="false" t="array" ref="O75:O75">PRODUCT(1+C70:C75)-1</f>
        <v>0.00646892735734972</v>
      </c>
      <c r="P75" s="48" t="n">
        <f aca="false" t="array" ref="P75:P75">PRODUCT(1+D70:D75)-1</f>
        <v>0.00285008649080543</v>
      </c>
      <c r="Q75" s="48" t="n">
        <f aca="false" t="array" ref="Q75:Q75">PRODUCT(1+E70:E75)-1</f>
        <v>-0.0242021378325343</v>
      </c>
      <c r="R75" s="48" t="n">
        <f aca="false" t="array" ref="R75:R75">PRODUCT(1+F70:F75)-1</f>
        <v>0.0268832939390857</v>
      </c>
      <c r="S75" s="48" t="n">
        <f aca="false" t="array" ref="S75:S75">PRODUCT(1+G70:G75)-1</f>
        <v>0.098676670943314</v>
      </c>
    </row>
    <row r="76" customFormat="false" ht="15" hidden="false" customHeight="false" outlineLevel="0" collapsed="false">
      <c r="B76" s="46" t="n">
        <v>43009</v>
      </c>
      <c r="C76" s="33" t="n">
        <v>0.0178033831107797</v>
      </c>
      <c r="D76" s="33" t="n">
        <v>-0.0180417864087215</v>
      </c>
      <c r="E76" s="33" t="n">
        <v>-0.0233540313140107</v>
      </c>
      <c r="F76" s="33" t="n">
        <v>0.00408170965070228</v>
      </c>
      <c r="G76" s="33" t="n">
        <v>-0.00757421698081318</v>
      </c>
      <c r="O76" s="48" t="n">
        <f aca="false" t="array" ref="O76:O76">PRODUCT(1+C71:C76)-1</f>
        <v>0.0100354796937532</v>
      </c>
      <c r="P76" s="48" t="n">
        <f aca="false" t="array" ref="P76:P76">PRODUCT(1+D71:D76)-1</f>
        <v>-0.0164346085025922</v>
      </c>
      <c r="Q76" s="48" t="n">
        <f aca="false" t="array" ref="Q76:Q76">PRODUCT(1+E71:E76)-1</f>
        <v>-0.0588414816357122</v>
      </c>
      <c r="R76" s="48" t="n">
        <f aca="false" t="array" ref="R76:R76">PRODUCT(1+F71:F76)-1</f>
        <v>0.0240376974665661</v>
      </c>
      <c r="S76" s="48" t="n">
        <f aca="false" t="array" ref="S76:S76">PRODUCT(1+G71:G76)-1</f>
        <v>0.068319818034732</v>
      </c>
    </row>
    <row r="77" customFormat="false" ht="15" hidden="false" customHeight="false" outlineLevel="0" collapsed="false">
      <c r="B77" s="46" t="n">
        <v>43040</v>
      </c>
      <c r="C77" s="33" t="n">
        <v>-0.011082445980625</v>
      </c>
      <c r="D77" s="33" t="n">
        <v>-0.0210391875649926</v>
      </c>
      <c r="E77" s="33" t="n">
        <v>0.00817681497003175</v>
      </c>
      <c r="F77" s="33" t="n">
        <v>-0.00283663602374029</v>
      </c>
      <c r="G77" s="33" t="n">
        <v>0.0171024110905007</v>
      </c>
      <c r="O77" s="48" t="n">
        <f aca="false" t="array" ref="O77:O77">PRODUCT(1+C72:C77)-1</f>
        <v>-0.0203930460830513</v>
      </c>
      <c r="P77" s="48" t="n">
        <f aca="false" t="array" ref="P77:P77">PRODUCT(1+D72:D77)-1</f>
        <v>-0.0349068236606012</v>
      </c>
      <c r="Q77" s="48" t="n">
        <f aca="false" t="array" ref="Q77:Q77">PRODUCT(1+E72:E77)-1</f>
        <v>0.00648569524000275</v>
      </c>
      <c r="R77" s="48" t="n">
        <f aca="false" t="array" ref="R77:R77">PRODUCT(1+F72:F77)-1</f>
        <v>0.0142625445821643</v>
      </c>
      <c r="S77" s="48" t="n">
        <f aca="false" t="array" ref="S77:S77">PRODUCT(1+G72:G77)-1</f>
        <v>0.0608955459590737</v>
      </c>
    </row>
    <row r="78" customFormat="false" ht="15" hidden="false" customHeight="false" outlineLevel="0" collapsed="false">
      <c r="B78" s="46" t="n">
        <v>43070</v>
      </c>
      <c r="C78" s="33" t="n">
        <v>0.0176959628976907</v>
      </c>
      <c r="D78" s="33" t="n">
        <v>0.0521731381660826</v>
      </c>
      <c r="E78" s="33" t="n">
        <v>-0.00708758897774808</v>
      </c>
      <c r="F78" s="33" t="n">
        <v>0.00152649672577162</v>
      </c>
      <c r="G78" s="33" t="n">
        <v>0.0124920389629148</v>
      </c>
      <c r="O78" s="48" t="n">
        <f aca="false" t="array" ref="O78:O78">PRODUCT(1+C73:C78)-1</f>
        <v>0.0156412500182972</v>
      </c>
      <c r="P78" s="48" t="n">
        <f aca="false" t="array" ref="P78:P78">PRODUCT(1+D73:D78)-1</f>
        <v>0.0193632427866082</v>
      </c>
      <c r="Q78" s="48" t="n">
        <f aca="false" t="array" ref="Q78:Q78">PRODUCT(1+E73:E78)-1</f>
        <v>-0.0137075405726819</v>
      </c>
      <c r="R78" s="48" t="n">
        <f aca="false" t="array" ref="R78:R78">PRODUCT(1+F73:F78)-1</f>
        <v>0.0166021028151393</v>
      </c>
      <c r="S78" s="48" t="n">
        <f aca="false" t="array" ref="S78:S78">PRODUCT(1+G73:G78)-1</f>
        <v>0.0488041717241703</v>
      </c>
    </row>
    <row r="79" customFormat="false" ht="15" hidden="false" customHeight="false" outlineLevel="0" collapsed="false">
      <c r="B79" s="46" t="n">
        <v>43101</v>
      </c>
      <c r="C79" s="33" t="n">
        <v>-0.0309590157498204</v>
      </c>
      <c r="D79" s="33" t="n">
        <v>-0.0508932638049099</v>
      </c>
      <c r="E79" s="33" t="n">
        <v>-0.000214847742176783</v>
      </c>
      <c r="F79" s="33" t="n">
        <v>0.004047645297514</v>
      </c>
      <c r="G79" s="33" t="n">
        <v>0.0341263037221957</v>
      </c>
      <c r="O79" s="48" t="n">
        <f aca="false" t="array" ref="O79:O79">PRODUCT(1+C74:C79)-1</f>
        <v>-0.0244946206597492</v>
      </c>
      <c r="P79" s="48" t="n">
        <f aca="false" t="array" ref="P79:P79">PRODUCT(1+D74:D79)-1</f>
        <v>-0.0380578105709694</v>
      </c>
      <c r="Q79" s="48" t="n">
        <f aca="false" t="array" ref="Q79:Q79">PRODUCT(1+E74:E79)-1</f>
        <v>-0.0172236451728796</v>
      </c>
      <c r="R79" s="48" t="n">
        <f aca="false" t="array" ref="R79:R79">PRODUCT(1+F74:F79)-1</f>
        <v>0.0114338638285114</v>
      </c>
      <c r="S79" s="48" t="n">
        <f aca="false" t="array" ref="S79:S79">PRODUCT(1+G74:G79)-1</f>
        <v>0.0563766655981022</v>
      </c>
    </row>
    <row r="80" customFormat="false" ht="15" hidden="false" customHeight="false" outlineLevel="0" collapsed="false">
      <c r="B80" s="46" t="n">
        <v>43132</v>
      </c>
      <c r="C80" s="33" t="n">
        <v>-0.0156816956792742</v>
      </c>
      <c r="D80" s="33" t="n">
        <v>-0.0239262417017577</v>
      </c>
      <c r="E80" s="33" t="n">
        <v>-0.0224468360129367</v>
      </c>
      <c r="F80" s="33" t="n">
        <v>-0.00582943212746512</v>
      </c>
      <c r="G80" s="33" t="n">
        <v>-0.0144440416226941</v>
      </c>
      <c r="O80" s="48" t="n">
        <f aca="false" t="array" ref="O80:O80">PRODUCT(1+C75:C80)-1</f>
        <v>-0.0525581941789245</v>
      </c>
      <c r="P80" s="48" t="n">
        <f aca="false" t="array" ref="P80:P80">PRODUCT(1+D75:D80)-1</f>
        <v>-0.0654176582783124</v>
      </c>
      <c r="Q80" s="48" t="n">
        <f aca="false" t="array" ref="Q80:Q80">PRODUCT(1+E75:E80)-1</f>
        <v>-0.00308583255324069</v>
      </c>
      <c r="R80" s="48" t="n">
        <f aca="false" t="array" ref="R80:R80">PRODUCT(1+F75:F80)-1</f>
        <v>0.0052366859168369</v>
      </c>
      <c r="S80" s="48" t="n">
        <f aca="false" t="array" ref="S80:S80">PRODUCT(1+G75:G80)-1</f>
        <v>0.0283254297712243</v>
      </c>
    </row>
    <row r="81" customFormat="false" ht="15" hidden="false" customHeight="false" outlineLevel="0" collapsed="false">
      <c r="B81" s="46" t="n">
        <v>43160</v>
      </c>
      <c r="C81" s="33" t="n">
        <v>-0.0273412261105895</v>
      </c>
      <c r="D81" s="33" t="n">
        <v>-0.000644003633743118</v>
      </c>
      <c r="E81" s="33" t="n">
        <v>0.0299601672764429</v>
      </c>
      <c r="F81" s="33" t="n">
        <v>0.00107316758178459</v>
      </c>
      <c r="G81" s="33" t="n">
        <v>0.00831177859195798</v>
      </c>
      <c r="O81" s="48" t="n">
        <f aca="false" t="array" ref="O81:O81">PRODUCT(1+C76:C81)-1</f>
        <v>-0.0496572997840488</v>
      </c>
      <c r="P81" s="48" t="n">
        <f aca="false" t="array" ref="P81:P81">PRODUCT(1+D76:D81)-1</f>
        <v>-0.0635956120701606</v>
      </c>
      <c r="Q81" s="48" t="n">
        <f aca="false" t="array" ref="Q81:Q81">PRODUCT(1+E76:E81)-1</f>
        <v>-0.0158703774897346</v>
      </c>
      <c r="R81" s="48" t="n">
        <f aca="false" t="array" ref="R81:R81">PRODUCT(1+F76:F81)-1</f>
        <v>0.00202569511860218</v>
      </c>
      <c r="S81" s="48" t="n">
        <f aca="false" t="array" ref="S81:S81">PRODUCT(1+G76:G81)-1</f>
        <v>0.0502774783014013</v>
      </c>
    </row>
    <row r="82" customFormat="false" ht="15" hidden="false" customHeight="false" outlineLevel="0" collapsed="false">
      <c r="B82" s="46" t="n">
        <v>43191</v>
      </c>
      <c r="C82" s="33" t="n">
        <v>0.0217234293610606</v>
      </c>
      <c r="D82" s="33" t="n">
        <v>0.0224263425337042</v>
      </c>
      <c r="E82" s="33" t="n">
        <v>0.01206379083177</v>
      </c>
      <c r="F82" s="33" t="n">
        <v>0.00409539301139413</v>
      </c>
      <c r="G82" s="33" t="n">
        <v>-0.016959902219586</v>
      </c>
      <c r="O82" s="48" t="n">
        <f aca="false" t="array" ref="O82:O82">PRODUCT(1+C77:C82)-1</f>
        <v>-0.0459970767976825</v>
      </c>
      <c r="P82" s="48" t="n">
        <f aca="false" t="array" ref="P82:P82">PRODUCT(1+D77:D82)-1</f>
        <v>-0.0250048319447945</v>
      </c>
      <c r="Q82" s="48" t="n">
        <f aca="false" t="array" ref="Q82:Q82">PRODUCT(1+E77:E82)-1</f>
        <v>0.0198188374930077</v>
      </c>
      <c r="R82" s="48" t="n">
        <f aca="false" t="array" ref="R82:R82">PRODUCT(1+F77:F82)-1</f>
        <v>0.00203935046047055</v>
      </c>
      <c r="S82" s="48" t="n">
        <f aca="false" t="array" ref="S82:S82">PRODUCT(1+G77:G82)-1</f>
        <v>0.0403446712407864</v>
      </c>
    </row>
    <row r="83" customFormat="false" ht="15" hidden="false" customHeight="false" outlineLevel="0" collapsed="false">
      <c r="B83" s="46" t="n">
        <v>43221</v>
      </c>
      <c r="C83" s="33" t="n">
        <v>-0.000211642786559663</v>
      </c>
      <c r="D83" s="33" t="n">
        <v>-0.00118369995677969</v>
      </c>
      <c r="E83" s="33" t="n">
        <v>0.0466942499365254</v>
      </c>
      <c r="F83" s="33" t="n">
        <v>-0.00434873536059795</v>
      </c>
      <c r="G83" s="33" t="n">
        <v>-0.0375801242260456</v>
      </c>
      <c r="O83" s="48" t="n">
        <f aca="false" t="array" ref="O83:O83">PRODUCT(1+C78:C83)-1</f>
        <v>-0.0355100771660708</v>
      </c>
      <c r="P83" s="48" t="n">
        <f aca="false" t="array" ref="P83:P83">PRODUCT(1+D78:D83)-1</f>
        <v>-0.00522977636393318</v>
      </c>
      <c r="Q83" s="48" t="n">
        <f aca="false" t="array" ref="Q83:Q83">PRODUCT(1+E78:E83)-1</f>
        <v>0.0587810563890152</v>
      </c>
      <c r="R83" s="48" t="n">
        <f aca="false" t="array" ref="R83:R83">PRODUCT(1+F78:F83)-1</f>
        <v>0.000519857173738814</v>
      </c>
      <c r="S83" s="48" t="n">
        <f aca="false" t="array" ref="S83:S83">PRODUCT(1+G78:G83)-1</f>
        <v>-0.0155874390424949</v>
      </c>
    </row>
    <row r="84" customFormat="false" ht="15" hidden="false" customHeight="false" outlineLevel="0" collapsed="false">
      <c r="B84" s="46" t="n">
        <v>43252</v>
      </c>
      <c r="C84" s="33" t="n">
        <v>0.0159952270119544</v>
      </c>
      <c r="D84" s="33" t="n">
        <v>0.0200236741654599</v>
      </c>
      <c r="E84" s="33" t="n">
        <v>-0.00480550467323304</v>
      </c>
      <c r="F84" s="33" t="n">
        <v>-0.00088910849020359</v>
      </c>
      <c r="G84" s="33" t="n">
        <v>0.00323054634936915</v>
      </c>
      <c r="O84" s="48" t="n">
        <f aca="false" t="array" ref="O84:O84">PRODUCT(1+C79:C84)-1</f>
        <v>-0.0371218970838034</v>
      </c>
      <c r="P84" s="48" t="n">
        <f aca="false" t="array" ref="P84:P84">PRODUCT(1+D79:D84)-1</f>
        <v>-0.0356252771932186</v>
      </c>
      <c r="Q84" s="48" t="n">
        <f aca="false" t="array" ref="Q84:Q84">PRODUCT(1+E79:E84)-1</f>
        <v>0.0612145314910293</v>
      </c>
      <c r="R84" s="48" t="n">
        <f aca="false" t="array" ref="R84:R84">PRODUCT(1+F79:F84)-1</f>
        <v>-0.00189332010472265</v>
      </c>
      <c r="S84" s="48" t="n">
        <f aca="false" t="array" ref="S84:S84">PRODUCT(1+G79:G84)-1</f>
        <v>-0.0245920823494467</v>
      </c>
    </row>
    <row r="85" customFormat="false" ht="15" hidden="false" customHeight="false" outlineLevel="0" collapsed="false">
      <c r="B85" s="46" t="n">
        <v>43282</v>
      </c>
      <c r="C85" s="33" t="n">
        <v>0.0625261114177733</v>
      </c>
      <c r="D85" s="33" t="n">
        <v>0.0118314665710202</v>
      </c>
      <c r="E85" s="33" t="n">
        <v>0.0351782534639448</v>
      </c>
      <c r="F85" s="33" t="n">
        <v>0.0130859295790127</v>
      </c>
      <c r="G85" s="33" t="n">
        <v>0.000210717849207232</v>
      </c>
      <c r="O85" s="48" t="n">
        <f aca="false" t="array" ref="O85:O85">PRODUCT(1+C80:C85)-1</f>
        <v>0.0557686858337636</v>
      </c>
      <c r="P85" s="48" t="n">
        <f aca="false" t="array" ref="P85:P85">PRODUCT(1+D80:D85)-1</f>
        <v>0.0281084865264647</v>
      </c>
      <c r="Q85" s="48" t="n">
        <f aca="false" t="array" ref="Q85:Q85">PRODUCT(1+E80:E85)-1</f>
        <v>0.0987822761506165</v>
      </c>
      <c r="R85" s="48" t="n">
        <f aca="false" t="array" ref="R85:R85">PRODUCT(1+F80:F85)-1</f>
        <v>0.00709148450928865</v>
      </c>
      <c r="S85" s="48" t="n">
        <f aca="false" t="array" ref="S85:S85">PRODUCT(1+G80:G85)-1</f>
        <v>-0.0565819184779718</v>
      </c>
    </row>
    <row r="86" customFormat="false" ht="15" hidden="false" customHeight="false" outlineLevel="0" collapsed="false">
      <c r="B86" s="46" t="n">
        <v>43313</v>
      </c>
      <c r="C86" s="33" t="n">
        <v>-0.010936148783946</v>
      </c>
      <c r="D86" s="33" t="n">
        <v>-0.0122237263786617</v>
      </c>
      <c r="E86" s="33" t="n">
        <v>0.0269038751298625</v>
      </c>
      <c r="F86" s="33" t="n">
        <v>0.00364147653655174</v>
      </c>
      <c r="G86" s="33" t="n">
        <v>-0.00365109624528781</v>
      </c>
      <c r="O86" s="48" t="n">
        <f aca="false" t="array" ref="O86:O86">PRODUCT(1+C81:C86)-1</f>
        <v>0.0608587057869132</v>
      </c>
      <c r="P86" s="48" t="n">
        <f aca="false" t="array" ref="P86:P86">PRODUCT(1+D81:D86)-1</f>
        <v>0.040434865773006</v>
      </c>
      <c r="Q86" s="48" t="n">
        <f aca="false" t="array" ref="Q86:Q86">PRODUCT(1+E81:E86)-1</f>
        <v>0.154253107525118</v>
      </c>
      <c r="R86" s="48" t="n">
        <f aca="false" t="array" ref="R86:R86">PRODUCT(1+F81:F86)-1</f>
        <v>0.0166854835415751</v>
      </c>
      <c r="S86" s="48" t="n">
        <f aca="false" t="array" ref="S86:S86">PRODUCT(1+G81:G86)-1</f>
        <v>-0.0462504302094724</v>
      </c>
    </row>
    <row r="87" customFormat="false" ht="15" hidden="false" customHeight="false" outlineLevel="0" collapsed="false">
      <c r="B87" s="46" t="n">
        <v>43344</v>
      </c>
      <c r="C87" s="33" t="n">
        <v>-0.0111044778677275</v>
      </c>
      <c r="D87" s="33" t="n">
        <v>0.0121385822569032</v>
      </c>
      <c r="E87" s="33" t="n">
        <v>-0.00392935483073664</v>
      </c>
      <c r="F87" s="33" t="n">
        <v>0.00523053013909151</v>
      </c>
      <c r="G87" s="33" t="n">
        <v>-0.00356820608298658</v>
      </c>
      <c r="O87" s="48" t="n">
        <f aca="false" t="array" ref="O87:O87">PRODUCT(1+C82:C87)-1</f>
        <v>0.078567789578172</v>
      </c>
      <c r="P87" s="48" t="n">
        <f aca="false" t="array" ref="P87:P87">PRODUCT(1+D82:D87)-1</f>
        <v>0.0537428842206107</v>
      </c>
      <c r="Q87" s="48" t="n">
        <f aca="false" t="array" ref="Q87:Q87">PRODUCT(1+E82:E87)-1</f>
        <v>0.116273885175003</v>
      </c>
      <c r="R87" s="48" t="n">
        <f aca="false" t="array" ref="R87:R87">PRODUCT(1+F82:F87)-1</f>
        <v>0.0209076825762806</v>
      </c>
      <c r="S87" s="48" t="n">
        <f aca="false" t="array" ref="S87:S87">PRODUCT(1+G82:G87)-1</f>
        <v>-0.0574875599479238</v>
      </c>
    </row>
    <row r="88" customFormat="false" ht="15" hidden="false" customHeight="false" outlineLevel="0" collapsed="false">
      <c r="B88" s="46" t="n">
        <v>43374</v>
      </c>
      <c r="C88" s="33" t="n">
        <v>-0.00237237669406067</v>
      </c>
      <c r="D88" s="33" t="n">
        <v>-0.000438675788216936</v>
      </c>
      <c r="E88" s="33" t="n">
        <v>-0.0219007304720981</v>
      </c>
      <c r="F88" s="33" t="n">
        <v>-0.0106998948328377</v>
      </c>
      <c r="G88" s="33" t="n">
        <v>-0.0238047473085956</v>
      </c>
      <c r="O88" s="48" t="n">
        <f aca="false" t="array" ref="O88:O88">PRODUCT(1+C83:C88)-1</f>
        <v>0.053131395023504</v>
      </c>
      <c r="P88" s="48" t="n">
        <f aca="false" t="array" ref="P88:P88">PRODUCT(1+D83:D88)-1</f>
        <v>0.0301775188226587</v>
      </c>
      <c r="Q88" s="48" t="n">
        <f aca="false" t="array" ref="Q88:Q88">PRODUCT(1+E83:E88)-1</f>
        <v>0.0788121080642756</v>
      </c>
      <c r="R88" s="48" t="n">
        <f aca="false" t="array" ref="R88:R88">PRODUCT(1+F83:F88)-1</f>
        <v>0.00586466661262453</v>
      </c>
      <c r="S88" s="48" t="n">
        <f aca="false" t="array" ref="S88:S88">PRODUCT(1+G83:G88)-1</f>
        <v>-0.0640502135580737</v>
      </c>
    </row>
    <row r="89" customFormat="false" ht="15" hidden="false" customHeight="false" outlineLevel="0" collapsed="false">
      <c r="B89" s="46" t="n">
        <v>43405</v>
      </c>
      <c r="C89" s="33" t="n">
        <v>0.0314328260511061</v>
      </c>
      <c r="D89" s="33" t="n">
        <v>0.00634657980414277</v>
      </c>
      <c r="E89" s="33" t="n">
        <v>-0.00130737361999728</v>
      </c>
      <c r="F89" s="33" t="n">
        <v>-0.0123438762507998</v>
      </c>
      <c r="G89" s="33" t="n">
        <v>0.0040901385425427</v>
      </c>
      <c r="O89" s="48" t="n">
        <f aca="false" t="array" ref="O89:O89">PRODUCT(1+C84:C89)-1</f>
        <v>0.0864642332900671</v>
      </c>
      <c r="P89" s="48" t="n">
        <f aca="false" t="array" ref="P89:P89">PRODUCT(1+D84:D89)-1</f>
        <v>0.0379442372070222</v>
      </c>
      <c r="Q89" s="48" t="n">
        <f aca="false" t="array" ref="Q89:Q89">PRODUCT(1+E84:E89)-1</f>
        <v>0.0293375526220725</v>
      </c>
      <c r="R89" s="48" t="n">
        <f aca="false" t="array" ref="R89:R89">PRODUCT(1+F84:F89)-1</f>
        <v>-0.00221248852357281</v>
      </c>
      <c r="S89" s="48" t="n">
        <f aca="false" t="array" ref="S89:S89">PRODUCT(1+G84:G89)-1</f>
        <v>-0.0235260364073523</v>
      </c>
    </row>
    <row r="90" customFormat="false" ht="15" hidden="false" customHeight="false" outlineLevel="0" collapsed="false">
      <c r="B90" s="46" t="n">
        <v>43435</v>
      </c>
      <c r="C90" s="33" t="n">
        <v>-0.0151063352700763</v>
      </c>
      <c r="D90" s="33" t="n">
        <v>0.0190741149584446</v>
      </c>
      <c r="E90" s="33" t="n">
        <v>-0.082178734801029</v>
      </c>
      <c r="F90" s="33" t="n">
        <v>-0.0197896886763794</v>
      </c>
      <c r="G90" s="33" t="n">
        <v>0.00414117691375227</v>
      </c>
      <c r="O90" s="48" t="n">
        <f aca="false" t="array" ref="O90:O90">PRODUCT(1+C85:C90)-1</f>
        <v>0.0532054795868155</v>
      </c>
      <c r="P90" s="48" t="n">
        <f aca="false" t="array" ref="P90:P90">PRODUCT(1+D85:D90)-1</f>
        <v>0.0369779954111005</v>
      </c>
      <c r="Q90" s="48" t="n">
        <f aca="false" t="array" ref="Q90:Q90">PRODUCT(1+E85:E90)-1</f>
        <v>-0.0506901924189204</v>
      </c>
      <c r="R90" s="48" t="n">
        <f aca="false" t="array" ref="R90:R90">PRODUCT(1+F85:F90)-1</f>
        <v>-0.0210880338005608</v>
      </c>
      <c r="S90" s="48" t="n">
        <f aca="false" t="array" ref="S90:S90">PRODUCT(1+G85:G90)-1</f>
        <v>-0.0226396927450629</v>
      </c>
    </row>
    <row r="91" customFormat="false" ht="15" hidden="false" customHeight="false" outlineLevel="0" collapsed="false">
      <c r="B91" s="46" t="n">
        <v>43466</v>
      </c>
      <c r="C91" s="33" t="n">
        <v>0.0458880866827477</v>
      </c>
      <c r="D91" s="33" t="n">
        <v>-0.0133891056415746</v>
      </c>
      <c r="E91" s="33" t="n">
        <v>0.0911264376435527</v>
      </c>
      <c r="F91" s="33" t="n">
        <v>0.0362077618631314</v>
      </c>
      <c r="G91" s="33" t="n">
        <v>0.00417005244191593</v>
      </c>
      <c r="O91" s="48" t="n">
        <f aca="false" t="array" ref="O91:O91">PRODUCT(1+C86:C91)-1</f>
        <v>0.0367134059971626</v>
      </c>
      <c r="P91" s="48" t="n">
        <f aca="false" t="array" ref="P91:P91">PRODUCT(1+D86:D91)-1</f>
        <v>0.0111306292437214</v>
      </c>
      <c r="Q91" s="48" t="n">
        <f aca="false" t="array" ref="Q91:Q91">PRODUCT(1+E86:E91)-1</f>
        <v>0.000617067736834454</v>
      </c>
      <c r="R91" s="48" t="n">
        <f aca="false" t="array" ref="R91:R91">PRODUCT(1+F86:F91)-1</f>
        <v>0.00125384031152542</v>
      </c>
      <c r="S91" s="48" t="n">
        <f aca="false" t="array" ref="S91:S91">PRODUCT(1+G86:G91)-1</f>
        <v>-0.01877081151334</v>
      </c>
    </row>
    <row r="92" customFormat="false" ht="15" hidden="false" customHeight="false" outlineLevel="0" collapsed="false">
      <c r="B92" s="46" t="n">
        <v>43497</v>
      </c>
      <c r="C92" s="33" t="n">
        <v>0.0167391643828499</v>
      </c>
      <c r="D92" s="33" t="n">
        <v>0.00807550814267799</v>
      </c>
      <c r="E92" s="33" t="n">
        <v>0.0469624775137365</v>
      </c>
      <c r="F92" s="33" t="n">
        <v>0.0163515367971644</v>
      </c>
      <c r="G92" s="33" t="n">
        <v>-0.0093544986063463</v>
      </c>
      <c r="O92" s="48" t="n">
        <f aca="false" t="array" ref="O92:O92">PRODUCT(1+C87:C92)-1</f>
        <v>0.0657220166545136</v>
      </c>
      <c r="P92" s="48" t="n">
        <f aca="false" t="array" ref="P92:P92">PRODUCT(1+D87:D92)-1</f>
        <v>0.0319098059893621</v>
      </c>
      <c r="Q92" s="48" t="n">
        <f aca="false" t="array" ref="Q92:Q92">PRODUCT(1+E87:E92)-1</f>
        <v>0.0201622076338994</v>
      </c>
      <c r="R92" s="48" t="n">
        <f aca="false" t="array" ref="R92:R92">PRODUCT(1+F87:F92)-1</f>
        <v>0.0139336636787752</v>
      </c>
      <c r="S92" s="48" t="n">
        <f aca="false" t="array" ref="S92:S92">PRODUCT(1+G87:G92)-1</f>
        <v>-0.024387664052912</v>
      </c>
    </row>
    <row r="93" customFormat="false" ht="15" hidden="false" customHeight="false" outlineLevel="0" collapsed="false">
      <c r="B93" s="46" t="n">
        <v>43525</v>
      </c>
      <c r="C93" s="33" t="n">
        <v>0.00931183150629883</v>
      </c>
      <c r="D93" s="33" t="n">
        <v>-0.000322161879894867</v>
      </c>
      <c r="E93" s="33" t="n">
        <v>0.00429254491360814</v>
      </c>
      <c r="F93" s="33" t="n">
        <v>0.00625465491344305</v>
      </c>
      <c r="G93" s="33" t="n">
        <v>-0.0129292785391764</v>
      </c>
      <c r="O93" s="48" t="n">
        <f aca="false" t="array" ref="O93:O93">PRODUCT(1+C88:C93)-1</f>
        <v>0.0877244526164183</v>
      </c>
      <c r="P93" s="48" t="n">
        <f aca="false" t="array" ref="P93:P93">PRODUCT(1+D88:D93)-1</f>
        <v>0.0192056523387674</v>
      </c>
      <c r="Q93" s="48" t="n">
        <f aca="false" t="array" ref="Q93:Q93">PRODUCT(1+E88:E93)-1</f>
        <v>0.0285829671802365</v>
      </c>
      <c r="R93" s="48" t="n">
        <f aca="false" t="array" ref="R93:R93">PRODUCT(1+F88:F93)-1</f>
        <v>0.0149666551701682</v>
      </c>
      <c r="S93" s="48" t="n">
        <f aca="false" t="array" ref="S93:S93">PRODUCT(1+G88:G93)-1</f>
        <v>-0.0335531461478299</v>
      </c>
    </row>
    <row r="94" customFormat="false" ht="15" hidden="false" customHeight="false" outlineLevel="0" collapsed="false">
      <c r="B94" s="46" t="n">
        <v>43556</v>
      </c>
      <c r="C94" s="33" t="n">
        <v>0.0409551675219345</v>
      </c>
      <c r="D94" s="33" t="n">
        <v>0.0185951087112356</v>
      </c>
      <c r="E94" s="33" t="n">
        <v>0.0445233898929561</v>
      </c>
      <c r="F94" s="33" t="n">
        <v>0.0128481075111728</v>
      </c>
      <c r="G94" s="33" t="n">
        <v>-0.00426150277295889</v>
      </c>
      <c r="O94" s="48" t="n">
        <f aca="false" t="array" ref="O94:O94">PRODUCT(1+C89:C94)-1</f>
        <v>0.134964954196941</v>
      </c>
      <c r="P94" s="48" t="n">
        <f aca="false" t="array" ref="P94:P94">PRODUCT(1+D89:D94)-1</f>
        <v>0.0386135068418791</v>
      </c>
      <c r="Q94" s="48" t="n">
        <f aca="false" t="array" ref="Q94:Q94">PRODUCT(1+E89:E94)-1</f>
        <v>0.0984355076594883</v>
      </c>
      <c r="R94" s="48" t="n">
        <f aca="false" t="array" ref="R94:R94">PRODUCT(1+F89:F94)-1</f>
        <v>0.0391255904115642</v>
      </c>
      <c r="S94" s="48" t="n">
        <f aca="false" t="array" ref="S94:S94">PRODUCT(1+G89:G94)-1</f>
        <v>-0.0142050627152828</v>
      </c>
    </row>
    <row r="95" customFormat="false" ht="15" hidden="false" customHeight="false" outlineLevel="0" collapsed="false">
      <c r="B95" s="46" t="n">
        <v>43586</v>
      </c>
      <c r="C95" s="33" t="n">
        <v>-0.00250980800598862</v>
      </c>
      <c r="D95" s="33" t="n">
        <v>-0.00766118640223468</v>
      </c>
      <c r="E95" s="33" t="n">
        <v>-0.0291204719856574</v>
      </c>
      <c r="F95" s="33" t="n">
        <v>-0.0154258862797548</v>
      </c>
      <c r="G95" s="33" t="n">
        <v>-0.00483096163825536</v>
      </c>
      <c r="O95" s="48" t="n">
        <f aca="false" t="array" ref="O95:O95">PRODUCT(1+C90:C95)-1</f>
        <v>0.0976152605136167</v>
      </c>
      <c r="P95" s="48" t="n">
        <f aca="false" t="array" ref="P95:P95">PRODUCT(1+D90:D95)-1</f>
        <v>0.0241566035497172</v>
      </c>
      <c r="Q95" s="48" t="n">
        <f aca="false" t="array" ref="Q95:Q95">PRODUCT(1+E90:E95)-1</f>
        <v>0.0678446191159272</v>
      </c>
      <c r="R95" s="48" t="n">
        <f aca="false" t="array" ref="R95:R95">PRODUCT(1+F90:F95)-1</f>
        <v>0.0358829683956798</v>
      </c>
      <c r="S95" s="48" t="n">
        <f aca="false" t="array" ref="S95:S95">PRODUCT(1+G90:G95)-1</f>
        <v>-0.0229636144186245</v>
      </c>
    </row>
    <row r="96" customFormat="false" ht="15" hidden="false" customHeight="false" outlineLevel="0" collapsed="false">
      <c r="B96" s="46" t="n">
        <v>43617</v>
      </c>
      <c r="C96" s="33" t="n">
        <v>0.015727152130504</v>
      </c>
      <c r="D96" s="33" t="n">
        <v>-0.000121428905697718</v>
      </c>
      <c r="E96" s="33" t="n">
        <v>0.0420540049230467</v>
      </c>
      <c r="F96" s="33" t="n">
        <v>0.0203901708736127</v>
      </c>
      <c r="G96" s="33" t="n">
        <v>0.0233400157194397</v>
      </c>
      <c r="O96" s="48" t="n">
        <f aca="false" t="array" ref="O96:O96">PRODUCT(1+C91:C96)-1</f>
        <v>0.131977656696774</v>
      </c>
      <c r="P96" s="48" t="n">
        <f aca="false" t="array" ref="P96:P96">PRODUCT(1+D91:D96)-1</f>
        <v>0.00486532461463085</v>
      </c>
      <c r="Q96" s="48" t="n">
        <f aca="false" t="array" ref="Q96:Q96">PRODUCT(1+E91:E96)-1</f>
        <v>0.212383940291521</v>
      </c>
      <c r="R96" s="48" t="n">
        <f aca="false" t="array" ref="R96:R96">PRODUCT(1+F91:F96)-1</f>
        <v>0.0783449091644561</v>
      </c>
      <c r="S96" s="48" t="n">
        <f aca="false" t="array" ref="S96:S96">PRODUCT(1+G91:G96)-1</f>
        <v>-0.00428301003217635</v>
      </c>
    </row>
    <row r="97" customFormat="false" ht="15" hidden="false" customHeight="false" outlineLevel="0" collapsed="false">
      <c r="B97" s="46" t="n">
        <v>43647</v>
      </c>
      <c r="C97" s="33" t="n">
        <v>0.0121496077333872</v>
      </c>
      <c r="D97" s="33" t="n">
        <v>-0.00779235408884788</v>
      </c>
      <c r="E97" s="33" t="n">
        <v>0.0232871157660746</v>
      </c>
      <c r="F97" s="33" t="n">
        <v>0.00457748192853595</v>
      </c>
      <c r="G97" s="33" t="n">
        <v>-0.0204525808389375</v>
      </c>
      <c r="O97" s="48" t="n">
        <f aca="false" t="array" ref="O97:O97">PRODUCT(1+C92:C97)-1</f>
        <v>0.0954620822028127</v>
      </c>
      <c r="P97" s="48" t="n">
        <f aca="false" t="array" ref="P97:P97">PRODUCT(1+D92:D97)-1</f>
        <v>0.0105656281466282</v>
      </c>
      <c r="Q97" s="48" t="n">
        <f aca="false" t="array" ref="Q97:Q97">PRODUCT(1+E92:E97)-1</f>
        <v>0.137005595924624</v>
      </c>
      <c r="R97" s="48" t="n">
        <f aca="false" t="array" ref="R97:R97">PRODUCT(1+F92:F97)-1</f>
        <v>0.0454283912630751</v>
      </c>
      <c r="S97" s="48" t="n">
        <f aca="false" t="array" ref="S97:S97">PRODUCT(1+G92:G97)-1</f>
        <v>-0.0286983709920782</v>
      </c>
    </row>
    <row r="98" customFormat="false" ht="15" hidden="false" customHeight="false" outlineLevel="0" collapsed="false">
      <c r="B98" s="46" t="n">
        <v>43678</v>
      </c>
      <c r="C98" s="33" t="n">
        <v>0.0164537202515714</v>
      </c>
      <c r="D98" s="33" t="n">
        <v>0.016581157711076</v>
      </c>
      <c r="E98" s="33" t="n">
        <v>0.00902623759961241</v>
      </c>
      <c r="F98" s="33" t="n">
        <v>0.00357221271403629</v>
      </c>
      <c r="G98" s="33" t="n">
        <v>-0.0130821762893474</v>
      </c>
      <c r="O98" s="48" t="n">
        <f aca="false" t="array" ref="O98:O98">PRODUCT(1+C93:C98)-1</f>
        <v>0.095154537029619</v>
      </c>
      <c r="P98" s="48" t="n">
        <f aca="false" t="array" ref="P98:P98">PRODUCT(1+D93:D98)-1</f>
        <v>0.0190922881333584</v>
      </c>
      <c r="Q98" s="48" t="n">
        <f aca="false" t="array" ref="Q98:Q98">PRODUCT(1+E93:E98)-1</f>
        <v>0.0958066819261685</v>
      </c>
      <c r="R98" s="48" t="n">
        <f aca="false" t="array" ref="R98:R98">PRODUCT(1+F93:F98)-1</f>
        <v>0.032283462826449</v>
      </c>
      <c r="S98" s="48" t="n">
        <f aca="false" t="array" ref="S98:S98">PRODUCT(1+G93:G98)-1</f>
        <v>-0.0323532600526169</v>
      </c>
    </row>
    <row r="99" customFormat="false" ht="15" hidden="false" customHeight="false" outlineLevel="0" collapsed="false">
      <c r="B99" s="46" t="n">
        <v>43709</v>
      </c>
      <c r="C99" s="33" t="n">
        <v>-0.00707358789773236</v>
      </c>
      <c r="D99" s="33" t="n">
        <v>-0.00355225644648777</v>
      </c>
      <c r="E99" s="33" t="n">
        <v>0.0173760811405931</v>
      </c>
      <c r="F99" s="33" t="n">
        <v>0.00106468306634255</v>
      </c>
      <c r="G99" s="33" t="n">
        <v>-0.00629215273593464</v>
      </c>
      <c r="O99" s="48" t="n">
        <f aca="false" t="array" ref="O99:O99">PRODUCT(1+C94:C99)-1</f>
        <v>0.0773755257852176</v>
      </c>
      <c r="P99" s="48" t="n">
        <f aca="false" t="array" ref="P99:P99">PRODUCT(1+D94:D99)-1</f>
        <v>0.0157994628478182</v>
      </c>
      <c r="Q99" s="48" t="n">
        <f aca="false" t="array" ref="Q99:Q99">PRODUCT(1+E94:E99)-1</f>
        <v>0.110082429061169</v>
      </c>
      <c r="R99" s="48" t="n">
        <f aca="false" t="array" ref="R99:R99">PRODUCT(1+F94:F99)-1</f>
        <v>0.0269592418808502</v>
      </c>
      <c r="S99" s="48" t="n">
        <f aca="false" t="array" ref="S99:S99">PRODUCT(1+G94:G99)-1</f>
        <v>-0.0258467423264882</v>
      </c>
    </row>
    <row r="100" customFormat="false" ht="15" hidden="false" customHeight="false" outlineLevel="0" collapsed="false">
      <c r="B100" s="46" t="n">
        <v>43739</v>
      </c>
      <c r="C100" s="33" t="n">
        <v>8.31338912259579E-005</v>
      </c>
      <c r="D100" s="33" t="n">
        <v>0.000328313054098639</v>
      </c>
      <c r="E100" s="33" t="n">
        <v>-0.0131523777955533</v>
      </c>
      <c r="F100" s="33" t="n">
        <v>-0.00175301283137079</v>
      </c>
      <c r="G100" s="33" t="n">
        <v>0.0193530872450027</v>
      </c>
      <c r="O100" s="48" t="n">
        <f aca="false" t="array" ref="O100:O100">PRODUCT(1+C95:C100)-1</f>
        <v>0.0350734842596225</v>
      </c>
      <c r="P100" s="48" t="n">
        <f aca="false" t="array" ref="P100:P100">PRODUCT(1+D95:D100)-1</f>
        <v>-0.00241719758750214</v>
      </c>
      <c r="Q100" s="48" t="n">
        <f aca="false" t="array" ref="Q100:Q100">PRODUCT(1+E95:E100)-1</f>
        <v>0.0487866678430409</v>
      </c>
      <c r="R100" s="48" t="n">
        <f aca="false" t="array" ref="R100:R100">PRODUCT(1+F95:F100)-1</f>
        <v>0.0121546967902384</v>
      </c>
      <c r="S100" s="48" t="n">
        <f aca="false" t="array" ref="S100:S100">PRODUCT(1+G95:G100)-1</f>
        <v>-0.00274406038872577</v>
      </c>
    </row>
    <row r="101" customFormat="false" ht="15" hidden="false" customHeight="false" outlineLevel="0" collapsed="false">
      <c r="B101" s="46" t="n">
        <v>43770</v>
      </c>
      <c r="C101" s="33" t="n">
        <v>-0.00822793636742436</v>
      </c>
      <c r="D101" s="33" t="n">
        <v>0.0140268862043733</v>
      </c>
      <c r="E101" s="33" t="n">
        <v>0.0273354678217522</v>
      </c>
      <c r="F101" s="33" t="n">
        <v>0.00776623357189362</v>
      </c>
      <c r="G101" s="33" t="n">
        <v>-0.012056987106212</v>
      </c>
      <c r="O101" s="48" t="n">
        <f aca="false" t="array" ref="O101:O101">PRODUCT(1+C96:C101)-1</f>
        <v>0.029139909078614</v>
      </c>
      <c r="P101" s="48" t="n">
        <f aca="false" t="array" ref="P101:P101">PRODUCT(1+D96:D101)-1</f>
        <v>0.0193854850782951</v>
      </c>
      <c r="Q101" s="48" t="n">
        <f aca="false" t="array" ref="Q101:Q101">PRODUCT(1+E96:E101)-1</f>
        <v>0.109772851279886</v>
      </c>
      <c r="R101" s="48" t="n">
        <f aca="false" t="array" ref="R101:R101">PRODUCT(1+F96:F101)-1</f>
        <v>0.0359964906270383</v>
      </c>
      <c r="S101" s="48" t="n">
        <f aca="false" t="array" ref="S101:S101">PRODUCT(1+G96:G101)-1</f>
        <v>-0.00998523906281834</v>
      </c>
    </row>
    <row r="102" customFormat="false" ht="15" hidden="false" customHeight="false" outlineLevel="0" collapsed="false">
      <c r="B102" s="46" t="n">
        <v>43800</v>
      </c>
      <c r="C102" s="33" t="n">
        <v>0.0296610294487623</v>
      </c>
      <c r="D102" s="33" t="n">
        <v>0.0104694899150677</v>
      </c>
      <c r="E102" s="33" t="n">
        <v>0.0163950976868325</v>
      </c>
      <c r="F102" s="33" t="n">
        <v>0.0163874235997381</v>
      </c>
      <c r="G102" s="33" t="n">
        <v>0.0165423983740805</v>
      </c>
      <c r="O102" s="48" t="n">
        <f aca="false" t="array" ref="O102:O102">PRODUCT(1+C97:C102)-1</f>
        <v>0.0432577843429962</v>
      </c>
      <c r="P102" s="48" t="n">
        <f aca="false" t="array" ref="P102:P102">PRODUCT(1+D97:D102)-1</f>
        <v>0.0301830251312987</v>
      </c>
      <c r="Q102" s="48" t="n">
        <f aca="false" t="array" ref="Q102:Q102">PRODUCT(1+E97:E102)-1</f>
        <v>0.0824464761498733</v>
      </c>
      <c r="R102" s="48" t="n">
        <f aca="false" t="array" ref="R102:R102">PRODUCT(1+F97:F102)-1</f>
        <v>0.0319325234829304</v>
      </c>
      <c r="S102" s="48" t="n">
        <f aca="false" t="array" ref="S102:S102">PRODUCT(1+G97:G102)-1</f>
        <v>-0.0165614907560316</v>
      </c>
    </row>
    <row r="103" customFormat="false" ht="15" hidden="false" customHeight="false" outlineLevel="0" collapsed="false">
      <c r="B103" s="46" t="n">
        <v>43831</v>
      </c>
      <c r="C103" s="33" t="n">
        <v>0.0240154020345959</v>
      </c>
      <c r="D103" s="33" t="n">
        <v>-0.0237840854925605</v>
      </c>
      <c r="E103" s="33" t="n">
        <v>0.00664689816581887</v>
      </c>
      <c r="F103" s="33" t="n">
        <v>-0.00466639728242798</v>
      </c>
      <c r="G103" s="33" t="n">
        <v>-0.015458380652554</v>
      </c>
      <c r="O103" s="48" t="n">
        <f aca="false" t="array" ref="O103:O103">PRODUCT(1+C98:C103)-1</f>
        <v>0.0554882709998759</v>
      </c>
      <c r="P103" s="48" t="n">
        <f aca="false" t="array" ref="P103:P103">PRODUCT(1+D98:D103)-1</f>
        <v>0.0135792322634909</v>
      </c>
      <c r="Q103" s="48" t="n">
        <f aca="false" t="array" ref="Q103:Q103">PRODUCT(1+E98:E103)-1</f>
        <v>0.0648442366354247</v>
      </c>
      <c r="R103" s="48" t="n">
        <f aca="false" t="array" ref="R103:R103">PRODUCT(1+F98:F103)-1</f>
        <v>0.0224369297905169</v>
      </c>
      <c r="S103" s="48" t="n">
        <f aca="false" t="array" ref="S103:S103">PRODUCT(1+G98:G103)-1</f>
        <v>-0.0115474519355635</v>
      </c>
    </row>
    <row r="104" customFormat="false" ht="15" hidden="false" customHeight="false" outlineLevel="0" collapsed="false">
      <c r="B104" s="46" t="n">
        <v>43862</v>
      </c>
      <c r="C104" s="33" t="n">
        <v>-0.0533212877126557</v>
      </c>
      <c r="D104" s="33" t="n">
        <v>-0.0435005109822218</v>
      </c>
      <c r="E104" s="33" t="n">
        <v>-0.0947316977407101</v>
      </c>
      <c r="F104" s="33" t="n">
        <v>-0.0204981057603009</v>
      </c>
      <c r="G104" s="33" t="n">
        <v>7.94431156487807E-005</v>
      </c>
      <c r="O104" s="48" t="n">
        <f aca="false" t="array" ref="O104:O104">PRODUCT(1+C99:C104)-1</f>
        <v>-0.0169662845276862</v>
      </c>
      <c r="P104" s="48" t="n">
        <f aca="false" t="array" ref="P104:P104">PRODUCT(1+D99:D104)-1</f>
        <v>-0.0463250175500494</v>
      </c>
      <c r="Q104" s="48" t="n">
        <f aca="false" t="array" ref="Q104:Q104">PRODUCT(1+E99:E104)-1</f>
        <v>-0.04465345067464</v>
      </c>
      <c r="R104" s="48" t="n">
        <f aca="false" t="array" ref="R104:R104">PRODUCT(1+F99:F104)-1</f>
        <v>-0.00208585213608303</v>
      </c>
      <c r="S104" s="48" t="n">
        <f aca="false" t="array" ref="S104:S104">PRODUCT(1+G99:G104)-1</f>
        <v>0.0016346346829641</v>
      </c>
    </row>
    <row r="105" customFormat="false" ht="15" hidden="false" customHeight="false" outlineLevel="0" collapsed="false">
      <c r="B105" s="46" t="n">
        <v>43891</v>
      </c>
      <c r="C105" s="33" t="n">
        <v>-0.0977935322295021</v>
      </c>
      <c r="D105" s="33" t="n">
        <v>-0.105095863628892</v>
      </c>
      <c r="E105" s="33" t="n">
        <v>-0.368244906782765</v>
      </c>
      <c r="F105" s="33" t="n">
        <v>-0.0964260399085759</v>
      </c>
      <c r="G105" s="33" t="n">
        <v>4.19339868262814E-005</v>
      </c>
      <c r="O105" s="48" t="n">
        <f aca="false" t="array" ref="O105:O105">PRODUCT(1+C100:C105)-1</f>
        <v>-0.106782370449989</v>
      </c>
      <c r="P105" s="48" t="n">
        <f aca="false" t="array" ref="P105:P105">PRODUCT(1+D100:D105)-1</f>
        <v>-0.14350984076239</v>
      </c>
      <c r="Q105" s="48" t="n">
        <f aca="false" t="array" ref="Q105:Q105">PRODUCT(1+E100:E105)-1</f>
        <v>-0.406763084456277</v>
      </c>
      <c r="R105" s="48" t="n">
        <f aca="false" t="array" ref="R105:R105">PRODUCT(1+F100:F105)-1</f>
        <v>-0.0992697538237879</v>
      </c>
      <c r="S105" s="48" t="n">
        <f aca="false" t="array" ref="S105:S105">PRODUCT(1+G100:G105)-1</f>
        <v>0.00801924828752676</v>
      </c>
    </row>
    <row r="106" customFormat="false" ht="15" hidden="false" customHeight="false" outlineLevel="0" collapsed="false">
      <c r="B106" s="46" t="n">
        <v>43922</v>
      </c>
      <c r="C106" s="33" t="n">
        <v>0.0405059487069624</v>
      </c>
      <c r="D106" s="33" t="n">
        <v>0.035524116709985</v>
      </c>
      <c r="E106" s="33" t="n">
        <v>0.196171630667243</v>
      </c>
      <c r="F106" s="33" t="n">
        <v>0.0431931770748491</v>
      </c>
      <c r="G106" s="33" t="n">
        <v>-0.0138902668164987</v>
      </c>
      <c r="O106" s="48" t="n">
        <f aca="false" t="array" ref="O106:O106">PRODUCT(1+C101:C106)-1</f>
        <v>-0.0706790010341237</v>
      </c>
      <c r="P106" s="48" t="n">
        <f aca="false" t="array" ref="P106:P106">PRODUCT(1+D101:D106)-1</f>
        <v>-0.113374874987313</v>
      </c>
      <c r="Q106" s="48" t="n">
        <f aca="false" t="array" ref="Q106:Q106">PRODUCT(1+E101:E106)-1</f>
        <v>-0.280929342411762</v>
      </c>
      <c r="R106" s="48" t="n">
        <f aca="false" t="array" ref="R106:R106">PRODUCT(1+F101:F106)-1</f>
        <v>-0.0587142668358034</v>
      </c>
      <c r="S106" s="48" t="n">
        <f aca="false" t="array" ref="S106:S106">PRODUCT(1+G101:G106)-1</f>
        <v>-0.0248544842698522</v>
      </c>
    </row>
    <row r="107" customFormat="false" ht="15" hidden="false" customHeight="false" outlineLevel="0" collapsed="false">
      <c r="B107" s="46" t="n">
        <v>43952</v>
      </c>
      <c r="C107" s="33" t="n">
        <v>0.0492171741579708</v>
      </c>
      <c r="D107" s="33" t="n">
        <v>0.0113347860025005</v>
      </c>
      <c r="E107" s="33" t="n">
        <v>0.132354437808084</v>
      </c>
      <c r="F107" s="33" t="n">
        <v>0.0274838835097991</v>
      </c>
      <c r="G107" s="33" t="n">
        <v>0.0213978871607088</v>
      </c>
      <c r="O107" s="48" t="n">
        <f aca="false" t="array" ref="O107:O107">PRODUCT(1+C102:C107)-1</f>
        <v>-0.0168511614964465</v>
      </c>
      <c r="P107" s="48" t="n">
        <f aca="false" t="array" ref="P107:P107">PRODUCT(1+D102:D107)-1</f>
        <v>-0.115728741251123</v>
      </c>
      <c r="Q107" s="48" t="n">
        <f aca="false" t="array" ref="Q107:Q107">PRODUCT(1+E102:E107)-1</f>
        <v>-0.207422623163154</v>
      </c>
      <c r="R107" s="48" t="n">
        <f aca="false" t="array" ref="R107:R107">PRODUCT(1+F102:F107)-1</f>
        <v>-0.0402973543021367</v>
      </c>
      <c r="S107" s="48" t="n">
        <f aca="false" t="array" ref="S107:S107">PRODUCT(1+G102:G107)-1</f>
        <v>0.00816702627775179</v>
      </c>
    </row>
    <row r="108" customFormat="false" ht="15" hidden="false" customHeight="false" outlineLevel="0" collapsed="false">
      <c r="B108" s="46" t="n">
        <v>43983</v>
      </c>
      <c r="C108" s="33" t="n">
        <v>0.0102931282378044</v>
      </c>
      <c r="D108" s="33" t="n">
        <v>0.00149629784488253</v>
      </c>
      <c r="E108" s="33" t="n">
        <v>0.00851971629531467</v>
      </c>
      <c r="F108" s="33" t="n">
        <v>0.00532219224941492</v>
      </c>
      <c r="G108" s="33" t="n">
        <v>0.0123493735450244</v>
      </c>
      <c r="O108" s="48" t="n">
        <f aca="false" t="array" ref="O108:O108">PRODUCT(1+C103:C108)-1</f>
        <v>-0.03534416942353</v>
      </c>
      <c r="P108" s="48" t="n">
        <f aca="false" t="array" ref="P108:P108">PRODUCT(1+D103:D108)-1</f>
        <v>-0.123581265177961</v>
      </c>
      <c r="Q108" s="48" t="n">
        <f aca="false" t="array" ref="Q108:Q108">PRODUCT(1+E103:E108)-1</f>
        <v>-0.213563787302064</v>
      </c>
      <c r="R108" s="48" t="n">
        <f aca="false" t="array" ref="R108:R108">PRODUCT(1+F103:F108)-1</f>
        <v>-0.0507454684322324</v>
      </c>
      <c r="S108" s="48" t="n">
        <f aca="false" t="array" ref="S108:S108">PRODUCT(1+G103:G108)-1</f>
        <v>0.00400854810725959</v>
      </c>
    </row>
    <row r="109" customFormat="false" ht="15" hidden="false" customHeight="false" outlineLevel="0" collapsed="false">
      <c r="B109" s="46" t="n">
        <v>44013</v>
      </c>
      <c r="C109" s="33" t="n">
        <v>-0.0138778845149816</v>
      </c>
      <c r="D109" s="33" t="n">
        <v>0.0201175473897796</v>
      </c>
      <c r="E109" s="33" t="n">
        <v>-0.0157230474049883</v>
      </c>
      <c r="F109" s="33" t="n">
        <v>0.0248746810301721</v>
      </c>
      <c r="G109" s="33" t="n">
        <v>0.0555740390639499</v>
      </c>
      <c r="O109" s="48" t="n">
        <f aca="false" t="array" ref="O109:O109">PRODUCT(1+C104:C109)-1</f>
        <v>-0.07104087841553</v>
      </c>
      <c r="P109" s="48" t="n">
        <f aca="false" t="array" ref="P109:P109">PRODUCT(1+D104:D109)-1</f>
        <v>-0.0841676344682263</v>
      </c>
      <c r="Q109" s="48" t="n">
        <f aca="false" t="array" ref="Q109:Q109">PRODUCT(1+E104:E109)-1</f>
        <v>-0.231040158912625</v>
      </c>
      <c r="R109" s="48" t="n">
        <f aca="false" t="array" ref="R109:R109">PRODUCT(1+F104:F109)-1</f>
        <v>-0.0225719973677868</v>
      </c>
      <c r="S109" s="48" t="n">
        <f aca="false" t="array" ref="S109:S109">PRODUCT(1+G104:G109)-1</f>
        <v>0.0764454620849353</v>
      </c>
    </row>
    <row r="110" customFormat="false" ht="15" hidden="false" customHeight="false" outlineLevel="0" collapsed="false">
      <c r="B110" s="46" t="n">
        <v>44044</v>
      </c>
      <c r="C110" s="33" t="n">
        <v>0.000661112405506259</v>
      </c>
      <c r="D110" s="33" t="n">
        <v>0.0404992060634786</v>
      </c>
      <c r="E110" s="33" t="n">
        <v>0.0443194938238104</v>
      </c>
      <c r="F110" s="33" t="n">
        <v>0.0105399976810909</v>
      </c>
      <c r="G110" s="33" t="n">
        <v>0.00387341554300358</v>
      </c>
      <c r="O110" s="48" t="n">
        <f aca="false" t="array" ref="O110:O110">PRODUCT(1+C105:C110)-1</f>
        <v>-0.0180689013932265</v>
      </c>
      <c r="P110" s="48" t="n">
        <f aca="false" t="array" ref="P110:P110">PRODUCT(1+D105:D110)-1</f>
        <v>-0.00373930131254208</v>
      </c>
      <c r="Q110" s="48" t="n">
        <f aca="false" t="array" ref="Q110:Q110">PRODUCT(1+E105:E110)-1</f>
        <v>-0.112926245168368</v>
      </c>
      <c r="R110" s="48" t="n">
        <f aca="false" t="array" ref="R110:R110">PRODUCT(1+F105:F110)-1</f>
        <v>0.0084003893428688</v>
      </c>
      <c r="S110" s="48" t="n">
        <f aca="false" t="array" ref="S110:S110">PRODUCT(1+G105:G110)-1</f>
        <v>0.0805291420673757</v>
      </c>
    </row>
    <row r="111" customFormat="false" ht="15" hidden="false" customHeight="false" outlineLevel="0" collapsed="false">
      <c r="B111" s="46" t="n">
        <v>44075</v>
      </c>
      <c r="C111" s="33" t="n">
        <v>-0.00767691282557563</v>
      </c>
      <c r="D111" s="33" t="n">
        <v>-0.0375187438008973</v>
      </c>
      <c r="E111" s="33" t="n">
        <v>-0.0149046400779376</v>
      </c>
      <c r="F111" s="33" t="n">
        <v>-0.00698545260798951</v>
      </c>
      <c r="G111" s="33" t="n">
        <v>-0.0147832336191811</v>
      </c>
      <c r="O111" s="48" t="n">
        <f aca="false" t="array" ref="O111:O111">PRODUCT(1+C106:C111)-1</f>
        <v>0.0800109885821752</v>
      </c>
      <c r="P111" s="48" t="n">
        <f aca="false" t="array" ref="P111:P111">PRODUCT(1+D106:D111)-1</f>
        <v>0.0714915819506967</v>
      </c>
      <c r="Q111" s="48" t="n">
        <f aca="false" t="array" ref="Q111:Q111">PRODUCT(1+E106:E111)-1</f>
        <v>0.383213604726412</v>
      </c>
      <c r="R111" s="48" t="n">
        <f aca="false" t="array" ref="R111:R111">PRODUCT(1+F106:F111)-1</f>
        <v>0.10821725773496</v>
      </c>
      <c r="S111" s="48" t="n">
        <f aca="false" t="array" ref="S111:S111">PRODUCT(1+G106:G111)-1</f>
        <v>0.0645107881464939</v>
      </c>
    </row>
    <row r="112" customFormat="false" ht="15" hidden="false" customHeight="false" outlineLevel="0" collapsed="false">
      <c r="B112" s="46" t="n">
        <v>44105</v>
      </c>
      <c r="C112" s="33" t="n">
        <v>0.0154971711705983</v>
      </c>
      <c r="D112" s="33" t="n">
        <v>-0.0272718203965847</v>
      </c>
      <c r="E112" s="33" t="n">
        <v>-0.0276258986050716</v>
      </c>
      <c r="F112" s="33" t="n">
        <v>-0.00186852130566854</v>
      </c>
      <c r="G112" s="33" t="n">
        <v>-0.0055582030601995</v>
      </c>
      <c r="O112" s="48" t="n">
        <f aca="false" t="array" ref="O112:O112">PRODUCT(1+C107:C112)-1</f>
        <v>0.0540526991712924</v>
      </c>
      <c r="P112" s="48" t="n">
        <f aca="false" t="array" ref="P112:P112">PRODUCT(1+D107:D112)-1</f>
        <v>0.00651451680597526</v>
      </c>
      <c r="Q112" s="48" t="n">
        <f aca="false" t="array" ref="Q112:Q112">PRODUCT(1+E107:E112)-1</f>
        <v>0.124421488898564</v>
      </c>
      <c r="R112" s="48" t="n">
        <f aca="false" t="array" ref="R112:R112">PRODUCT(1+F107:F112)-1</f>
        <v>0.0603467837848086</v>
      </c>
      <c r="S112" s="48" t="n">
        <f aca="false" t="array" ref="S112:S112">PRODUCT(1+G107:G112)-1</f>
        <v>0.0735052960168003</v>
      </c>
    </row>
    <row r="113" customFormat="false" ht="15" hidden="false" customHeight="false" outlineLevel="0" collapsed="false">
      <c r="B113" s="46" t="n">
        <v>44136</v>
      </c>
      <c r="C113" s="33" t="n">
        <v>0.0272664942941672</v>
      </c>
      <c r="D113" s="33" t="n">
        <v>0.00591655233718036</v>
      </c>
      <c r="E113" s="33" t="n">
        <v>0.206571211443952</v>
      </c>
      <c r="F113" s="33" t="n">
        <v>0.0353712457554229</v>
      </c>
      <c r="G113" s="33" t="n">
        <v>0.02523593703772</v>
      </c>
      <c r="O113" s="48" t="n">
        <f aca="false" t="array" ref="O113:O113">PRODUCT(1+C108:C113)-1</f>
        <v>0.0320008552547502</v>
      </c>
      <c r="P113" s="48" t="n">
        <f aca="false" t="array" ref="P113:P113">PRODUCT(1+D108:D113)-1</f>
        <v>0.00112210776885746</v>
      </c>
      <c r="Q113" s="48" t="n">
        <f aca="false" t="array" ref="Q113:Q113">PRODUCT(1+E108:E113)-1</f>
        <v>0.198118321203499</v>
      </c>
      <c r="R113" s="48" t="n">
        <f aca="false" t="array" ref="R113:R113">PRODUCT(1+F108:F113)-1</f>
        <v>0.0684864143171382</v>
      </c>
      <c r="S113" s="48" t="n">
        <f aca="false" t="array" ref="S113:S113">PRODUCT(1+G108:G113)-1</f>
        <v>0.0775391469980291</v>
      </c>
    </row>
    <row r="114" customFormat="false" ht="15" hidden="false" customHeight="false" outlineLevel="0" collapsed="false">
      <c r="B114" s="46" t="n">
        <v>44166</v>
      </c>
      <c r="C114" s="33" t="n">
        <v>0.00881003759737579</v>
      </c>
      <c r="D114" s="33" t="n">
        <v>0.014211990156132</v>
      </c>
      <c r="E114" s="33" t="n">
        <v>0.0368257901249045</v>
      </c>
      <c r="F114" s="33" t="n">
        <v>0.0146823793025174</v>
      </c>
      <c r="G114" s="33" t="n">
        <v>0.0274349061762096</v>
      </c>
      <c r="O114" s="48" t="n">
        <f aca="false" t="array" ref="O114:O114">PRODUCT(1+C109:C114)-1</f>
        <v>0.0304858980937408</v>
      </c>
      <c r="P114" s="48" t="n">
        <f aca="false" t="array" ref="P114:P114">PRODUCT(1+D109:D114)-1</f>
        <v>0.0138330491031107</v>
      </c>
      <c r="Q114" s="48" t="n">
        <f aca="false" t="array" ref="Q114:Q114">PRODUCT(1+E109:E114)-1</f>
        <v>0.231745849856235</v>
      </c>
      <c r="R114" s="48" t="n">
        <f aca="false" t="array" ref="R114:R114">PRODUCT(1+F109:F114)-1</f>
        <v>0.0784347003281427</v>
      </c>
      <c r="S114" s="48" t="n">
        <f aca="false" t="array" ref="S114:S114">PRODUCT(1+G109:G114)-1</f>
        <v>0.0935961055818979</v>
      </c>
    </row>
    <row r="115" customFormat="false" ht="15" hidden="false" customHeight="false" outlineLevel="0" collapsed="false">
      <c r="B115" s="46" t="n">
        <v>44197</v>
      </c>
      <c r="C115" s="33" t="n">
        <v>-0.00696459601371817</v>
      </c>
      <c r="D115" s="33" t="n">
        <v>-0.017307307656635</v>
      </c>
      <c r="E115" s="33" t="n">
        <v>0.0223341694657183</v>
      </c>
      <c r="F115" s="33" t="n">
        <v>-0.00184020173774076</v>
      </c>
      <c r="G115" s="33" t="n">
        <v>-0.0130810520473108</v>
      </c>
      <c r="O115" s="48" t="n">
        <f aca="false" t="array" ref="O115:O115">PRODUCT(1+C110:C115)-1</f>
        <v>0.0377102024655192</v>
      </c>
      <c r="P115" s="48" t="n">
        <f aca="false" t="array" ref="P115:P115">PRODUCT(1+D110:D115)-1</f>
        <v>-0.0233612477708465</v>
      </c>
      <c r="Q115" s="48" t="n">
        <f aca="false" t="array" ref="Q115:Q115">PRODUCT(1+E110:E115)-1</f>
        <v>0.27937148897537</v>
      </c>
      <c r="R115" s="48" t="n">
        <f aca="false" t="array" ref="R115:R115">PRODUCT(1+F110:F115)-1</f>
        <v>0.0503236960020759</v>
      </c>
      <c r="S115" s="48" t="n">
        <f aca="false" t="array" ref="S115:S115">PRODUCT(1+G110:G115)-1</f>
        <v>0.0224680392510659</v>
      </c>
    </row>
    <row r="116" customFormat="false" ht="15" hidden="false" customHeight="false" outlineLevel="0" collapsed="false">
      <c r="B116" s="46" t="n">
        <v>44228</v>
      </c>
      <c r="C116" s="33" t="n">
        <v>-0.0128604840178358</v>
      </c>
      <c r="D116" s="33" t="n">
        <v>-0.0325365142293017</v>
      </c>
      <c r="E116" s="33" t="n">
        <v>0.0825879477411919</v>
      </c>
      <c r="F116" s="33" t="n">
        <v>0.000995763222182274</v>
      </c>
      <c r="G116" s="33" t="n">
        <v>-0.00538715175550619</v>
      </c>
      <c r="O116" s="48" t="n">
        <f aca="false" t="array" ref="O116:O116">PRODUCT(1+C111:C116)-1</f>
        <v>0.0236879741724729</v>
      </c>
      <c r="P116" s="48" t="n">
        <f aca="false" t="array" ref="P116:P116">PRODUCT(1+D111:D116)-1</f>
        <v>-0.0919144137119904</v>
      </c>
      <c r="Q116" s="48" t="n">
        <f aca="false" t="array" ref="Q116:Q116">PRODUCT(1+E111:E116)-1</f>
        <v>0.326253280571348</v>
      </c>
      <c r="R116" s="48" t="n">
        <f aca="false" t="array" ref="R116:R116">PRODUCT(1+F111:F116)-1</f>
        <v>0.0404037169459328</v>
      </c>
      <c r="S116" s="48" t="n">
        <f aca="false" t="array" ref="S116:S116">PRODUCT(1+G111:G116)-1</f>
        <v>0.0130359396043807</v>
      </c>
    </row>
    <row r="117" customFormat="false" ht="15" hidden="false" customHeight="false" outlineLevel="0" collapsed="false">
      <c r="B117" s="46" t="n">
        <v>44256</v>
      </c>
      <c r="C117" s="33" t="n">
        <v>0.0314968519546645</v>
      </c>
      <c r="D117" s="33" t="n">
        <v>-0.00467560243452403</v>
      </c>
      <c r="E117" s="33" t="n">
        <v>0.0441254042127607</v>
      </c>
      <c r="F117" s="33" t="n">
        <v>0.00744495785356299</v>
      </c>
      <c r="G117" s="33" t="n">
        <v>-0.0289890230868156</v>
      </c>
      <c r="O117" s="48" t="n">
        <f aca="false" t="array" ref="O117:O117">PRODUCT(1+C112:C117)-1</f>
        <v>0.0640999251054901</v>
      </c>
      <c r="P117" s="48" t="n">
        <f aca="false" t="array" ref="P117:P117">PRODUCT(1+D112:D117)-1</f>
        <v>-0.0609274380268728</v>
      </c>
      <c r="Q117" s="48" t="n">
        <f aca="false" t="array" ref="Q117:Q117">PRODUCT(1+E112:E117)-1</f>
        <v>0.405726591560251</v>
      </c>
      <c r="R117" s="48" t="n">
        <f aca="false" t="array" ref="R117:R117">PRODUCT(1+F112:F117)-1</f>
        <v>0.0555227831476162</v>
      </c>
      <c r="S117" s="48" t="n">
        <f aca="false" t="array" ref="S117:S117">PRODUCT(1+G112:G117)-1</f>
        <v>-0.0015709730794462</v>
      </c>
    </row>
    <row r="118" customFormat="false" ht="15" hidden="false" customHeight="false" outlineLevel="0" collapsed="false">
      <c r="B118" s="46" t="n">
        <v>44287</v>
      </c>
      <c r="C118" s="33" t="n">
        <v>0.0223861233369956</v>
      </c>
      <c r="D118" s="33" t="n">
        <v>0.00379602082581348</v>
      </c>
      <c r="E118" s="33" t="n">
        <v>0.0447864167362438</v>
      </c>
      <c r="F118" s="33" t="n">
        <v>0.00372424238822355</v>
      </c>
      <c r="G118" s="33" t="n">
        <v>0.034416692629762</v>
      </c>
      <c r="O118" s="48" t="n">
        <f aca="false" t="array" ref="O118:O118">PRODUCT(1+C113:C118)-1</f>
        <v>0.0713185897088275</v>
      </c>
      <c r="P118" s="48" t="n">
        <f aca="false" t="array" ref="P118:P118">PRODUCT(1+D113:D118)-1</f>
        <v>-0.0309345192820016</v>
      </c>
      <c r="Q118" s="48" t="n">
        <f aca="false" t="array" ref="Q118:Q118">PRODUCT(1+E113:E118)-1</f>
        <v>0.510410495713711</v>
      </c>
      <c r="R118" s="48" t="n">
        <f aca="false" t="array" ref="R118:R118">PRODUCT(1+F113:F118)-1</f>
        <v>0.0614371237186464</v>
      </c>
      <c r="S118" s="48" t="n">
        <f aca="false" t="array" ref="S118:S118">PRODUCT(1+G113:G118)-1</f>
        <v>0.0385642025817143</v>
      </c>
    </row>
    <row r="119" customFormat="false" ht="15" hidden="false" customHeight="false" outlineLevel="0" collapsed="false">
      <c r="B119" s="46" t="n">
        <v>44317</v>
      </c>
      <c r="C119" s="33" t="n">
        <v>0.01735943144658</v>
      </c>
      <c r="D119" s="33" t="n">
        <v>-0.00518847382240872</v>
      </c>
      <c r="E119" s="33" t="n">
        <v>0.0146481732670611</v>
      </c>
      <c r="F119" s="33" t="n">
        <v>0.00319316438424585</v>
      </c>
      <c r="G119" s="33" t="n">
        <v>0.00519299136867191</v>
      </c>
      <c r="O119" s="48" t="n">
        <f aca="false" t="array" ref="O119:O119">PRODUCT(1+C114:C119)-1</f>
        <v>0.0609866839599436</v>
      </c>
      <c r="P119" s="48" t="n">
        <f aca="false" t="array" ref="P119:P119">PRODUCT(1+D114:D119)-1</f>
        <v>-0.0416327203293198</v>
      </c>
      <c r="Q119" s="48" t="n">
        <f aca="false" t="array" ref="Q119:Q119">PRODUCT(1+E114:E119)-1</f>
        <v>0.270157315062463</v>
      </c>
      <c r="R119" s="48" t="n">
        <f aca="false" t="array" ref="R119:R119">PRODUCT(1+F114:F119)-1</f>
        <v>0.0284489465045041</v>
      </c>
      <c r="S119" s="48" t="n">
        <f aca="false" t="array" ref="S119:S119">PRODUCT(1+G114:G119)-1</f>
        <v>0.0182606947410622</v>
      </c>
    </row>
    <row r="120" customFormat="false" ht="15" hidden="false" customHeight="false" outlineLevel="0" collapsed="false">
      <c r="B120" s="46" t="n">
        <v>44348</v>
      </c>
      <c r="C120" s="33" t="n">
        <v>-0.0140374139406677</v>
      </c>
      <c r="D120" s="33" t="n">
        <v>0.0269606551926025</v>
      </c>
      <c r="E120" s="33" t="n">
        <v>0.0154175421442343</v>
      </c>
      <c r="F120" s="33" t="n">
        <v>0.00551219847423701</v>
      </c>
      <c r="G120" s="33" t="n">
        <v>-0.0236372419876449</v>
      </c>
      <c r="O120" s="48" t="n">
        <f aca="false" t="array" ref="O120:O120">PRODUCT(1+C115:C120)-1</f>
        <v>0.0369575397793231</v>
      </c>
      <c r="P120" s="48" t="n">
        <f aca="false" t="array" ref="P120:P120">PRODUCT(1+D115:D120)-1</f>
        <v>-0.0295860244225261</v>
      </c>
      <c r="Q120" s="48" t="n">
        <f aca="false" t="array" ref="Q120:Q120">PRODUCT(1+E115:E120)-1</f>
        <v>0.243931267220767</v>
      </c>
      <c r="R120" s="48" t="n">
        <f aca="false" t="array" ref="R120:R120">PRODUCT(1+F115:F120)-1</f>
        <v>0.0191543504767469</v>
      </c>
      <c r="S120" s="48" t="n">
        <f aca="false" t="array" ref="S120:S120">PRODUCT(1+G115:G120)-1</f>
        <v>-0.0323554180254299</v>
      </c>
    </row>
    <row r="121" customFormat="false" ht="15" hidden="false" customHeight="false" outlineLevel="0" collapsed="false">
      <c r="B121" s="46" t="n">
        <v>44378</v>
      </c>
      <c r="C121" s="33" t="n">
        <v>0.00659346084286444</v>
      </c>
      <c r="D121" s="33" t="n">
        <v>0.0303466980708292</v>
      </c>
      <c r="E121" s="33" t="n">
        <v>0.0132020391558448</v>
      </c>
      <c r="F121" s="33" t="n">
        <v>0.000662807556820466</v>
      </c>
      <c r="G121" s="33" t="n">
        <v>-0.00286727014187915</v>
      </c>
      <c r="O121" s="48" t="n">
        <f aca="false" t="array" ref="O121:O121">PRODUCT(1+C116:C121)-1</f>
        <v>0.051115271946528</v>
      </c>
      <c r="P121" s="48" t="n">
        <f aca="false" t="array" ref="P121:P121">PRODUCT(1+D116:D121)-1</f>
        <v>0.0174725458817924</v>
      </c>
      <c r="Q121" s="48" t="n">
        <f aca="false" t="array" ref="Q121:Q121">PRODUCT(1+E116:E121)-1</f>
        <v>0.232819692582973</v>
      </c>
      <c r="R121" s="48" t="n">
        <f aca="false" t="array" ref="R121:R121">PRODUCT(1+F116:F121)-1</f>
        <v>0.0217100062107052</v>
      </c>
      <c r="S121" s="48" t="n">
        <f aca="false" t="array" ref="S121:S121">PRODUCT(1+G116:G121)-1</f>
        <v>-0.022341109613616</v>
      </c>
    </row>
    <row r="122" customFormat="false" ht="15" hidden="false" customHeight="false" outlineLevel="0" collapsed="false">
      <c r="B122" s="46" t="n">
        <v>44409</v>
      </c>
      <c r="C122" s="33" t="n">
        <v>0.0253442591214504</v>
      </c>
      <c r="D122" s="33" t="n">
        <v>0.0127167854418919</v>
      </c>
      <c r="E122" s="33" t="n">
        <v>0.00443841611850737</v>
      </c>
      <c r="F122" s="33" t="n">
        <v>0.00522326020483876</v>
      </c>
      <c r="G122" s="33" t="n">
        <v>-0.00597392338696634</v>
      </c>
      <c r="O122" s="48" t="n">
        <f aca="false" t="array" ref="O122:O122">PRODUCT(1+C117:C122)-1</f>
        <v>0.0917960352270282</v>
      </c>
      <c r="P122" s="48" t="n">
        <f aca="false" t="array" ref="P122:P122">PRODUCT(1+D117:D122)-1</f>
        <v>0.0650650294258321</v>
      </c>
      <c r="Q122" s="48" t="n">
        <f aca="false" t="array" ref="Q122:Q122">PRODUCT(1+E117:E122)-1</f>
        <v>0.143825277162403</v>
      </c>
      <c r="R122" s="48" t="n">
        <f aca="false" t="array" ref="R122:R122">PRODUCT(1+F117:F122)-1</f>
        <v>0.0260249854814487</v>
      </c>
      <c r="S122" s="48" t="n">
        <f aca="false" t="array" ref="S122:S122">PRODUCT(1+G117:G122)-1</f>
        <v>-0.0229178792613601</v>
      </c>
    </row>
    <row r="123" customFormat="false" ht="15" hidden="false" customHeight="false" outlineLevel="0" collapsed="false">
      <c r="B123" s="46" t="n">
        <v>44440</v>
      </c>
      <c r="C123" s="33" t="n">
        <v>-0.0246821924164529</v>
      </c>
      <c r="D123" s="33" t="n">
        <v>-0.0632399038081078</v>
      </c>
      <c r="E123" s="33" t="n">
        <v>0.0207035047070471</v>
      </c>
      <c r="F123" s="33" t="n">
        <v>-0.00151822118195832</v>
      </c>
      <c r="G123" s="33" t="n">
        <v>-0.0165554411542245</v>
      </c>
      <c r="O123" s="48" t="n">
        <f aca="false" t="array" ref="O123:O123">PRODUCT(1+C118:C123)-1</f>
        <v>0.0323328795314986</v>
      </c>
      <c r="P123" s="48" t="n">
        <f aca="false" t="array" ref="P123:P123">PRODUCT(1+D118:D123)-1</f>
        <v>0.00239723034612971</v>
      </c>
      <c r="Q123" s="48" t="n">
        <f aca="false" t="array" ref="Q123:Q123">PRODUCT(1+E118:E123)-1</f>
        <v>0.118166902616874</v>
      </c>
      <c r="R123" s="48" t="n">
        <f aca="false" t="array" ref="R123:R123">PRODUCT(1+F118:F123)-1</f>
        <v>0.0168965010237152</v>
      </c>
      <c r="S123" s="48" t="n">
        <f aca="false" t="array" ref="S123:S123">PRODUCT(1+G118:G123)-1</f>
        <v>-0.0104065576677629</v>
      </c>
    </row>
    <row r="124" customFormat="false" ht="15" hidden="false" customHeight="false" outlineLevel="0" collapsed="false">
      <c r="B124" s="46" t="n">
        <v>44470</v>
      </c>
      <c r="C124" s="33" t="n">
        <v>0.0474213335165355</v>
      </c>
      <c r="D124" s="33" t="n">
        <v>0.0421630497212479</v>
      </c>
      <c r="E124" s="33" t="n">
        <v>0.0502473762961175</v>
      </c>
      <c r="F124" s="33" t="n">
        <v>-0.00235954959833991</v>
      </c>
      <c r="G124" s="33" t="n">
        <v>-0.00346851136066939</v>
      </c>
      <c r="O124" s="48" t="n">
        <f aca="false" t="array" ref="O124:O124">PRODUCT(1+C119:C124)-1</f>
        <v>0.0576116563305864</v>
      </c>
      <c r="P124" s="48" t="n">
        <f aca="false" t="array" ref="P124:P124">PRODUCT(1+D119:D124)-1</f>
        <v>0.0407107947591001</v>
      </c>
      <c r="Q124" s="48" t="n">
        <f aca="false" t="array" ref="Q124:Q124">PRODUCT(1+E119:E124)-1</f>
        <v>0.124011412210954</v>
      </c>
      <c r="R124" s="48" t="n">
        <f aca="false" t="array" ref="R124:R124">PRODUCT(1+F119:F124)-1</f>
        <v>0.0107328690989021</v>
      </c>
      <c r="S124" s="48" t="n">
        <f aca="false" t="array" ref="S124:S124">PRODUCT(1+G119:G124)-1</f>
        <v>-0.0466501234352855</v>
      </c>
    </row>
    <row r="125" customFormat="false" ht="15" hidden="false" customHeight="false" outlineLevel="0" collapsed="false">
      <c r="B125" s="46" t="n">
        <v>44501</v>
      </c>
      <c r="C125" s="33" t="n">
        <v>0.0015683634331987</v>
      </c>
      <c r="D125" s="33" t="n">
        <v>-0.00985209076372856</v>
      </c>
      <c r="E125" s="33" t="n">
        <v>-0.03947109785197</v>
      </c>
      <c r="F125" s="33" t="n">
        <v>-0.00960101103677125</v>
      </c>
      <c r="G125" s="33" t="n">
        <v>-0.0231740932216157</v>
      </c>
      <c r="O125" s="48" t="n">
        <f aca="false" t="array" ref="O125:O125">PRODUCT(1+C120:C125)-1</f>
        <v>0.0411958085184574</v>
      </c>
      <c r="P125" s="48" t="n">
        <f aca="false" t="array" ref="P125:P125">PRODUCT(1+D120:D125)-1</f>
        <v>0.0358320047916159</v>
      </c>
      <c r="Q125" s="48" t="n">
        <f aca="false" t="array" ref="Q125:Q125">PRODUCT(1+E120:E125)-1</f>
        <v>0.0640589282258297</v>
      </c>
      <c r="R125" s="48" t="n">
        <f aca="false" t="array" ref="R125:R125">PRODUCT(1+F120:F125)-1</f>
        <v>-0.0021574635809225</v>
      </c>
      <c r="S125" s="48" t="n">
        <f aca="false" t="array" ref="S125:S125">PRODUCT(1+G120:G125)-1</f>
        <v>-0.0735541675590201</v>
      </c>
    </row>
    <row r="126" customFormat="false" ht="15" hidden="false" customHeight="false" outlineLevel="0" collapsed="false">
      <c r="B126" s="46" t="n">
        <v>44531</v>
      </c>
      <c r="C126" s="33" t="n">
        <v>0.0379135513638284</v>
      </c>
      <c r="D126" s="33" t="n">
        <v>0.0112505075694446</v>
      </c>
      <c r="E126" s="33" t="n">
        <v>0.0458652821864677</v>
      </c>
      <c r="F126" s="33" t="n">
        <v>0.0188096855485847</v>
      </c>
      <c r="G126" s="33" t="n">
        <v>0.0027972405907688</v>
      </c>
      <c r="O126" s="48" t="n">
        <f aca="false" t="array" ref="O126:O126">PRODUCT(1+C121:C126)-1</f>
        <v>0.0960570457381365</v>
      </c>
      <c r="P126" s="48" t="n">
        <f aca="false" t="array" ref="P126:P126">PRODUCT(1+D121:D126)-1</f>
        <v>0.0199861458234205</v>
      </c>
      <c r="Q126" s="48" t="n">
        <f aca="false" t="array" ref="Q126:Q126">PRODUCT(1+E121:E126)-1</f>
        <v>0.09596520154845</v>
      </c>
      <c r="R126" s="48" t="n">
        <f aca="false" t="array" ref="R126:R126">PRODUCT(1+F121:F126)-1</f>
        <v>0.0110385953534204</v>
      </c>
      <c r="S126" s="48" t="n">
        <f aca="false" t="array" ref="S126:S126">PRODUCT(1+G121:G126)-1</f>
        <v>-0.0484711581790216</v>
      </c>
    </row>
    <row r="127" customFormat="false" ht="15" hidden="false" customHeight="false" outlineLevel="0" collapsed="false">
      <c r="B127" s="46" t="n">
        <v>44562</v>
      </c>
      <c r="C127" s="33" t="n">
        <v>-0.0214901146395965</v>
      </c>
      <c r="D127" s="33" t="n">
        <v>-0.0388021932133391</v>
      </c>
      <c r="E127" s="33" t="n">
        <v>0.0325125889026502</v>
      </c>
      <c r="F127" s="33" t="n">
        <v>-0.0175309032741648</v>
      </c>
      <c r="G127" s="33" t="n">
        <v>-0.0152452779027469</v>
      </c>
      <c r="O127" s="48" t="n">
        <f aca="false" t="array" ref="O127:O127">PRODUCT(1+C122:C127)-1</f>
        <v>0.0654774701950016</v>
      </c>
      <c r="P127" s="48" t="n">
        <f aca="false" t="array" ref="P127:P127">PRODUCT(1+D122:D127)-1</f>
        <v>-0.0484674254268787</v>
      </c>
      <c r="Q127" s="48" t="n">
        <f aca="false" t="array" ref="Q127:Q127">PRODUCT(1+E122:E127)-1</f>
        <v>0.116853128859474</v>
      </c>
      <c r="R127" s="48" t="n">
        <f aca="false" t="array" ref="R127:R127">PRODUCT(1+F122:F127)-1</f>
        <v>-0.00734376452236718</v>
      </c>
      <c r="S127" s="48" t="n">
        <f aca="false" t="array" ref="S127:S127">PRODUCT(1+G122:G127)-1</f>
        <v>-0.0602830574739384</v>
      </c>
    </row>
    <row r="128" customFormat="false" ht="15" hidden="false" customHeight="false" outlineLevel="0" collapsed="false">
      <c r="B128" s="46" t="n">
        <v>44593</v>
      </c>
      <c r="C128" s="33" t="n">
        <v>-0.00446421349026839</v>
      </c>
      <c r="D128" s="33" t="n">
        <v>0.00194653477235812</v>
      </c>
      <c r="E128" s="33" t="n">
        <v>-0.0061665009062466</v>
      </c>
      <c r="F128" s="33" t="n">
        <v>-0.0115837672393098</v>
      </c>
      <c r="G128" s="33" t="n">
        <v>0.00257159318417699</v>
      </c>
      <c r="O128" s="48" t="n">
        <f aca="false" t="array" ref="O128:O128">PRODUCT(1+C123:C128)-1</f>
        <v>0.0345022580102432</v>
      </c>
      <c r="P128" s="48" t="n">
        <f aca="false" t="array" ref="P128:P128">PRODUCT(1+D123:D128)-1</f>
        <v>-0.0585869815512571</v>
      </c>
      <c r="Q128" s="48" t="n">
        <f aca="false" t="array" ref="Q128:Q128">PRODUCT(1+E123:E128)-1</f>
        <v>0.105061331004748</v>
      </c>
      <c r="R128" s="48" t="n">
        <f aca="false" t="array" ref="R128:R128">PRODUCT(1+F123:F128)-1</f>
        <v>-0.0239406751319349</v>
      </c>
      <c r="S128" s="48" t="n">
        <f aca="false" t="array" ref="S128:S128">PRODUCT(1+G123:G128)-1</f>
        <v>-0.0522044296658001</v>
      </c>
    </row>
    <row r="129" customFormat="false" ht="15" hidden="false" customHeight="false" outlineLevel="0" collapsed="false">
      <c r="B129" s="46" t="n">
        <v>44621</v>
      </c>
      <c r="C129" s="33" t="n">
        <v>0.0470879682410575</v>
      </c>
      <c r="D129" s="33" t="n">
        <v>0.0236921564093935</v>
      </c>
      <c r="E129" s="33" t="n">
        <v>-7.27999773540433E-005</v>
      </c>
      <c r="F129" s="33" t="n">
        <v>-0.00410769344236099</v>
      </c>
      <c r="G129" s="33" t="n">
        <v>-0.00171888280507349</v>
      </c>
      <c r="O129" s="48" t="n">
        <f aca="false" t="array" ref="O129:O129">PRODUCT(1+C124:C129)-1</f>
        <v>0.110627591394554</v>
      </c>
      <c r="P129" s="48" t="n">
        <f aca="false" t="array" ref="P129:P129">PRODUCT(1+D124:D129)-1</f>
        <v>0.0287768734442926</v>
      </c>
      <c r="Q129" s="48" t="n">
        <f aca="false" t="array" ref="Q129:Q129">PRODUCT(1+E124:E129)-1</f>
        <v>0.0825679322831532</v>
      </c>
      <c r="R129" s="48" t="n">
        <f aca="false" t="array" ref="R129:R129">PRODUCT(1+F124:F129)-1</f>
        <v>-0.026471996784339</v>
      </c>
      <c r="S129" s="48" t="n">
        <f aca="false" t="array" ref="S129:S129">PRODUCT(1+G124:G129)-1</f>
        <v>-0.0379056833299272</v>
      </c>
    </row>
    <row r="130" customFormat="false" ht="15" hidden="false" customHeight="false" outlineLevel="0" collapsed="false">
      <c r="B130" s="46" t="n">
        <v>44652</v>
      </c>
      <c r="C130" s="33" t="n">
        <v>-0.00511171048250096</v>
      </c>
      <c r="D130" s="33" t="n">
        <v>0.015458947808203</v>
      </c>
      <c r="E130" s="33" t="n">
        <v>-0.0388050290542464</v>
      </c>
      <c r="F130" s="33" t="n">
        <v>-0.0284361864618561</v>
      </c>
      <c r="G130" s="33" t="n">
        <v>-0.0551465915700422</v>
      </c>
      <c r="O130" s="48" t="n">
        <f aca="false" t="array" ref="O130:O130">PRODUCT(1+C125:C130)-1</f>
        <v>0.0549244600391976</v>
      </c>
      <c r="P130" s="48" t="n">
        <f aca="false" t="array" ref="P130:P130">PRODUCT(1+D125:D130)-1</f>
        <v>0.00241577526336201</v>
      </c>
      <c r="Q130" s="48" t="n">
        <f aca="false" t="array" ref="Q130:Q130">PRODUCT(1+E125:E130)-1</f>
        <v>-0.00922499241328834</v>
      </c>
      <c r="R130" s="48" t="n">
        <f aca="false" t="array" ref="R130:R130">PRODUCT(1+F125:F130)-1</f>
        <v>-0.0519183749921373</v>
      </c>
      <c r="S130" s="48" t="n">
        <f aca="false" t="array" ref="S130:S130">PRODUCT(1+G125:G130)-1</f>
        <v>-0.0877979223937871</v>
      </c>
    </row>
    <row r="131" customFormat="false" ht="15" hidden="false" customHeight="false" outlineLevel="0" collapsed="false">
      <c r="B131" s="46" t="n">
        <v>44682</v>
      </c>
      <c r="C131" s="33" t="n">
        <v>0.00432336530059855</v>
      </c>
      <c r="D131" s="33" t="n">
        <v>-0.0215920820626888</v>
      </c>
      <c r="E131" s="33" t="n">
        <v>-0.0389481827928073</v>
      </c>
      <c r="F131" s="33" t="n">
        <v>-0.00308496709831877</v>
      </c>
      <c r="G131" s="33" t="n">
        <v>0.0215470410119911</v>
      </c>
      <c r="O131" s="48" t="n">
        <f aca="false" t="array" ref="O131:O131">PRODUCT(1+C126:C131)-1</f>
        <v>0.0578262278700137</v>
      </c>
      <c r="P131" s="48" t="n">
        <f aca="false" t="array" ref="P131:P131">PRODUCT(1+D126:D131)-1</f>
        <v>-0.00946967373850471</v>
      </c>
      <c r="Q131" s="48" t="n">
        <f aca="false" t="array" ref="Q131:Q131">PRODUCT(1+E126:E131)-1</f>
        <v>-0.00868561127592704</v>
      </c>
      <c r="R131" s="48" t="n">
        <f aca="false" t="array" ref="R131:R131">PRODUCT(1+F126:F131)-1</f>
        <v>-0.0456807459207892</v>
      </c>
      <c r="S131" s="48" t="n">
        <f aca="false" t="array" ref="S131:S131">PRODUCT(1+G126:G131)-1</f>
        <v>-0.0460354022991418</v>
      </c>
    </row>
    <row r="132" customFormat="false" ht="15" hidden="false" customHeight="false" outlineLevel="0" collapsed="false">
      <c r="B132" s="46" t="n">
        <v>44713</v>
      </c>
      <c r="C132" s="33" t="n">
        <v>-0.0491885466029875</v>
      </c>
      <c r="D132" s="33" t="n">
        <v>-0.0447032497971828</v>
      </c>
      <c r="E132" s="33" t="n">
        <v>-0.0595595622993524</v>
      </c>
      <c r="F132" s="33" t="n">
        <v>-0.0562040482850513</v>
      </c>
      <c r="G132" s="33" t="n">
        <v>-0.0303473305670816</v>
      </c>
      <c r="O132" s="48" t="n">
        <f aca="false" t="array" ref="O132:O132">PRODUCT(1+C127:C132)-1</f>
        <v>-0.0309469494439639</v>
      </c>
      <c r="P132" s="48" t="n">
        <f aca="false" t="array" ref="P132:P132">PRODUCT(1+D127:D132)-1</f>
        <v>-0.0642769575174115</v>
      </c>
      <c r="Q132" s="48" t="n">
        <f aca="false" t="array" ref="Q132:Q132">PRODUCT(1+E127:E132)-1</f>
        <v>-0.108611640992972</v>
      </c>
      <c r="R132" s="48" t="n">
        <f aca="false" t="array" ref="R132:R132">PRODUCT(1+F127:F132)-1</f>
        <v>-0.115946126720801</v>
      </c>
      <c r="S132" s="48" t="n">
        <f aca="false" t="array" ref="S132:S132">PRODUCT(1+G127:G132)-1</f>
        <v>-0.0775659512583102</v>
      </c>
    </row>
    <row r="133" customFormat="false" ht="15" hidden="false" customHeight="false" outlineLevel="0" collapsed="false">
      <c r="B133" s="46" t="n">
        <v>44743</v>
      </c>
      <c r="C133" s="33" t="n">
        <v>0.0271955255505392</v>
      </c>
      <c r="D133" s="33" t="n">
        <v>-0.00682821507591791</v>
      </c>
      <c r="E133" s="33" t="n">
        <v>0.082808850683413</v>
      </c>
      <c r="F133" s="33" t="n">
        <v>0.0571445175956618</v>
      </c>
      <c r="G133" s="33" t="n">
        <v>-0.0210165514200462</v>
      </c>
      <c r="O133" s="48" t="n">
        <f aca="false" t="array" ref="O133:O133">PRODUCT(1+C128:C133)-1</f>
        <v>0.0172681670820667</v>
      </c>
      <c r="P133" s="48" t="n">
        <f aca="false" t="array" ref="P133:P133">PRODUCT(1+D128:D133)-1</f>
        <v>-0.0331503903407345</v>
      </c>
      <c r="Q133" s="48" t="n">
        <f aca="false" t="array" ref="Q133:Q133">PRODUCT(1+E128:E133)-1</f>
        <v>-0.0651898922077195</v>
      </c>
      <c r="R133" s="48" t="n">
        <f aca="false" t="array" ref="R133:R133">PRODUCT(1+F128:F133)-1</f>
        <v>-0.0487510411158371</v>
      </c>
      <c r="S133" s="48" t="n">
        <f aca="false" t="array" ref="S133:S133">PRODUCT(1+G128:G133)-1</f>
        <v>-0.0829719869720768</v>
      </c>
    </row>
    <row r="134" customFormat="false" ht="15" hidden="false" customHeight="false" outlineLevel="0" collapsed="false">
      <c r="B134" s="46" t="n">
        <v>44774</v>
      </c>
      <c r="C134" s="33" t="n">
        <v>0.000879590143779511</v>
      </c>
      <c r="D134" s="33" t="n">
        <v>-0.0134195405622939</v>
      </c>
      <c r="E134" s="33" t="n">
        <v>0.00550477650736075</v>
      </c>
      <c r="F134" s="33" t="n">
        <v>-0.0258442527168581</v>
      </c>
      <c r="G134" s="33" t="n">
        <v>-0.0197493595745829</v>
      </c>
      <c r="O134" s="48" t="n">
        <f aca="false" t="array" ref="O134:O134">PRODUCT(1+C129:C134)-1</f>
        <v>0.0227286250602905</v>
      </c>
      <c r="P134" s="48" t="n">
        <f aca="false" t="array" ref="P134:P134">PRODUCT(1+D129:D134)-1</f>
        <v>-0.0479782114107264</v>
      </c>
      <c r="Q134" s="48" t="n">
        <f aca="false" t="array" ref="Q134:Q134">PRODUCT(1+E129:E134)-1</f>
        <v>-0.0542117674946393</v>
      </c>
      <c r="R134" s="48" t="n">
        <f aca="false" t="array" ref="R134:R134">PRODUCT(1+F129:F134)-1</f>
        <v>-0.0624752916027116</v>
      </c>
      <c r="S134" s="48" t="n">
        <f aca="false" t="array" ref="S134:S134">PRODUCT(1+G129:G134)-1</f>
        <v>-0.103388423161183</v>
      </c>
    </row>
    <row r="135" customFormat="false" ht="15" hidden="false" customHeight="false" outlineLevel="0" collapsed="false">
      <c r="B135" s="46" t="n">
        <v>44805</v>
      </c>
      <c r="C135" s="33" t="n">
        <v>-0.086574017565572</v>
      </c>
      <c r="D135" s="33" t="n">
        <v>-0.0930590956351156</v>
      </c>
      <c r="E135" s="33" t="n">
        <v>-0.133223220551382</v>
      </c>
      <c r="F135" s="33" t="n">
        <v>-0.0292118003931201</v>
      </c>
      <c r="G135" s="33" t="n">
        <v>-0.019501804597395</v>
      </c>
      <c r="O135" s="48" t="n">
        <f aca="false" t="array" ref="O135:O135">PRODUCT(1+C130:C135)-1</f>
        <v>-0.107823862517689</v>
      </c>
      <c r="P135" s="48" t="n">
        <f aca="false" t="array" ref="P135:P135">PRODUCT(1+D130:D135)-1</f>
        <v>-0.15655551670269</v>
      </c>
      <c r="Q135" s="48" t="n">
        <f aca="false" t="array" ref="Q135:Q135">PRODUCT(1+E130:E135)-1</f>
        <v>-0.180153036948259</v>
      </c>
      <c r="R135" s="48" t="n">
        <f aca="false" t="array" ref="R135:R135">PRODUCT(1+F130:F135)-1</f>
        <v>-0.0861080884358725</v>
      </c>
      <c r="S135" s="48" t="n">
        <f aca="false" t="array" ref="S135:S135">PRODUCT(1+G130:G135)-1</f>
        <v>-0.119360250409421</v>
      </c>
    </row>
    <row r="136" customFormat="false" ht="15" hidden="false" customHeight="false" outlineLevel="0" collapsed="false">
      <c r="B136" s="46" t="n">
        <v>44835</v>
      </c>
      <c r="C136" s="33" t="n">
        <v>0.00256443141668217</v>
      </c>
      <c r="D136" s="33" t="n">
        <v>-0.00597576843067876</v>
      </c>
      <c r="E136" s="33" t="n">
        <v>0.134423846327136</v>
      </c>
      <c r="F136" s="33" t="n">
        <v>0.0270187224356973</v>
      </c>
      <c r="G136" s="33" t="n">
        <v>0.0127622161996375</v>
      </c>
      <c r="O136" s="48" t="n">
        <f aca="false" t="array" ref="O136:O136">PRODUCT(1+C131:C136)-1</f>
        <v>-0.100940204621081</v>
      </c>
      <c r="P136" s="48" t="n">
        <f aca="false" t="array" ref="P136:P136">PRODUCT(1+D131:D136)-1</f>
        <v>-0.174359282381007</v>
      </c>
      <c r="Q136" s="48" t="n">
        <f aca="false" t="array" ref="Q136:Q136">PRODUCT(1+E131:E136)-1</f>
        <v>-0.0323982403802375</v>
      </c>
      <c r="R136" s="48" t="n">
        <f aca="false" t="array" ref="R136:R136">PRODUCT(1+F131:F136)-1</f>
        <v>-0.033944975738788</v>
      </c>
      <c r="S136" s="48" t="n">
        <f aca="false" t="array" ref="S136:S136">PRODUCT(1+G131:G136)-1</f>
        <v>-0.05606662736089</v>
      </c>
    </row>
    <row r="137" customFormat="false" ht="15" hidden="false" customHeight="false" outlineLevel="0" collapsed="false">
      <c r="B137" s="46" t="n">
        <v>44866</v>
      </c>
      <c r="C137" s="33" t="n">
        <v>0.0266549338036789</v>
      </c>
      <c r="D137" s="33" t="n">
        <v>0.0407645639345047</v>
      </c>
      <c r="E137" s="33" t="n">
        <v>0.0304742029831983</v>
      </c>
      <c r="F137" s="33" t="n">
        <v>0.0266558583773077</v>
      </c>
      <c r="G137" s="33" t="n">
        <v>0.0371167094556653</v>
      </c>
      <c r="O137" s="48" t="n">
        <f aca="false" t="array" ref="O137:O137">PRODUCT(1+C132:C137)-1</f>
        <v>-0.0809492175520309</v>
      </c>
      <c r="P137" s="48" t="n">
        <f aca="false" t="array" ref="P137:P137">PRODUCT(1+D132:D137)-1</f>
        <v>-0.121738913099884</v>
      </c>
      <c r="Q137" s="48" t="n">
        <f aca="false" t="array" ref="Q137:Q137">PRODUCT(1+E132:E137)-1</f>
        <v>0.0374972859911391</v>
      </c>
      <c r="R137" s="48" t="n">
        <f aca="false" t="array" ref="R137:R137">PRODUCT(1+F132:F137)-1</f>
        <v>-0.00512479254546405</v>
      </c>
      <c r="S137" s="48" t="n">
        <f aca="false" t="array" ref="S137:S137">PRODUCT(1+G132:G137)-1</f>
        <v>-0.0416798893499307</v>
      </c>
    </row>
    <row r="138" customFormat="false" ht="15" hidden="false" customHeight="false" outlineLevel="0" collapsed="false">
      <c r="B138" s="46" t="n">
        <v>44896</v>
      </c>
      <c r="C138" s="33" t="n">
        <v>0.00129430277076078</v>
      </c>
      <c r="D138" s="33" t="n">
        <v>0.0226966154525408</v>
      </c>
      <c r="E138" s="33" t="n">
        <v>-0.0454090197135281</v>
      </c>
      <c r="F138" s="33" t="n">
        <v>-0.00892750020516716</v>
      </c>
      <c r="G138" s="33" t="n">
        <v>0.0391266737160394</v>
      </c>
      <c r="O138" s="48" t="n">
        <f aca="false" t="array" ref="O138:O138">PRODUCT(1+C133:C138)-1</f>
        <v>-0.0321526848100411</v>
      </c>
      <c r="P138" s="48" t="n">
        <f aca="false" t="array" ref="P138:P138">PRODUCT(1+D133:D138)-1</f>
        <v>-0.0597742106149479</v>
      </c>
      <c r="Q138" s="48" t="n">
        <f aca="false" t="array" ref="Q138:Q138">PRODUCT(1+E133:E138)-1</f>
        <v>0.0531082156572322</v>
      </c>
      <c r="R138" s="48" t="n">
        <f aca="false" t="array" ref="R138:R138">PRODUCT(1+F133:F138)-1</f>
        <v>0.0447104133517895</v>
      </c>
      <c r="S138" s="48" t="n">
        <f aca="false" t="array" ref="S138:S138">PRODUCT(1+G133:G138)-1</f>
        <v>0.0269821559067909</v>
      </c>
    </row>
    <row r="139" customFormat="false" ht="15" hidden="false" customHeight="false" outlineLevel="0" collapsed="false">
      <c r="B139" s="46" t="n">
        <v>44927</v>
      </c>
      <c r="C139" s="33" t="n">
        <v>0.0215770193598758</v>
      </c>
      <c r="D139" s="33" t="n">
        <v>-0.0390622397975376</v>
      </c>
      <c r="E139" s="33" t="n">
        <v>0.0657066379291862</v>
      </c>
      <c r="F139" s="33" t="n">
        <v>0.0315503118938544</v>
      </c>
      <c r="G139" s="33" t="n">
        <v>0.0113931740070516</v>
      </c>
      <c r="O139" s="48" t="n">
        <f aca="false" t="array" ref="O139:O139">PRODUCT(1+C134:C139)-1</f>
        <v>-0.0374465709269001</v>
      </c>
      <c r="P139" s="48" t="n">
        <f aca="false" t="array" ref="P139:P139">PRODUCT(1+D134:D139)-1</f>
        <v>-0.0902898392292453</v>
      </c>
      <c r="Q139" s="48" t="n">
        <f aca="false" t="array" ref="Q139:Q139">PRODUCT(1+E134:E139)-1</f>
        <v>0.0364751037778577</v>
      </c>
      <c r="R139" s="48" t="n">
        <f aca="false" t="array" ref="R139:R139">PRODUCT(1+F134:F139)-1</f>
        <v>0.0194172459814861</v>
      </c>
      <c r="S139" s="48" t="n">
        <f aca="false" t="array" ref="S139:S139">PRODUCT(1+G134:G139)-1</f>
        <v>0.0609809019936096</v>
      </c>
    </row>
    <row r="140" customFormat="false" ht="15" hidden="false" customHeight="false" outlineLevel="0" collapsed="false">
      <c r="B140" s="46" t="n">
        <v>44958</v>
      </c>
      <c r="C140" s="33" t="n">
        <v>-0.0235709412945139</v>
      </c>
      <c r="D140" s="33" t="n">
        <v>0.000399667927669767</v>
      </c>
      <c r="E140" s="33" t="n">
        <v>0.00724843052928065</v>
      </c>
      <c r="F140" s="33" t="n">
        <v>-0.00826697017263537</v>
      </c>
      <c r="G140" s="33" t="n">
        <v>-0.022071314015413</v>
      </c>
      <c r="O140" s="48" t="n">
        <f aca="false" t="array" ref="O140:O140">PRODUCT(1+C135:C140)-1</f>
        <v>-0.0609608308941835</v>
      </c>
      <c r="P140" s="48" t="n">
        <f aca="false" t="array" ref="P140:P140">PRODUCT(1+D135:D140)-1</f>
        <v>-0.0775473667254876</v>
      </c>
      <c r="Q140" s="48" t="n">
        <f aca="false" t="array" ref="Q140:Q140">PRODUCT(1+E135:E140)-1</f>
        <v>0.0382724636965239</v>
      </c>
      <c r="R140" s="48" t="n">
        <f aca="false" t="array" ref="R140:R140">PRODUCT(1+F135:F140)-1</f>
        <v>0.0378112091778682</v>
      </c>
      <c r="S140" s="48" t="n">
        <f aca="false" t="array" ref="S140:S140">PRODUCT(1+G135:G140)-1</f>
        <v>0.0584677189204002</v>
      </c>
    </row>
    <row r="141" customFormat="false" ht="15" hidden="false" customHeight="false" outlineLevel="0" collapsed="false">
      <c r="B141" s="46" t="n">
        <v>44986</v>
      </c>
      <c r="C141" s="33" t="n">
        <v>-0.00533297861952359</v>
      </c>
      <c r="D141" s="33" t="n">
        <v>-0.0897234112453939</v>
      </c>
      <c r="E141" s="33" t="n">
        <v>-0.0382177706161152</v>
      </c>
      <c r="F141" s="33" t="n">
        <v>0.0107512066411511</v>
      </c>
      <c r="G141" s="33" t="n">
        <v>0.0276542006559923</v>
      </c>
      <c r="O141" s="48" t="n">
        <f aca="false" t="array" ref="O141:O141">PRODUCT(1+C136:C141)-1</f>
        <v>0.0225582710103514</v>
      </c>
      <c r="P141" s="48" t="n">
        <f aca="false" t="array" ref="P141:P141">PRODUCT(1+D136:D141)-1</f>
        <v>-0.0741546309537715</v>
      </c>
      <c r="Q141" s="48" t="n">
        <f aca="false" t="array" ref="Q141:Q141">PRODUCT(1+E136:E141)-1</f>
        <v>0.152075169200051</v>
      </c>
      <c r="R141" s="48" t="n">
        <f aca="false" t="array" ref="R141:R141">PRODUCT(1+F136:F141)-1</f>
        <v>0.0805332536664758</v>
      </c>
      <c r="S141" s="48" t="n">
        <f aca="false" t="array" ref="S141:S141">PRODUCT(1+G136:G141)-1</f>
        <v>0.109373584477304</v>
      </c>
    </row>
    <row r="142" customFormat="false" ht="15" hidden="false" customHeight="false" outlineLevel="0" collapsed="false">
      <c r="B142" s="46" t="n">
        <v>45017</v>
      </c>
      <c r="C142" s="33" t="n">
        <v>0.00772958835751947</v>
      </c>
      <c r="D142" s="33" t="n">
        <v>0.0512402402689948</v>
      </c>
      <c r="E142" s="33" t="n">
        <v>0.0114782636978824</v>
      </c>
      <c r="F142" s="33" t="n">
        <v>0.00386266332374334</v>
      </c>
      <c r="G142" s="33" t="n">
        <v>0.0205208361688127</v>
      </c>
      <c r="O142" s="48" t="n">
        <f aca="false" t="array" ref="O142:O142">PRODUCT(1+C137:C142)-1</f>
        <v>0.0278264351157307</v>
      </c>
      <c r="P142" s="48" t="n">
        <f aca="false" t="array" ref="P142:P142">PRODUCT(1+D137:D142)-1</f>
        <v>-0.0208629957928559</v>
      </c>
      <c r="Q142" s="48" t="n">
        <f aca="false" t="array" ref="Q142:Q142">PRODUCT(1+E137:E142)-1</f>
        <v>0.0272165871378129</v>
      </c>
      <c r="R142" s="48" t="n">
        <f aca="false" t="array" ref="R142:R142">PRODUCT(1+F137:F142)-1</f>
        <v>0.0561706092981309</v>
      </c>
      <c r="S142" s="48" t="n">
        <f aca="false" t="array" ref="S142:S142">PRODUCT(1+G137:G142)-1</f>
        <v>0.117872329699158</v>
      </c>
    </row>
    <row r="143" customFormat="false" ht="15" hidden="false" customHeight="false" outlineLevel="0" collapsed="false">
      <c r="B143" s="46" t="n">
        <v>45047</v>
      </c>
      <c r="C143" s="33" t="n">
        <v>-0.0257063672433475</v>
      </c>
      <c r="D143" s="33" t="n">
        <v>-0.0543753344729724</v>
      </c>
      <c r="E143" s="33" t="n">
        <v>0.0118423595520055</v>
      </c>
      <c r="F143" s="33" t="n">
        <v>-0.00604515388211013</v>
      </c>
      <c r="G143" s="33" t="n">
        <v>-0.0355264061379744</v>
      </c>
      <c r="O143" s="48" t="n">
        <f aca="false" t="array" ref="O143:O143">PRODUCT(1+C138:C143)-1</f>
        <v>-0.0245946146656147</v>
      </c>
      <c r="P143" s="48" t="n">
        <f aca="false" t="array" ref="P143:P143">PRODUCT(1+D138:D143)-1</f>
        <v>-0.110369305226669</v>
      </c>
      <c r="Q143" s="48" t="n">
        <f aca="false" t="array" ref="Q143:Q143">PRODUCT(1+E138:E143)-1</f>
        <v>0.00864364415091501</v>
      </c>
      <c r="R143" s="48" t="n">
        <f aca="false" t="array" ref="R143:R143">PRODUCT(1+F138:F143)-1</f>
        <v>0.0225294940589074</v>
      </c>
      <c r="S143" s="48" t="n">
        <f aca="false" t="array" ref="S143:S143">PRODUCT(1+G138:G143)-1</f>
        <v>0.039572820950631</v>
      </c>
    </row>
    <row r="144" customFormat="false" ht="15" hidden="false" customHeight="false" outlineLevel="0" collapsed="false">
      <c r="B144" s="46" t="n">
        <v>45078</v>
      </c>
      <c r="C144" s="33" t="n">
        <v>-0.0211589506932948</v>
      </c>
      <c r="D144" s="33" t="n">
        <v>-0.0557584067628428</v>
      </c>
      <c r="E144" s="33" t="n">
        <v>0.0367415062733133</v>
      </c>
      <c r="F144" s="33" t="n">
        <v>0.0189061996679416</v>
      </c>
      <c r="G144" s="33" t="n">
        <v>0.0125742609776964</v>
      </c>
      <c r="O144" s="48" t="n">
        <f aca="false" t="array" ref="O144:O144">PRODUCT(1+C139:C144)-1</f>
        <v>-0.0464673290978388</v>
      </c>
      <c r="P144" s="48" t="n">
        <f aca="false" t="array" ref="P144:P144">PRODUCT(1+D139:D144)-1</f>
        <v>-0.178616324789791</v>
      </c>
      <c r="Q144" s="48" t="n">
        <f aca="false" t="array" ref="Q144:Q144">PRODUCT(1+E139:E144)-1</f>
        <v>0.0954458532765614</v>
      </c>
      <c r="R144" s="48" t="n">
        <f aca="false" t="array" ref="R144:R144">PRODUCT(1+F139:F144)-1</f>
        <v>0.0512466454831768</v>
      </c>
      <c r="S144" s="48" t="n">
        <f aca="false" t="array" ref="S144:S144">PRODUCT(1+G139:G144)-1</f>
        <v>0.0130090079799441</v>
      </c>
    </row>
    <row r="145" customFormat="false" ht="15" hidden="false" customHeight="false" outlineLevel="0" collapsed="false">
      <c r="B145" s="46" t="n">
        <v>45108</v>
      </c>
      <c r="C145" s="33" t="n">
        <v>-0.00288832672540212</v>
      </c>
      <c r="D145" s="33" t="n">
        <v>0.0153380876897628</v>
      </c>
      <c r="E145" s="33" t="n">
        <v>0.0496312153777859</v>
      </c>
      <c r="F145" s="33" t="n">
        <v>0.00842578377967181</v>
      </c>
      <c r="G145" s="33" t="n">
        <v>0.0143756052037762</v>
      </c>
      <c r="O145" s="48" t="n">
        <f aca="false" t="array" ref="O145:O145">PRODUCT(1+C140:C145)-1</f>
        <v>-0.069303107854744</v>
      </c>
      <c r="P145" s="48" t="n">
        <f aca="false" t="array" ref="P145:P145">PRODUCT(1+D140:D145)-1</f>
        <v>-0.132116392354268</v>
      </c>
      <c r="Q145" s="48" t="n">
        <f aca="false" t="array" ref="Q145:Q145">PRODUCT(1+E140:E145)-1</f>
        <v>0.0789218359280182</v>
      </c>
      <c r="R145" s="48" t="n">
        <f aca="false" t="array" ref="R145:R145">PRODUCT(1+F140:F145)-1</f>
        <v>0.0276805796033794</v>
      </c>
      <c r="S145" s="48" t="n">
        <f aca="false" t="array" ref="S145:S145">PRODUCT(1+G140:G145)-1</f>
        <v>0.0159962040038135</v>
      </c>
    </row>
    <row r="146" customFormat="false" ht="15" hidden="false" customHeight="false" outlineLevel="0" collapsed="false">
      <c r="B146" s="46" t="n">
        <v>45139</v>
      </c>
      <c r="C146" s="33" t="n">
        <v>-0.0123363976305908</v>
      </c>
      <c r="D146" s="33" t="n">
        <v>0.00585017908705288</v>
      </c>
      <c r="E146" s="33" t="n">
        <v>-0.00312297549909291</v>
      </c>
      <c r="F146" s="33" t="n">
        <v>0.00512214927445257</v>
      </c>
      <c r="G146" s="33" t="n">
        <v>-0.00831957964593399</v>
      </c>
      <c r="O146" s="48" t="n">
        <f aca="false" t="array" ref="O146:O146">PRODUCT(1+C141:C146)-1</f>
        <v>-0.0585947468330579</v>
      </c>
      <c r="P146" s="48" t="n">
        <f aca="false" t="array" ref="P146:P146">PRODUCT(1+D141:D146)-1</f>
        <v>-0.127387872903319</v>
      </c>
      <c r="Q146" s="48" t="n">
        <f aca="false" t="array" ref="Q146:Q146">PRODUCT(1+E141:E146)-1</f>
        <v>0.0678124252859906</v>
      </c>
      <c r="R146" s="48" t="n">
        <f aca="false" t="array" ref="R146:R146">PRODUCT(1+F141:F146)-1</f>
        <v>0.0415550171989056</v>
      </c>
      <c r="S146" s="48" t="n">
        <f aca="false" t="array" ref="S146:S146">PRODUCT(1+G141:G146)-1</f>
        <v>0.0302832477505592</v>
      </c>
    </row>
    <row r="147" customFormat="false" ht="15" hidden="false" customHeight="false" outlineLevel="0" collapsed="false">
      <c r="B147" s="46" t="n">
        <v>45170</v>
      </c>
      <c r="C147" s="33" t="n">
        <v>0.00600512962043052</v>
      </c>
      <c r="D147" s="33" t="n">
        <v>-0.0504649400079048</v>
      </c>
      <c r="E147" s="33" t="n">
        <v>0.0201721640847017</v>
      </c>
      <c r="F147" s="33" t="n">
        <v>-0.00368170217110209</v>
      </c>
      <c r="G147" s="33" t="n">
        <v>-0.0315511534601077</v>
      </c>
      <c r="O147" s="48" t="n">
        <f aca="false" t="array" ref="O147:O147">PRODUCT(1+C142:C147)-1</f>
        <v>-0.0478637640733659</v>
      </c>
      <c r="P147" s="48" t="n">
        <f aca="false" t="array" ref="P147:P147">PRODUCT(1+D142:D147)-1</f>
        <v>-0.0897537971550035</v>
      </c>
      <c r="Q147" s="48" t="n">
        <f aca="false" t="array" ref="Q147:Q147">PRODUCT(1+E142:E147)-1</f>
        <v>0.132639468124067</v>
      </c>
      <c r="R147" s="48" t="n">
        <f aca="false" t="array" ref="R147:R147">PRODUCT(1+F142:F147)-1</f>
        <v>0.0266822488189089</v>
      </c>
      <c r="S147" s="48" t="n">
        <f aca="false" t="array" ref="S147:S147">PRODUCT(1+G142:G147)-1</f>
        <v>-0.0290735713857027</v>
      </c>
    </row>
    <row r="148" customFormat="false" ht="15" hidden="false" customHeight="false" outlineLevel="0" collapsed="false">
      <c r="B148" s="46" t="n">
        <v>45200</v>
      </c>
      <c r="C148" s="33" t="n">
        <v>-0.0613253507895047</v>
      </c>
      <c r="D148" s="33" t="n">
        <v>-0.0782752059544561</v>
      </c>
      <c r="E148" s="33" t="n">
        <v>-0.0362804911064882</v>
      </c>
      <c r="F148" s="33" t="n">
        <v>-0.00441260386133476</v>
      </c>
      <c r="G148" s="33" t="n">
        <v>0.00259009339941652</v>
      </c>
      <c r="O148" s="48" t="n">
        <f aca="false" t="array" ref="O148:O148">PRODUCT(1+C143:C148)-1</f>
        <v>-0.113109153899375</v>
      </c>
      <c r="P148" s="48" t="n">
        <f aca="false" t="array" ref="P148:P148">PRODUCT(1+D143:D148)-1</f>
        <v>-0.20189842273032</v>
      </c>
      <c r="Q148" s="48" t="n">
        <f aca="false" t="array" ref="Q148:Q148">PRODUCT(1+E143:E148)-1</f>
        <v>0.0791598704092047</v>
      </c>
      <c r="R148" s="48" t="n">
        <f aca="false" t="array" ref="R148:R148">PRODUCT(1+F143:F148)-1</f>
        <v>0.0182188700784112</v>
      </c>
      <c r="S148" s="48" t="n">
        <f aca="false" t="array" ref="S148:S148">PRODUCT(1+G143:G148)-1</f>
        <v>-0.0461329310993652</v>
      </c>
    </row>
    <row r="149" customFormat="false" ht="15" hidden="false" customHeight="false" outlineLevel="0" collapsed="false">
      <c r="B149" s="46" t="n">
        <v>45231</v>
      </c>
      <c r="C149" s="33" t="n">
        <v>0.0825342214153769</v>
      </c>
      <c r="D149" s="33" t="n">
        <v>0.0681136539143196</v>
      </c>
      <c r="E149" s="33" t="n">
        <v>0.0556316688657356</v>
      </c>
      <c r="F149" s="33" t="n">
        <v>0.0305230076225045</v>
      </c>
      <c r="G149" s="33" t="n">
        <v>0.0337879442805393</v>
      </c>
      <c r="O149" s="48" t="n">
        <f aca="false" t="array" ref="O149:O149">PRODUCT(1+C144:C149)-1</f>
        <v>-0.0145787067831898</v>
      </c>
      <c r="P149" s="48" t="n">
        <f aca="false" t="array" ref="P149:P149">PRODUCT(1+D144:D149)-1</f>
        <v>-0.0985184471502822</v>
      </c>
      <c r="Q149" s="48" t="n">
        <f aca="false" t="array" ref="Q149:Q149">PRODUCT(1+E144:E149)-1</f>
        <v>0.125862466834636</v>
      </c>
      <c r="R149" s="48" t="n">
        <f aca="false" t="array" ref="R149:R149">PRODUCT(1+F144:F149)-1</f>
        <v>0.0556797187613274</v>
      </c>
      <c r="S149" s="48" t="n">
        <f aca="false" t="array" ref="S149:S149">PRODUCT(1+G144:G149)-1</f>
        <v>0.0224191543980814</v>
      </c>
    </row>
    <row r="150" customFormat="false" ht="15" hidden="false" customHeight="false" outlineLevel="0" collapsed="false">
      <c r="B150" s="46" t="n">
        <v>45261</v>
      </c>
      <c r="C150" s="33" t="n">
        <v>0.0295025161925033</v>
      </c>
      <c r="D150" s="33" t="n">
        <v>0.0620105096831739</v>
      </c>
      <c r="E150" s="33" t="n">
        <v>0.0383275240460621</v>
      </c>
      <c r="F150" s="33" t="n">
        <v>0.0268107348091081</v>
      </c>
      <c r="G150" s="33" t="n">
        <v>0.00748484341207001</v>
      </c>
      <c r="O150" s="48" t="n">
        <f aca="false" t="array" ref="O150:O150">PRODUCT(1+C145:C150)-1</f>
        <v>0.0364233310351294</v>
      </c>
      <c r="P150" s="48" t="n">
        <f aca="false" t="array" ref="P150:P150">PRODUCT(1+D145:D150)-1</f>
        <v>0.0139172964513226</v>
      </c>
      <c r="Q150" s="48" t="n">
        <f aca="false" t="array" ref="Q150:Q150">PRODUCT(1+E145:E150)-1</f>
        <v>0.127584822765469</v>
      </c>
      <c r="R150" s="48" t="n">
        <f aca="false" t="array" ref="R150:R150">PRODUCT(1+F145:F150)-1</f>
        <v>0.0638695378413225</v>
      </c>
      <c r="S150" s="48" t="n">
        <f aca="false" t="array" ref="S150:S150">PRODUCT(1+G145:G150)-1</f>
        <v>0.0172802542656583</v>
      </c>
    </row>
    <row r="151" customFormat="false" ht="15" hidden="false" customHeight="false" outlineLevel="0" collapsed="false">
      <c r="B151" s="46" t="n">
        <v>45292</v>
      </c>
      <c r="C151" s="33" t="n">
        <v>-0.0246004639026167</v>
      </c>
      <c r="D151" s="33" t="n">
        <v>0.00351793218480184</v>
      </c>
      <c r="E151" s="33" t="n">
        <v>0.0124738235785699</v>
      </c>
      <c r="F151" s="33" t="n">
        <v>-0.000770247891725565</v>
      </c>
      <c r="G151" s="33" t="n">
        <v>-0.0192144876855449</v>
      </c>
      <c r="O151" s="48" t="n">
        <f aca="false" t="array" ref="O151:O151">PRODUCT(1+C146:C151)-1</f>
        <v>0.0138551813080292</v>
      </c>
      <c r="P151" s="48" t="n">
        <f aca="false" t="array" ref="P151:P151">PRODUCT(1+D146:D151)-1</f>
        <v>0.00211368122351852</v>
      </c>
      <c r="Q151" s="48" t="n">
        <f aca="false" t="array" ref="Q151:Q151">PRODUCT(1+E146:E151)-1</f>
        <v>0.0876678400838267</v>
      </c>
      <c r="R151" s="48" t="n">
        <f aca="false" t="array" ref="R151:R151">PRODUCT(1+F146:F151)-1</f>
        <v>0.0541679037482763</v>
      </c>
      <c r="S151" s="48" t="n">
        <f aca="false" t="array" ref="S151:S151">PRODUCT(1+G146:G151)-1</f>
        <v>-0.0164060233419261</v>
      </c>
    </row>
    <row r="152" customFormat="false" ht="15" hidden="false" customHeight="false" outlineLevel="0" collapsed="false">
      <c r="B152" s="46" t="n">
        <v>45323</v>
      </c>
      <c r="C152" s="33" t="n">
        <v>-0.00511810038699819</v>
      </c>
      <c r="D152" s="33" t="n">
        <v>-0.0307769923723676</v>
      </c>
      <c r="E152" s="33" t="n">
        <v>0</v>
      </c>
      <c r="F152" s="33" t="n">
        <v>0.00626907079585023</v>
      </c>
      <c r="G152" s="33" t="n">
        <v>-0.000422708493956203</v>
      </c>
      <c r="O152" s="48" t="n">
        <f aca="false" t="array" ref="O152:O152">PRODUCT(1+C147:C152)-1</f>
        <v>0.0212648985873549</v>
      </c>
      <c r="P152" s="48" t="n">
        <f aca="false" t="array" ref="P152:P152">PRODUCT(1+D147:D152)-1</f>
        <v>-0.0343774288713462</v>
      </c>
      <c r="Q152" s="48" t="n">
        <f aca="false" t="array" ref="Q152:Q152">PRODUCT(1+E147:E152)-1</f>
        <v>0.0910752413301674</v>
      </c>
      <c r="R152" s="48" t="n">
        <f aca="false" t="array" ref="R152:R152">PRODUCT(1+F147:F152)-1</f>
        <v>0.0553707902400804</v>
      </c>
      <c r="S152" s="48" t="n">
        <f aca="false" t="array" ref="S152:S152">PRODUCT(1+G147:G152)-1</f>
        <v>-0.00857354551932543</v>
      </c>
    </row>
    <row r="153" customFormat="false" ht="15" hidden="false" customHeight="false" outlineLevel="0" collapsed="false">
      <c r="B153" s="46" t="n">
        <v>45352</v>
      </c>
      <c r="C153" s="33" t="n">
        <v>0.0512538954379609</v>
      </c>
      <c r="D153" s="33" t="n">
        <v>0.0048089325542543</v>
      </c>
      <c r="E153" s="33" t="n">
        <v>0.0457915095039809</v>
      </c>
      <c r="F153" s="33" t="n">
        <v>0.00649103074480665</v>
      </c>
      <c r="G153" s="33" t="n">
        <v>-0.00344567873018997</v>
      </c>
      <c r="O153" s="48" t="n">
        <f aca="false" t="array" ref="O153:O153">PRODUCT(1+C148:C153)-1</f>
        <v>0.0672000284124672</v>
      </c>
      <c r="P153" s="48" t="n">
        <f aca="false" t="array" ref="P153:P153">PRODUCT(1+D148:D153)-1</f>
        <v>0.0218329220557214</v>
      </c>
      <c r="Q153" s="48" t="n">
        <f aca="false" t="array" ref="Q153:Q153">PRODUCT(1+E148:E153)-1</f>
        <v>0.118475159177505</v>
      </c>
      <c r="R153" s="48" t="n">
        <f aca="false" t="array" ref="R153:R153">PRODUCT(1+F148:F153)-1</f>
        <v>0.066146468253582</v>
      </c>
      <c r="S153" s="48" t="n">
        <f aca="false" t="array" ref="S153:S153">PRODUCT(1+G148:G153)-1</f>
        <v>0.0201987652356863</v>
      </c>
    </row>
    <row r="154" customFormat="false" ht="15" hidden="false" customHeight="false" outlineLevel="0" collapsed="false">
      <c r="B154" s="46" t="n">
        <v>45383</v>
      </c>
      <c r="C154" s="33" t="n">
        <v>-0.0341861598387475</v>
      </c>
      <c r="D154" s="33" t="n">
        <v>0.0218254181984759</v>
      </c>
      <c r="E154" s="33" t="n">
        <v>0.00128205957006111</v>
      </c>
      <c r="F154" s="33" t="n">
        <v>-0.00433459129925751</v>
      </c>
      <c r="G154" s="33" t="n">
        <v>-0.00794035578471042</v>
      </c>
      <c r="O154" s="48" t="n">
        <f aca="false" t="array" ref="O154:O154">PRODUCT(1+C149:C154)-1</f>
        <v>0.0980551765493636</v>
      </c>
      <c r="P154" s="48" t="n">
        <f aca="false" t="array" ref="P154:P154">PRODUCT(1+D149:D154)-1</f>
        <v>0.132805431354129</v>
      </c>
      <c r="Q154" s="48" t="n">
        <f aca="false" t="array" ref="Q154:Q154">PRODUCT(1+E149:E154)-1</f>
        <v>0.162069565495276</v>
      </c>
      <c r="R154" s="48" t="n">
        <f aca="false" t="array" ref="R154:R154">PRODUCT(1+F149:F154)-1</f>
        <v>0.0662300097064574</v>
      </c>
      <c r="S154" s="48" t="n">
        <f aca="false" t="array" ref="S154:S154">PRODUCT(1+G149:G154)-1</f>
        <v>0.00948336786067605</v>
      </c>
    </row>
    <row r="155" customFormat="false" ht="15" hidden="false" customHeight="false" outlineLevel="0" collapsed="false">
      <c r="B155" s="46" t="n">
        <v>45413</v>
      </c>
      <c r="C155" s="33" t="n">
        <v>0.0166701466415309</v>
      </c>
      <c r="D155" s="33" t="n">
        <v>0.0145047033774765</v>
      </c>
      <c r="E155" s="33" t="n">
        <v>0.0434097459702552</v>
      </c>
      <c r="F155" s="33" t="n">
        <v>0.0113070902850347</v>
      </c>
      <c r="G155" s="33" t="n">
        <v>0.0111713428728637</v>
      </c>
      <c r="O155" s="48" t="n">
        <f aca="false" t="array" ref="O155:O155">PRODUCT(1+C150:C155)-1</f>
        <v>0.031246768257664</v>
      </c>
      <c r="P155" s="48" t="n">
        <f aca="false" t="array" ref="P155:P155">PRODUCT(1+D150:D155)-1</f>
        <v>0.0759495807479893</v>
      </c>
      <c r="Q155" s="48" t="n">
        <f aca="false" t="array" ref="Q155:Q155">PRODUCT(1+E150:E155)-1</f>
        <v>0.148615322838906</v>
      </c>
      <c r="R155" s="48" t="n">
        <f aca="false" t="array" ref="R155:R155">PRODUCT(1+F150:F155)-1</f>
        <v>0.0463482723966644</v>
      </c>
      <c r="S155" s="48" t="n">
        <f aca="false" t="array" ref="S155:S155">PRODUCT(1+G150:G155)-1</f>
        <v>-0.0126015123944059</v>
      </c>
    </row>
    <row r="156" customFormat="false" ht="15" hidden="false" customHeight="false" outlineLevel="0" collapsed="false">
      <c r="B156" s="46" t="n">
        <v>45444</v>
      </c>
      <c r="C156" s="33" t="n">
        <v>-0.011120092522453</v>
      </c>
      <c r="D156" s="33" t="n">
        <v>0.0101202110701097</v>
      </c>
      <c r="E156" s="33" t="n">
        <v>-0.0118306472714946</v>
      </c>
      <c r="F156" s="33" t="n">
        <v>0.00355480415596898</v>
      </c>
      <c r="G156" s="33" t="n">
        <v>-0.0105071830365939</v>
      </c>
      <c r="O156" s="48" t="n">
        <f aca="false" t="array" ref="O156:O156">PRODUCT(1+C151:C156)-1</f>
        <v>-0.00944466599975458</v>
      </c>
      <c r="P156" s="48" t="n">
        <f aca="false" t="array" ref="P156:P156">PRODUCT(1+D151:D156)-1</f>
        <v>0.02337821301805</v>
      </c>
      <c r="Q156" s="48" t="n">
        <f aca="false" t="array" ref="Q156:Q156">PRODUCT(1+E151:E156)-1</f>
        <v>0.0931295124306206</v>
      </c>
      <c r="R156" s="48" t="n">
        <f aca="false" t="array" ref="R156:R156">PRODUCT(1+F151:F156)-1</f>
        <v>0.0226498418709915</v>
      </c>
      <c r="S156" s="48" t="n">
        <f aca="false" t="array" ref="S156:S156">PRODUCT(1+G151:G156)-1</f>
        <v>-0.0302348294815438</v>
      </c>
    </row>
    <row r="157" customFormat="false" ht="15" hidden="false" customHeight="false" outlineLevel="0" collapsed="false">
      <c r="B157" s="46" t="n">
        <v>45474</v>
      </c>
      <c r="C157" s="33" t="n">
        <v>0.0385057685216598</v>
      </c>
      <c r="D157" s="33" t="n">
        <v>0.0394218509519765</v>
      </c>
      <c r="E157" s="33" t="n">
        <v>0.00248920927759033</v>
      </c>
      <c r="F157" s="33" t="n">
        <v>0.0142130475632075</v>
      </c>
      <c r="G157" s="33" t="n">
        <v>0.00881508872071812</v>
      </c>
      <c r="O157" s="48" t="n">
        <f aca="false" t="array" ref="O157:O157">PRODUCT(1+C152:C157)-1</f>
        <v>0.0546421136460844</v>
      </c>
      <c r="P157" s="48" t="n">
        <f aca="false" t="array" ref="P157:P157">PRODUCT(1+D152:D157)-1</f>
        <v>0.0599926939853219</v>
      </c>
      <c r="Q157" s="48" t="n">
        <f aca="false" t="array" ref="Q157:Q157">PRODUCT(1+E152:E157)-1</f>
        <v>0.0823495037938933</v>
      </c>
      <c r="R157" s="48" t="n">
        <f aca="false" t="array" ref="R157:R157">PRODUCT(1+F152:F157)-1</f>
        <v>0.0379843179465529</v>
      </c>
      <c r="S157" s="48" t="n">
        <f aca="false" t="array" ref="S157:S157">PRODUCT(1+G152:G157)-1</f>
        <v>-0.0025202001340574</v>
      </c>
    </row>
    <row r="158" customFormat="false" ht="15" hidden="false" customHeight="false" outlineLevel="0" collapsed="false">
      <c r="B158" s="46" t="n">
        <v>45505</v>
      </c>
      <c r="C158" s="33" t="n">
        <v>-0.00446305395041639</v>
      </c>
      <c r="D158" s="33" t="n">
        <v>-0.0441696807108289</v>
      </c>
      <c r="E158" s="33" t="n">
        <v>-0.00325978581980513</v>
      </c>
      <c r="F158" s="33" t="n">
        <v>0.0118700887706604</v>
      </c>
      <c r="G158" s="33" t="n">
        <v>0.0227323851981758</v>
      </c>
      <c r="O158" s="48" t="n">
        <f aca="false" t="array" ref="O158:O158">PRODUCT(1+C153:C158)-1</f>
        <v>0.0553365071803136</v>
      </c>
      <c r="P158" s="48" t="n">
        <f aca="false" t="array" ref="P158:P158">PRODUCT(1+D153:D158)-1</f>
        <v>0.0453457534155357</v>
      </c>
      <c r="Q158" s="48" t="n">
        <f aca="false" t="array" ref="Q158:Q158">PRODUCT(1+E153:E158)-1</f>
        <v>0.0788212762293528</v>
      </c>
      <c r="R158" s="48" t="n">
        <f aca="false" t="array" ref="R158:R158">PRODUCT(1+F153:F158)-1</f>
        <v>0.0437618669054924</v>
      </c>
      <c r="S158" s="48" t="n">
        <f aca="false" t="array" ref="S158:S158">PRODUCT(1+G153:G158)-1</f>
        <v>0.0205863054040043</v>
      </c>
    </row>
    <row r="159" customFormat="false" ht="15" hidden="false" customHeight="false" outlineLevel="0" collapsed="false">
      <c r="B159" s="46" t="n">
        <v>45536</v>
      </c>
      <c r="C159" s="33" t="n">
        <v>0.0125658203909946</v>
      </c>
      <c r="D159" s="33" t="n">
        <v>-1.65971344108229E-005</v>
      </c>
      <c r="E159" s="33" t="n">
        <v>0.0121311669235688</v>
      </c>
      <c r="F159" s="33" t="n">
        <v>0.0101751455833007</v>
      </c>
      <c r="G159" s="33" t="n">
        <v>0.00975124129338068</v>
      </c>
      <c r="O159" s="48" t="n">
        <f aca="false" t="array" ref="O159:O159">PRODUCT(1+C154:C159)-1</f>
        <v>0.0164981845193684</v>
      </c>
      <c r="P159" s="48" t="n">
        <f aca="false" t="array" ref="P159:P159">PRODUCT(1+D154:D159)-1</f>
        <v>0.0403255482754361</v>
      </c>
      <c r="Q159" s="48" t="n">
        <f aca="false" t="array" ref="Q159:Q159">PRODUCT(1+E154:E159)-1</f>
        <v>0.0440978218783601</v>
      </c>
      <c r="R159" s="48" t="n">
        <f aca="false" t="array" ref="R159:R159">PRODUCT(1+F154:F159)-1</f>
        <v>0.0475824062488741</v>
      </c>
      <c r="S159" s="48" t="n">
        <f aca="false" t="array" ref="S159:S159">PRODUCT(1+G154:G159)-1</f>
        <v>0.0341014701693392</v>
      </c>
    </row>
    <row r="160" customFormat="false" ht="15" hidden="false" customHeight="false" outlineLevel="0" collapsed="false">
      <c r="B160" s="46" t="n">
        <v>45566</v>
      </c>
      <c r="C160" s="33" t="n">
        <v>-0.0181807393028525</v>
      </c>
      <c r="D160" s="33" t="n">
        <v>-0.0576306893407657</v>
      </c>
      <c r="E160" s="33" t="n">
        <v>0.00952806590683319</v>
      </c>
      <c r="F160" s="33" t="n">
        <v>6.20386738860261E-005</v>
      </c>
      <c r="G160" s="33" t="n">
        <v>-0.0278103761825075</v>
      </c>
      <c r="O160" s="48" t="n">
        <f aca="false" t="array" ref="O160:O160">PRODUCT(1+C155:C160)-1</f>
        <v>0.0333435435737488</v>
      </c>
      <c r="P160" s="48" t="n">
        <f aca="false" t="array" ref="P160:P160">PRODUCT(1+D155:D160)-1</f>
        <v>-0.0405691106040884</v>
      </c>
      <c r="Q160" s="48" t="n">
        <f aca="false" t="array" ref="Q160:Q160">PRODUCT(1+E155:E160)-1</f>
        <v>0.0526964351992818</v>
      </c>
      <c r="R160" s="48" t="n">
        <f aca="false" t="array" ref="R160:R160">PRODUCT(1+F155:F160)-1</f>
        <v>0.0522082897699874</v>
      </c>
      <c r="S160" s="48" t="n">
        <f aca="false" t="array" ref="S160:S160">PRODUCT(1+G155:G160)-1</f>
        <v>0.0133893915907275</v>
      </c>
    </row>
    <row r="161" customFormat="false" ht="15" hidden="false" customHeight="false" outlineLevel="0" collapsed="false">
      <c r="B161" s="46" t="n">
        <v>45597</v>
      </c>
      <c r="C161" s="33" t="n">
        <v>-0.00202115219004615</v>
      </c>
      <c r="D161" s="33" t="n">
        <v>0.00625797134640221</v>
      </c>
      <c r="E161" s="33" t="n">
        <v>0.0451192627265944</v>
      </c>
      <c r="F161" s="33" t="n">
        <v>0.012584650281588</v>
      </c>
      <c r="G161" s="33" t="n">
        <v>-0.0256268868685203</v>
      </c>
      <c r="O161" s="48" t="n">
        <f aca="false" t="array" ref="O161:O161">PRODUCT(1+C156:C161)-1</f>
        <v>0.0143457073213307</v>
      </c>
      <c r="P161" s="48" t="n">
        <f aca="false" t="array" ref="P161:P161">PRODUCT(1+D156:D161)-1</f>
        <v>-0.0483681571938603</v>
      </c>
      <c r="Q161" s="48" t="n">
        <f aca="false" t="array" ref="Q161:Q161">PRODUCT(1+E156:E161)-1</f>
        <v>0.0544211672158859</v>
      </c>
      <c r="R161" s="48" t="n">
        <f aca="false" t="array" ref="R161:R161">PRODUCT(1+F156:F161)-1</f>
        <v>0.0535375192710612</v>
      </c>
      <c r="S161" s="48" t="n">
        <f aca="false" t="array" ref="S161:S161">PRODUCT(1+G156:G161)-1</f>
        <v>-0.0234895566825579</v>
      </c>
    </row>
    <row r="162" customFormat="false" ht="15" hidden="false" customHeight="false" outlineLevel="0" collapsed="false">
      <c r="B162" s="46" t="n">
        <v>45627</v>
      </c>
      <c r="C162" s="33" t="n">
        <v>-0.0313821120554534</v>
      </c>
      <c r="D162" s="33" t="n">
        <v>-0.0087392822563187</v>
      </c>
      <c r="E162" s="33" t="n">
        <v>0.0091158602909629</v>
      </c>
      <c r="F162" s="33" t="n">
        <v>-0.00051157034201695</v>
      </c>
      <c r="G162" s="33" t="n">
        <v>-0.0165146162724998</v>
      </c>
      <c r="O162" s="48" t="n">
        <f aca="false" t="array" ref="O162:O162">PRODUCT(1+C157:C162)-1</f>
        <v>-0.00643810310857917</v>
      </c>
      <c r="P162" s="48" t="n">
        <f aca="false" t="array" ref="P162:P162">PRODUCT(1+D157:D162)-1</f>
        <v>-0.0661356408972168</v>
      </c>
      <c r="Q162" s="48" t="n">
        <f aca="false" t="array" ref="Q162:Q162">PRODUCT(1+E157:E162)-1</f>
        <v>0.0767720333828219</v>
      </c>
      <c r="R162" s="48" t="n">
        <f aca="false" t="array" ref="R162:R162">PRODUCT(1+F157:F162)-1</f>
        <v>0.0492686162841054</v>
      </c>
      <c r="S162" s="48" t="n">
        <f aca="false" t="array" ref="S162:S162">PRODUCT(1+G157:G162)-1</f>
        <v>-0.0294181710108531</v>
      </c>
    </row>
    <row r="163" customFormat="false" ht="15" hidden="false" customHeight="false" outlineLevel="0" collapsed="false">
      <c r="B163" s="46" t="n">
        <v>45658</v>
      </c>
      <c r="C163" s="33" t="n">
        <v>-0.0137558052281264</v>
      </c>
      <c r="D163" s="33" t="n">
        <v>0.00753903814492385</v>
      </c>
      <c r="E163" s="33" t="n">
        <v>0.0671160707440832</v>
      </c>
      <c r="F163" s="33" t="n">
        <v>0.00931145197014035</v>
      </c>
      <c r="G163" s="33" t="n">
        <v>-0.000852644417722259</v>
      </c>
      <c r="O163" s="48" t="n">
        <f aca="false" t="array" ref="O163:O163">PRODUCT(1+C158:C163)-1</f>
        <v>-0.0564379297087579</v>
      </c>
      <c r="P163" s="48" t="n">
        <f aca="false" t="array" ref="P163:P163">PRODUCT(1+D158:D163)-1</f>
        <v>-0.0947806251460882</v>
      </c>
      <c r="Q163" s="48" t="n">
        <f aca="false" t="array" ref="Q163:Q163">PRODUCT(1+E158:E163)-1</f>
        <v>0.146187640442146</v>
      </c>
      <c r="R163" s="48" t="n">
        <f aca="false" t="array" ref="R163:R163">PRODUCT(1+F158:F163)-1</f>
        <v>0.0441976004478575</v>
      </c>
      <c r="S163" s="48" t="n">
        <f aca="false" t="array" ref="S163:S163">PRODUCT(1+G158:G163)-1</f>
        <v>-0.0387195050378706</v>
      </c>
    </row>
    <row r="164" customFormat="false" ht="15" hidden="false" customHeight="false" outlineLevel="0" collapsed="false">
      <c r="B164" s="46" t="n">
        <v>45689</v>
      </c>
      <c r="C164" s="33" t="n">
        <v>0.00501313897054364</v>
      </c>
      <c r="D164" s="33" t="n">
        <v>0.0136034852649701</v>
      </c>
      <c r="E164" s="33" t="n">
        <v>-0.00498366892868601</v>
      </c>
      <c r="F164" s="33" t="n">
        <v>0.00562813068673029</v>
      </c>
      <c r="G164" s="33" t="n">
        <v>-0.000207868266782207</v>
      </c>
      <c r="O164" s="48" t="n">
        <f aca="false" t="array" ref="O164:O164">PRODUCT(1+C159:C164)-1</f>
        <v>-0.0474564687529785</v>
      </c>
      <c r="P164" s="48" t="n">
        <f aca="false" t="array" ref="P164:P164">PRODUCT(1+D159:D164)-1</f>
        <v>-0.0400665319304255</v>
      </c>
      <c r="Q164" s="48" t="n">
        <f aca="false" t="array" ref="Q164:Q164">PRODUCT(1+E159:E164)-1</f>
        <v>0.144205284874611</v>
      </c>
      <c r="R164" s="48" t="n">
        <f aca="false" t="array" ref="R164:R164">PRODUCT(1+F159:F164)-1</f>
        <v>0.0377562225223038</v>
      </c>
      <c r="S164" s="48" t="n">
        <f aca="false" t="array" ref="S164:S164">PRODUCT(1+G159:G164)-1</f>
        <v>-0.0602813706094574</v>
      </c>
    </row>
    <row r="165" customFormat="false" ht="15" hidden="false" customHeight="false" outlineLevel="0" collapsed="false">
      <c r="B165" s="46" t="n">
        <v>45717</v>
      </c>
      <c r="C165" s="33" t="n">
        <v>0.00273238744779203</v>
      </c>
      <c r="D165" s="33" t="n">
        <v>-0.0195443376546316</v>
      </c>
      <c r="E165" s="33" t="n">
        <v>-0.0377448628686075</v>
      </c>
      <c r="F165" s="33" t="n">
        <v>-0.00938869968325999</v>
      </c>
      <c r="G165" s="33" t="n">
        <v>0.0412499597192999</v>
      </c>
      <c r="O165" s="48" t="n">
        <f aca="false" t="array" ref="O165:O165">PRODUCT(1+C160:C165)-1</f>
        <v>-0.0567070011641774</v>
      </c>
      <c r="P165" s="48" t="n">
        <f aca="false" t="array" ref="P165:P165">PRODUCT(1+D160:D165)-1</f>
        <v>-0.0588121747355171</v>
      </c>
      <c r="Q165" s="48" t="n">
        <f aca="false" t="array" ref="Q165:Q165">PRODUCT(1+E160:E165)-1</f>
        <v>0.087820876665708</v>
      </c>
      <c r="R165" s="48" t="n">
        <f aca="false" t="array" ref="R165:R165">PRODUCT(1+F160:F165)-1</f>
        <v>0.0176582204574107</v>
      </c>
      <c r="S165" s="48" t="n">
        <f aca="false" t="array" ref="S165:S165">PRODUCT(1+G160:G165)-1</f>
        <v>-0.0309672868071448</v>
      </c>
    </row>
    <row r="166" customFormat="false" ht="15" hidden="false" customHeight="false" outlineLevel="0" collapsed="false">
      <c r="B166" s="46" t="n">
        <v>45748</v>
      </c>
      <c r="C166" s="33" t="n">
        <v>0.0175802498690624</v>
      </c>
      <c r="D166" s="33" t="n">
        <v>-0.0145616664532033</v>
      </c>
      <c r="E166" s="33" t="n">
        <v>-0.0675251744809572</v>
      </c>
      <c r="F166" s="33" t="n">
        <v>0.00398900701081906</v>
      </c>
      <c r="G166" s="33" t="n">
        <v>0.0522312321285179</v>
      </c>
      <c r="O166" s="48" t="n">
        <f aca="false" t="array" ref="O166:O166">PRODUCT(1+C161:C166)-1</f>
        <v>-0.0223492613360152</v>
      </c>
      <c r="P166" s="48" t="n">
        <f aca="false" t="array" ref="P166:P166">PRODUCT(1+D161:D166)-1</f>
        <v>-0.0157971491724986</v>
      </c>
      <c r="Q166" s="48" t="n">
        <f aca="false" t="array" ref="Q166:Q166">PRODUCT(1+E161:E166)-1</f>
        <v>0.00479185910859203</v>
      </c>
      <c r="R166" s="48" t="n">
        <f aca="false" t="array" ref="R166:R166">PRODUCT(1+F161:F166)-1</f>
        <v>0.0216542841564735</v>
      </c>
      <c r="S166" s="48" t="n">
        <f aca="false" t="array" ref="S166:S166">PRODUCT(1+G161:G166)-1</f>
        <v>0.0488144090367038</v>
      </c>
    </row>
    <row r="167" customFormat="false" ht="15" hidden="false" customHeight="false" outlineLevel="0" collapsed="false">
      <c r="B167" s="46" t="n">
        <v>45778</v>
      </c>
      <c r="C167" s="33" t="n">
        <v>0.0222729665006205</v>
      </c>
      <c r="D167" s="33" t="n">
        <v>0.0185469035714486</v>
      </c>
      <c r="E167" s="33" t="n">
        <v>0.0635151638018785</v>
      </c>
      <c r="F167" s="33" t="n">
        <v>0.0161929619245046</v>
      </c>
      <c r="G167" s="33" t="n">
        <v>-0.00338256015330118</v>
      </c>
      <c r="O167" s="48" t="n">
        <f aca="false" t="array" ref="O167:O167">PRODUCT(1+C162:C167)-1</f>
        <v>0.00145000368372172</v>
      </c>
      <c r="P167" s="48" t="n">
        <f aca="false" t="array" ref="P167:P167">PRODUCT(1+D162:D167)-1</f>
        <v>-0.00377756525473505</v>
      </c>
      <c r="Q167" s="48" t="n">
        <f aca="false" t="array" ref="Q167:Q167">PRODUCT(1+E162:E167)-1</f>
        <v>0.0224779283455037</v>
      </c>
      <c r="R167" s="48" t="n">
        <f aca="false" t="array" ref="R167:R167">PRODUCT(1+F162:F167)-1</f>
        <v>0.0252949151373323</v>
      </c>
      <c r="S167" s="48" t="n">
        <f aca="false" t="array" ref="S167:S167">PRODUCT(1+G162:G167)-1</f>
        <v>0.072758183822589</v>
      </c>
    </row>
    <row r="168" customFormat="false" ht="15" hidden="false" customHeight="false" outlineLevel="0" collapsed="false">
      <c r="B168" s="46" t="n">
        <v>45809</v>
      </c>
      <c r="C168" s="33" t="n">
        <v>0.0139645695912279</v>
      </c>
      <c r="D168" s="33" t="n">
        <v>0.0334036793059074</v>
      </c>
      <c r="E168" s="33" t="n">
        <v>0.0132604370357508</v>
      </c>
      <c r="F168" s="33" t="n">
        <v>0.00966550872416113</v>
      </c>
      <c r="G168" s="33" t="n">
        <v>0.0331886496187808</v>
      </c>
      <c r="O168" s="48" t="n">
        <f aca="false" t="array" ref="O168:O168">PRODUCT(1+C163:C168)-1</f>
        <v>0.0483337491393012</v>
      </c>
      <c r="P168" s="48" t="n">
        <f aca="false" t="array" ref="P168:P168">PRODUCT(1+D163:D168)-1</f>
        <v>0.0385763412638858</v>
      </c>
      <c r="Q168" s="48" t="n">
        <f aca="false" t="array" ref="Q168:Q168">PRODUCT(1+E163:E168)-1</f>
        <v>0.0266773849298623</v>
      </c>
      <c r="R168" s="48" t="n">
        <f aca="false" t="array" ref="R168:R168">PRODUCT(1+F163:F168)-1</f>
        <v>0.0357347632715159</v>
      </c>
      <c r="S168" s="48" t="n">
        <f aca="false" t="array" ref="S168:S168">PRODUCT(1+G163:G168)-1</f>
        <v>0.126973107734824</v>
      </c>
    </row>
    <row r="169" customFormat="false" ht="15" hidden="false" customHeight="false" outlineLevel="0" collapsed="false">
      <c r="B169" s="46" t="n">
        <v>45839</v>
      </c>
      <c r="C169" s="33" t="n">
        <v>0.0257835589256592</v>
      </c>
      <c r="D169" s="33" t="n">
        <v>0.0235093214401385</v>
      </c>
      <c r="E169" s="33" t="n">
        <v>0.0259551399526039</v>
      </c>
      <c r="F169" s="33" t="n">
        <v>0.00546566215408332</v>
      </c>
      <c r="G169" s="33" t="n">
        <v>-0.0254188453176204</v>
      </c>
      <c r="O169" s="48" t="n">
        <f aca="false" t="array" ref="O169:O169">PRODUCT(1+C164:C169)-1</f>
        <v>0.0903623360568753</v>
      </c>
      <c r="P169" s="48" t="n">
        <f aca="false" t="array" ref="P169:P169">PRODUCT(1+D164:D169)-1</f>
        <v>0.055038590135384</v>
      </c>
      <c r="Q169" s="48" t="n">
        <f aca="false" t="array" ref="Q169:Q169">PRODUCT(1+E164:E169)-1</f>
        <v>-0.0129237399569633</v>
      </c>
      <c r="R169" s="48" t="n">
        <f aca="false" t="array" ref="R169:R169">PRODUCT(1+F164:F169)-1</f>
        <v>0.0317882924403858</v>
      </c>
      <c r="S169" s="48" t="n">
        <f aca="false" t="array" ref="S169:S169">PRODUCT(1+G164:G169)-1</f>
        <v>0.0992640339743658</v>
      </c>
    </row>
    <row r="170" customFormat="false" ht="15" hidden="false" customHeight="false" outlineLevel="0" collapsed="false">
      <c r="B170" s="46" t="n">
        <v>45870</v>
      </c>
      <c r="C170" s="33" t="n">
        <v>-0.0104883347279397</v>
      </c>
      <c r="D170" s="33" t="n">
        <v>-0.0418198210328892</v>
      </c>
      <c r="E170" s="33" t="n">
        <v>-0.00755397422915521</v>
      </c>
      <c r="F170" s="33" t="n">
        <v>0.00531636581179988</v>
      </c>
      <c r="G170" s="33" t="n">
        <v>0.022484474278232</v>
      </c>
      <c r="O170" s="48" t="n">
        <f aca="false" t="array" ref="O170:O170">PRODUCT(1+C165:C170)-1</f>
        <v>0.0735444235154374</v>
      </c>
      <c r="P170" s="48" t="n">
        <f aca="false" t="array" ref="P170:P170">PRODUCT(1+D165:D170)-1</f>
        <v>-0.00265036593785717</v>
      </c>
      <c r="Q170" s="48" t="n">
        <f aca="false" t="array" ref="Q170:Q170">PRODUCT(1+E165:E170)-1</f>
        <v>-0.015473534632619</v>
      </c>
      <c r="R170" s="48" t="n">
        <f aca="false" t="array" ref="R170:R170">PRODUCT(1+F165:F170)-1</f>
        <v>0.03146841739102</v>
      </c>
      <c r="S170" s="48" t="n">
        <f aca="false" t="array" ref="S170:S170">PRODUCT(1+G165:G170)-1</f>
        <v>0.124214096306939</v>
      </c>
    </row>
    <row r="171" customFormat="false" ht="15" hidden="false" customHeight="false" outlineLevel="0" collapsed="false">
      <c r="B171" s="46" t="n">
        <v>45901</v>
      </c>
      <c r="C171" s="33" t="n">
        <v>0.0255355200020864</v>
      </c>
      <c r="D171" s="33" t="n">
        <v>-0.0091865635084461</v>
      </c>
      <c r="E171" s="33" t="n">
        <v>-0.0704225583887709</v>
      </c>
      <c r="F171" s="33" t="n">
        <v>0.00672279247046825</v>
      </c>
      <c r="G171" s="33" t="n">
        <v>0.00385965373998376</v>
      </c>
      <c r="O171" s="48" t="n">
        <f aca="false" t="array" ref="O171:O171">PRODUCT(1+C166:C171)-1</f>
        <v>0.0979578922522497</v>
      </c>
      <c r="P171" s="48" t="n">
        <f aca="false" t="array" ref="P171:P171">PRODUCT(1+D166:D171)-1</f>
        <v>0.00788588027003878</v>
      </c>
      <c r="Q171" s="48" t="n">
        <f aca="false" t="array" ref="Q171:Q171">PRODUCT(1+E166:E171)-1</f>
        <v>-0.0489075531432681</v>
      </c>
      <c r="R171" s="48" t="n">
        <f aca="false" t="array" ref="R171:R171">PRODUCT(1+F166:F171)-1</f>
        <v>0.0482444175318422</v>
      </c>
      <c r="S171" s="48" t="n">
        <f aca="false" t="array" ref="S171:S171">PRODUCT(1+G166:G171)-1</f>
        <v>0.0838446262725696</v>
      </c>
    </row>
    <row r="172" customFormat="false" ht="15" hidden="false" customHeight="false" outlineLevel="0" collapsed="false">
      <c r="B172" s="46" t="n">
        <v>45931</v>
      </c>
      <c r="C172" s="33" t="n">
        <v>-0.00928449846622566</v>
      </c>
      <c r="D172" s="33" t="n">
        <v>0.000155721910645501</v>
      </c>
      <c r="E172" s="33" t="n">
        <v>-0.00865743599281216</v>
      </c>
      <c r="F172" s="33" t="n">
        <v>0.00213305154270294</v>
      </c>
      <c r="G172" s="33" t="n">
        <v>-0.0135513006338349</v>
      </c>
      <c r="O172" s="48" t="n">
        <f aca="false" t="array" ref="O172:O172">PRODUCT(1+C167:C172)-1</f>
        <v>0.0689711244156142</v>
      </c>
      <c r="P172" s="48" t="n">
        <f aca="false" t="array" ref="P172:P172">PRODUCT(1+D167:D172)-1</f>
        <v>0.0229385197111949</v>
      </c>
      <c r="Q172" s="48" t="n">
        <f aca="false" t="array" ref="Q172:Q172">PRODUCT(1+E167:E172)-1</f>
        <v>0.0111355278143837</v>
      </c>
      <c r="R172" s="48" t="n">
        <f aca="false" t="array" ref="R172:R172">PRODUCT(1+F167:F172)-1</f>
        <v>0.0463066523321685</v>
      </c>
      <c r="S172" s="48" t="n">
        <f aca="false" t="array" ref="S172:S172">PRODUCT(1+G167:G172)-1</f>
        <v>0.0160857131552983</v>
      </c>
    </row>
    <row r="173" customFormat="false" ht="15" hidden="false" customHeight="false" outlineLevel="0" collapsed="false">
      <c r="B173" s="46" t="n">
        <v>45962</v>
      </c>
      <c r="C173" s="33" t="n">
        <v>0.00533000246800134</v>
      </c>
      <c r="D173" s="33" t="n">
        <v>0.00810442280718149</v>
      </c>
      <c r="E173" s="33" t="n">
        <v>0.0174504746848433</v>
      </c>
      <c r="F173" s="33" t="n">
        <v>0.00591823724726985</v>
      </c>
      <c r="G173" s="33" t="n">
        <v>0.00211059501391109</v>
      </c>
      <c r="O173" s="48" t="n">
        <f aca="false" t="array" ref="O173:O173">PRODUCT(1+C168:C173)-1</f>
        <v>0.0512541937069011</v>
      </c>
      <c r="P173" s="48" t="n">
        <f aca="false" t="array" ref="P173:P173">PRODUCT(1+D168:D173)-1</f>
        <v>0.0124510146413193</v>
      </c>
      <c r="Q173" s="48" t="n">
        <f aca="false" t="array" ref="Q173:Q173">PRODUCT(1+E168:E173)-1</f>
        <v>-0.0326604097794461</v>
      </c>
      <c r="R173" s="48" t="n">
        <f aca="false" t="array" ref="R173:R173">PRODUCT(1+F168:F173)-1</f>
        <v>0.0357274482011813</v>
      </c>
      <c r="S173" s="48" t="n">
        <f aca="false" t="array" ref="S173:S173">PRODUCT(1+G168:G173)-1</f>
        <v>0.0216861735349678</v>
      </c>
    </row>
    <row r="174" customFormat="false" ht="15" hidden="false" customHeight="false" outlineLevel="0" collapsed="false">
      <c r="B174" s="46" t="n">
        <v>45992</v>
      </c>
      <c r="C174" s="33" t="n">
        <v>0.00753325814322864</v>
      </c>
      <c r="D174" s="33" t="n">
        <v>0.0124738035145632</v>
      </c>
      <c r="E174" s="33" t="n">
        <v>0.000181671836502417</v>
      </c>
      <c r="F174" s="33" t="n">
        <v>0.00642947074547114</v>
      </c>
      <c r="G174" s="33" t="n">
        <v>0.0129690266769378</v>
      </c>
      <c r="O174" s="48" t="n">
        <f aca="false" t="array" ref="O174:O174">PRODUCT(1+C169:C174)-1</f>
        <v>0.0445863639488355</v>
      </c>
      <c r="P174" s="48" t="n">
        <f aca="false" t="array" ref="P174:P174">PRODUCT(1+D169:D174)-1</f>
        <v>-0.00805449971440286</v>
      </c>
      <c r="Q174" s="48" t="n">
        <f aca="false" t="array" ref="Q174:Q174">PRODUCT(1+E169:E174)-1</f>
        <v>-0.0451464468396153</v>
      </c>
      <c r="R174" s="48" t="n">
        <f aca="false" t="array" ref="R174:R174">PRODUCT(1+F169:F174)-1</f>
        <v>0.0324078801571208</v>
      </c>
      <c r="S174" s="48" t="n">
        <f aca="false" t="array" ref="S174:S174">PRODUCT(1+G169:G174)-1</f>
        <v>0.00169165539794314</v>
      </c>
    </row>
    <row r="175" customFormat="false" ht="15" hidden="false" customHeight="false" outlineLevel="0" collapsed="false">
      <c r="B175" s="46" t="n">
        <v>46023</v>
      </c>
      <c r="C175" s="33" t="n">
        <v>0.0120237441563892</v>
      </c>
      <c r="D175" s="33" t="n">
        <v>0.0146573654701481</v>
      </c>
      <c r="E175" s="33" t="n">
        <v>-0.0147503174543331</v>
      </c>
      <c r="F175" s="33" t="n">
        <v>9.48250853987457E-005</v>
      </c>
      <c r="G175" s="33" t="n">
        <v>0.00919970007132887</v>
      </c>
      <c r="O175" s="48" t="n">
        <f aca="false" t="array" ref="O175:O175">PRODUCT(1+C170:C175)-1</f>
        <v>0.0305743291941596</v>
      </c>
      <c r="P175" s="48" t="n">
        <f aca="false" t="array" ref="P175:P175">PRODUCT(1+D170:D175)-1</f>
        <v>-0.0166334717952856</v>
      </c>
      <c r="Q175" s="48" t="n">
        <f aca="false" t="array" ref="Q175:Q175">PRODUCT(1+E170:E175)-1</f>
        <v>-0.0830309011636398</v>
      </c>
      <c r="R175" s="48" t="n">
        <f aca="false" t="array" ref="R175:R175">PRODUCT(1+F170:F175)-1</f>
        <v>0.0268931274196969</v>
      </c>
      <c r="S175" s="48" t="n">
        <f aca="false" t="array" ref="S175:S175">PRODUCT(1+G170:G175)-1</f>
        <v>0.0372732053504727</v>
      </c>
    </row>
    <row r="176" customFormat="false" ht="15" hidden="false" customHeight="false" outlineLevel="0" collapsed="false">
      <c r="B176" s="46" t="n">
        <v>46054</v>
      </c>
      <c r="C176" s="33" t="n">
        <v>0.0483910741679266</v>
      </c>
      <c r="D176" s="33" t="n">
        <v>0.0355287400434795</v>
      </c>
      <c r="E176" s="33" t="n">
        <v>-0.0790683550329547</v>
      </c>
      <c r="F176" s="33" t="n">
        <v>-0.00699619715631028</v>
      </c>
      <c r="G176" s="33" t="n">
        <v>-0.00441427853192555</v>
      </c>
      <c r="O176" s="48" t="n">
        <f aca="false" t="array" ref="O176:O176">PRODUCT(1+C171:C176)-1</f>
        <v>0.0918971103758479</v>
      </c>
      <c r="P176" s="48" t="n">
        <f aca="false" t="array" ref="P176:P176">PRODUCT(1+D171:D176)-1</f>
        <v>0.0627482432901714</v>
      </c>
      <c r="Q176" s="48" t="n">
        <f aca="false" t="array" ref="Q176:Q176">PRODUCT(1+E171:E176)-1</f>
        <v>-0.149106511944152</v>
      </c>
      <c r="R176" s="48" t="n">
        <f aca="false" t="array" ref="R176:R176">PRODUCT(1+F171:F176)-1</f>
        <v>0.0143163041202328</v>
      </c>
      <c r="S176" s="48" t="n">
        <f aca="false" t="array" ref="S176:S176">PRODUCT(1+G171:G176)-1</f>
        <v>0.00998540172194584</v>
      </c>
    </row>
    <row r="177" customFormat="false" ht="15" hidden="false" customHeight="false" outlineLevel="0" collapsed="false">
      <c r="B177" s="46" t="n">
        <v>46082</v>
      </c>
      <c r="C177" s="33" t="n">
        <v>-0.0386485438429401</v>
      </c>
      <c r="D177" s="33" t="n">
        <v>-0.0735522502371295</v>
      </c>
      <c r="E177" s="33" t="n">
        <v>0.00182454068478977</v>
      </c>
      <c r="F177" s="33" t="n">
        <v>-0.00598061606077771</v>
      </c>
      <c r="G177" s="33" t="n">
        <v>-0.0290626294048136</v>
      </c>
      <c r="O177" s="48" t="n">
        <f aca="false" t="array" ref="O177:O177">PRODUCT(1+C172:C177)-1</f>
        <v>0.0235597466496056</v>
      </c>
      <c r="P177" s="48" t="n">
        <f aca="false" t="array" ref="P177:P177">PRODUCT(1+D172:D177)-1</f>
        <v>-0.00629050606439219</v>
      </c>
      <c r="Q177" s="48" t="n">
        <f aca="false" t="array" ref="Q177:Q177">PRODUCT(1+E172:E177)-1</f>
        <v>-0.0829747585465379</v>
      </c>
      <c r="R177" s="48" t="n">
        <f aca="false" t="array" ref="R177:R177">PRODUCT(1+F172:F177)-1</f>
        <v>0.001517076281631</v>
      </c>
      <c r="S177" s="48" t="n">
        <f aca="false" t="array" ref="S177:S177">PRODUCT(1+G172:G177)-1</f>
        <v>-0.0231377796348521</v>
      </c>
    </row>
    <row r="178" customFormat="false" ht="15" hidden="false" customHeight="false" outlineLevel="0" collapsed="false">
      <c r="B178" s="46" t="n">
        <v>46113</v>
      </c>
      <c r="C178" s="33" t="n">
        <v>0.0439180558318229</v>
      </c>
      <c r="D178" s="33" t="n">
        <v>0.0302373354794595</v>
      </c>
      <c r="E178" s="33" t="n">
        <v>0.0654031587351512</v>
      </c>
      <c r="F178" s="33" t="n">
        <v>0.0165612114496885</v>
      </c>
      <c r="G178" s="33" t="n">
        <v>0.0196070089213456</v>
      </c>
      <c r="O178" s="48" t="n">
        <f aca="false" t="array" ref="O178:O178">PRODUCT(1+C173:C178)-1</f>
        <v>0.0785260744340366</v>
      </c>
      <c r="P178" s="48" t="n">
        <f aca="false" t="array" ref="P178:P178">PRODUCT(1+D173:D178)-1</f>
        <v>0.0235972247572922</v>
      </c>
      <c r="Q178" s="48" t="n">
        <f aca="false" t="array" ref="Q178:Q178">PRODUCT(1+E173:E178)-1</f>
        <v>-0.0144662154571833</v>
      </c>
      <c r="R178" s="48" t="n">
        <f aca="false" t="array" ref="R178:R178">PRODUCT(1+F173:F178)-1</f>
        <v>0.0159363677159603</v>
      </c>
      <c r="S178" s="48" t="n">
        <f aca="false" t="array" ref="S178:S178">PRODUCT(1+G173:G178)-1</f>
        <v>0.00969829173555081</v>
      </c>
    </row>
    <row r="179" customFormat="false" ht="15" hidden="false" customHeight="false" outlineLevel="0" collapsed="false">
      <c r="B179" s="46" t="n">
        <v>46143</v>
      </c>
      <c r="C179" s="33" t="n">
        <v>-0.00300305397920697</v>
      </c>
      <c r="D179" s="33" t="n">
        <v>0.0170493360960756</v>
      </c>
      <c r="E179" s="33" t="n">
        <v>-0.0242081313193459</v>
      </c>
      <c r="F179" s="33" t="n">
        <v>0.00493557620108894</v>
      </c>
      <c r="G179" s="33" t="n">
        <v>-0.00207552931149535</v>
      </c>
      <c r="O179" s="48" t="n">
        <f aca="false" t="array" ref="O179:O179">PRODUCT(1+C174:C179)-1</f>
        <v>0.0695863047703627</v>
      </c>
      <c r="P179" s="48" t="n">
        <f aca="false" t="array" ref="P179:P179">PRODUCT(1+D174:D179)-1</f>
        <v>0.0326796057200804</v>
      </c>
      <c r="Q179" s="48" t="n">
        <f aca="false" t="array" ref="Q179:Q179">PRODUCT(1+E174:E179)-1</f>
        <v>-0.0548180209313551</v>
      </c>
      <c r="R179" s="48" t="n">
        <f aca="false" t="array" ref="R179:R179">PRODUCT(1+F174:F179)-1</f>
        <v>0.0149439201620867</v>
      </c>
      <c r="S179" s="48" t="n">
        <f aca="false" t="array" ref="S179:S179">PRODUCT(1+G174:G179)-1</f>
        <v>0.00548047126604789</v>
      </c>
    </row>
    <row r="180" customFormat="false" ht="15" hidden="false" customHeight="false" outlineLevel="0" collapsed="false">
      <c r="B180" s="46" t="n">
        <v>46174</v>
      </c>
      <c r="C180" s="33" t="n">
        <v>0.00802069196477107</v>
      </c>
      <c r="D180" s="33" t="n">
        <v>0.0255760036365546</v>
      </c>
      <c r="E180" s="33" t="n">
        <v>0.00154604165443906</v>
      </c>
      <c r="F180" s="33" t="n">
        <v>0.00196415391170931</v>
      </c>
      <c r="G180" s="33" t="n">
        <v>-0.020445549569989</v>
      </c>
      <c r="O180" s="48" t="n">
        <f aca="false" t="array" ref="O180:O180">PRODUCT(1+C175:C180)-1</f>
        <v>0.0701037591926259</v>
      </c>
      <c r="P180" s="48" t="n">
        <f aca="false" t="array" ref="P180:P180">PRODUCT(1+D175:D180)-1</f>
        <v>0.0460432846706629</v>
      </c>
      <c r="Q180" s="48" t="n">
        <f aca="false" t="array" ref="Q180:Q180">PRODUCT(1+E175:E180)-1</f>
        <v>-0.0535286774040629</v>
      </c>
      <c r="R180" s="48" t="n">
        <f aca="false" t="array" ref="R180:R180">PRODUCT(1+F175:F180)-1</f>
        <v>0.0104408264990332</v>
      </c>
      <c r="S180" s="48" t="n">
        <f aca="false" t="array" ref="S180:S180">PRODUCT(1+G175:G180)-1</f>
        <v>-0.0276870817263009</v>
      </c>
    </row>
    <row r="181" customFormat="false" ht="15" hidden="false" customHeight="false" outlineLevel="0" collapsed="false">
      <c r="B181" s="46" t="n">
        <v>46204</v>
      </c>
      <c r="C181" s="33" t="n">
        <v>0.00546381132722031</v>
      </c>
      <c r="D181" s="33" t="n">
        <v>0.0603213701464437</v>
      </c>
      <c r="E181" s="33" t="n">
        <v>0.00536074237740736</v>
      </c>
      <c r="F181" s="33" t="n">
        <v>1.60225002459787E-005</v>
      </c>
      <c r="G181" s="33" t="n">
        <v>0.00888472113723271</v>
      </c>
      <c r="O181" s="48" t="n">
        <f aca="false" t="array" ref="O181:O181">PRODUCT(1+C176:C181)-1</f>
        <v>0.0631673519975593</v>
      </c>
      <c r="P181" s="48" t="n">
        <f aca="false" t="array" ref="P181:P181">PRODUCT(1+D176:D181)-1</f>
        <v>0.0931197925326799</v>
      </c>
      <c r="Q181" s="48" t="n">
        <f aca="false" t="array" ref="Q181:Q181">PRODUCT(1+E176:E181)-1</f>
        <v>-0.0342091670962064</v>
      </c>
      <c r="R181" s="48" t="n">
        <f aca="false" t="array" ref="R181:R181">PRODUCT(1+F176:F181)-1</f>
        <v>0.0103612086995257</v>
      </c>
      <c r="S181" s="48" t="n">
        <f aca="false" t="array" ref="S181:S181">PRODUCT(1+G176:G181)-1</f>
        <v>-0.0279905480140773</v>
      </c>
    </row>
    <row r="182" customFormat="false" ht="15" hidden="false" customHeight="false" outlineLevel="0" collapsed="false">
      <c r="B182" s="46" t="n">
        <v>46235</v>
      </c>
      <c r="C182" s="33" t="n">
        <v>-0.00528268121352423</v>
      </c>
      <c r="D182" s="33" t="n">
        <v>-0.00392604233706012</v>
      </c>
      <c r="E182" s="33" t="n">
        <v>0.0796727723551631</v>
      </c>
      <c r="F182" s="33" t="n">
        <v>0.00962428761384016</v>
      </c>
      <c r="G182" s="33" t="n">
        <v>0.00567850194804098</v>
      </c>
      <c r="O182" s="48" t="n">
        <f aca="false" t="array" ref="O182:O182">PRODUCT(1+C177:C182)-1</f>
        <v>0.00873710570234754</v>
      </c>
      <c r="P182" s="48" t="n">
        <f aca="false" t="array" ref="P182:P182">PRODUCT(1+D177:D182)-1</f>
        <v>0.0514707277965076</v>
      </c>
      <c r="Q182" s="48" t="n">
        <f aca="false" t="array" ref="Q182:Q182">PRODUCT(1+E177:E182)-1</f>
        <v>0.132264345323647</v>
      </c>
      <c r="R182" s="48" t="n">
        <f aca="false" t="array" ref="R182:R182">PRODUCT(1+F177:F182)-1</f>
        <v>0.0272722145118414</v>
      </c>
      <c r="S182" s="48" t="n">
        <f aca="false" t="array" ref="S182:S182">PRODUCT(1+G177:G182)-1</f>
        <v>-0.0181367726818232</v>
      </c>
    </row>
    <row r="183" customFormat="false" ht="15" hidden="false" customHeight="false" outlineLevel="0" collapsed="false">
      <c r="B183" s="46" t="n">
        <v>46266</v>
      </c>
      <c r="C183" s="33" t="n">
        <v>-0.023744410206798</v>
      </c>
      <c r="D183" s="33" t="n">
        <v>-0.00707919797051726</v>
      </c>
      <c r="E183" s="33" t="n">
        <v>-0.0352893640830247</v>
      </c>
      <c r="F183" s="33" t="n">
        <v>-0.0148390863087467</v>
      </c>
      <c r="G183" s="33" t="n">
        <v>-0.0214114533047589</v>
      </c>
      <c r="O183" s="48" t="n">
        <f aca="false" t="array" ref="O183:O183">PRODUCT(1+C178:C183)-1</f>
        <v>0.0243758739497291</v>
      </c>
      <c r="P183" s="48" t="n">
        <f aca="false" t="array" ref="P183:P183">PRODUCT(1+D178:D183)-1</f>
        <v>0.126914236255047</v>
      </c>
      <c r="Q183" s="48" t="n">
        <f aca="false" t="array" ref="Q183:Q183">PRODUCT(1+E178:E183)-1</f>
        <v>0.0903181268215436</v>
      </c>
      <c r="R183" s="48" t="n">
        <f aca="false" t="array" ref="R183:R183">PRODUCT(1+F178:F183)-1</f>
        <v>0.0181174027487596</v>
      </c>
      <c r="S183" s="48" t="n">
        <f aca="false" t="array" ref="S183:S183">PRODUCT(1+G178:G183)-1</f>
        <v>-0.0103994986970202</v>
      </c>
    </row>
  </sheetData>
  <mergeCells count="2">
    <mergeCell ref="B3:M3"/>
    <mergeCell ref="I38:N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K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10" min="3" style="0" width="12"/>
    <col collapsed="false" customWidth="true" hidden="false" outlineLevel="0" max="11" min="11" style="0" width="40"/>
  </cols>
  <sheetData>
    <row r="2" customFormat="false" ht="15" hidden="false" customHeight="false" outlineLevel="0" collapsed="false">
      <c r="B2" s="1" t="s">
        <v>667</v>
      </c>
    </row>
    <row r="3" customFormat="false" ht="42" hidden="false" customHeight="true" outlineLevel="0" collapsed="false">
      <c r="B3" s="20" t="s">
        <v>668</v>
      </c>
      <c r="C3" s="20"/>
      <c r="D3" s="20"/>
      <c r="E3" s="20"/>
      <c r="F3" s="20"/>
      <c r="G3" s="20"/>
      <c r="H3" s="20"/>
      <c r="I3" s="20"/>
      <c r="J3" s="20"/>
      <c r="K3" s="20"/>
    </row>
    <row r="5" customFormat="false" ht="18" hidden="false" customHeight="true" outlineLevel="0" collapsed="false">
      <c r="B5" s="3" t="s">
        <v>427</v>
      </c>
      <c r="C5" s="4"/>
      <c r="D5" s="4"/>
      <c r="E5" s="4"/>
      <c r="F5" s="4"/>
      <c r="G5" s="4"/>
      <c r="H5" s="4"/>
      <c r="I5" s="4"/>
      <c r="J5" s="4"/>
      <c r="K5" s="4"/>
    </row>
    <row r="6" customFormat="false" ht="15.75" hidden="false" customHeight="true" outlineLevel="0" collapsed="false">
      <c r="B6" s="5" t="s">
        <v>669</v>
      </c>
      <c r="C6" s="6" t="s">
        <v>429</v>
      </c>
      <c r="D6" s="6" t="s">
        <v>430</v>
      </c>
      <c r="E6" s="6" t="s">
        <v>431</v>
      </c>
      <c r="F6" s="6" t="s">
        <v>432</v>
      </c>
      <c r="G6" s="6" t="s">
        <v>433</v>
      </c>
      <c r="H6" s="6" t="s">
        <v>434</v>
      </c>
      <c r="I6" s="6" t="s">
        <v>435</v>
      </c>
      <c r="J6" s="6" t="s">
        <v>436</v>
      </c>
      <c r="K6" s="6" t="s">
        <v>4</v>
      </c>
    </row>
    <row r="7" customFormat="false" ht="15" hidden="false" customHeight="false" outlineLevel="0" collapsed="false">
      <c r="B7" s="7" t="s">
        <v>670</v>
      </c>
      <c r="C7" s="17" t="n">
        <f aca="false">EDATE(Date_depart,0)</f>
        <v>47118</v>
      </c>
      <c r="D7" s="17" t="n">
        <f aca="false">EDATE(Date_depart,6)</f>
        <v>47299</v>
      </c>
      <c r="E7" s="17" t="n">
        <f aca="false">EDATE(Date_depart,12)</f>
        <v>47483</v>
      </c>
      <c r="F7" s="17" t="n">
        <f aca="false">EDATE(Date_depart,18)</f>
        <v>47664</v>
      </c>
      <c r="G7" s="17" t="n">
        <f aca="false">EDATE(Date_depart,24)</f>
        <v>47848</v>
      </c>
      <c r="H7" s="17" t="n">
        <f aca="false">EDATE(Date_depart,30)</f>
        <v>48029</v>
      </c>
      <c r="I7" s="17" t="n">
        <f aca="false">EDATE(Date_depart,36)</f>
        <v>48213</v>
      </c>
      <c r="J7" s="17" t="n">
        <f aca="false">EDATE(Date_depart,42)</f>
        <v>48395</v>
      </c>
      <c r="K7" s="9"/>
    </row>
    <row r="8" customFormat="false" ht="15" hidden="false" customHeight="false" outlineLevel="0" collapsed="false">
      <c r="B8" s="7" t="s">
        <v>671</v>
      </c>
      <c r="C8" s="36" t="n">
        <f aca="false">Paramètres!$C$161</f>
        <v>-0.5</v>
      </c>
      <c r="D8" s="36" t="n">
        <f aca="false">Paramètres!$D$161</f>
        <v>0</v>
      </c>
      <c r="E8" s="36" t="n">
        <f aca="false">Paramètres!$E$161</f>
        <v>0</v>
      </c>
      <c r="F8" s="36" t="n">
        <f aca="false">Paramètres!$F$161</f>
        <v>0</v>
      </c>
      <c r="G8" s="36" t="n">
        <f aca="false">Paramètres!$G$161</f>
        <v>0</v>
      </c>
      <c r="H8" s="36" t="n">
        <f aca="false">Paramètres!$H$161</f>
        <v>0</v>
      </c>
      <c r="I8" s="36" t="n">
        <f aca="false">Paramètres!$I$161</f>
        <v>0</v>
      </c>
      <c r="J8" s="36" t="n">
        <f aca="false">Paramètres!$J$161</f>
        <v>0</v>
      </c>
      <c r="K8" s="9" t="s">
        <v>672</v>
      </c>
    </row>
    <row r="9" customFormat="false" ht="15" hidden="false" customHeight="false" outlineLevel="0" collapsed="false">
      <c r="B9" s="7" t="s">
        <v>673</v>
      </c>
      <c r="C9" s="16" t="n">
        <f aca="false">Paramètres!$C$161*'MST Données'!$J$10</f>
        <v>-0.0295177576915832</v>
      </c>
      <c r="D9" s="16" t="n">
        <f aca="false">Paramètres!$D$161*'MST Données'!$J$10</f>
        <v>0</v>
      </c>
      <c r="E9" s="16" t="n">
        <f aca="false">Paramètres!$E$161*'MST Données'!$J$10</f>
        <v>0</v>
      </c>
      <c r="F9" s="16" t="n">
        <f aca="false">Paramètres!$F$161*'MST Données'!$J$10</f>
        <v>0</v>
      </c>
      <c r="G9" s="16" t="n">
        <f aca="false">Paramètres!$G$161*'MST Données'!$J$10</f>
        <v>0</v>
      </c>
      <c r="H9" s="16" t="n">
        <f aca="false">Paramètres!$H$161*'MST Données'!$J$10</f>
        <v>0</v>
      </c>
      <c r="I9" s="16" t="n">
        <f aca="false">Paramètres!$I$161*'MST Données'!$J$10</f>
        <v>0</v>
      </c>
      <c r="J9" s="16" t="n">
        <f aca="false">Paramètres!$J$161*'MST Données'!$J$10</f>
        <v>0</v>
      </c>
      <c r="K9" s="9" t="s">
        <v>674</v>
      </c>
    </row>
    <row r="10" customFormat="false" ht="15" hidden="false" customHeight="false" outlineLevel="0" collapsed="false">
      <c r="B10" s="7" t="s">
        <v>675</v>
      </c>
      <c r="C10" s="16" t="n">
        <f aca="false">Paramètres!$C$161*'MST Données'!$L$10</f>
        <v>-0.0645547406038703</v>
      </c>
      <c r="D10" s="16" t="n">
        <f aca="false">Paramètres!$D$161*'MST Données'!$L$10</f>
        <v>0</v>
      </c>
      <c r="E10" s="16" t="n">
        <f aca="false">Paramètres!$E$161*'MST Données'!$L$10</f>
        <v>0</v>
      </c>
      <c r="F10" s="16" t="n">
        <f aca="false">Paramètres!$F$161*'MST Données'!$L$10</f>
        <v>0</v>
      </c>
      <c r="G10" s="16" t="n">
        <f aca="false">Paramètres!$G$161*'MST Données'!$L$10</f>
        <v>0</v>
      </c>
      <c r="H10" s="16" t="n">
        <f aca="false">Paramètres!$H$161*'MST Données'!$L$10</f>
        <v>0</v>
      </c>
      <c r="I10" s="16" t="n">
        <f aca="false">Paramètres!$I$161*'MST Données'!$L$10</f>
        <v>0</v>
      </c>
      <c r="J10" s="16" t="n">
        <f aca="false">Paramètres!$J$161*'MST Données'!$L$10</f>
        <v>0</v>
      </c>
      <c r="K10" s="9" t="s">
        <v>674</v>
      </c>
    </row>
    <row r="11" customFormat="false" ht="15" hidden="false" customHeight="false" outlineLevel="0" collapsed="false">
      <c r="B11" s="7" t="s">
        <v>676</v>
      </c>
      <c r="C11" s="16" t="n">
        <f aca="false">Paramètres!$C$161*'MST Données'!$M$10</f>
        <v>-0.019397735228373</v>
      </c>
      <c r="D11" s="16" t="n">
        <f aca="false">Paramètres!$D$161*'MST Données'!$M$10</f>
        <v>0</v>
      </c>
      <c r="E11" s="16" t="n">
        <f aca="false">Paramètres!$E$161*'MST Données'!$M$10</f>
        <v>0</v>
      </c>
      <c r="F11" s="16" t="n">
        <f aca="false">Paramètres!$F$161*'MST Données'!$M$10</f>
        <v>0</v>
      </c>
      <c r="G11" s="16" t="n">
        <f aca="false">Paramètres!$G$161*'MST Données'!$M$10</f>
        <v>0</v>
      </c>
      <c r="H11" s="16" t="n">
        <f aca="false">Paramètres!$H$161*'MST Données'!$M$10</f>
        <v>0</v>
      </c>
      <c r="I11" s="16" t="n">
        <f aca="false">Paramètres!$I$161*'MST Données'!$M$10</f>
        <v>0</v>
      </c>
      <c r="J11" s="16" t="n">
        <f aca="false">Paramètres!$J$161*'MST Données'!$M$10</f>
        <v>0</v>
      </c>
      <c r="K11" s="9" t="s">
        <v>674</v>
      </c>
    </row>
    <row r="12" customFormat="false" ht="15" hidden="false" customHeight="false" outlineLevel="0" collapsed="false">
      <c r="B12" s="7" t="s">
        <v>677</v>
      </c>
      <c r="C12" s="16" t="n">
        <f aca="false">Paramètres!$C$166</f>
        <v>0</v>
      </c>
      <c r="D12" s="16" t="n">
        <f aca="false">Paramètres!$D$166</f>
        <v>0</v>
      </c>
      <c r="E12" s="16" t="n">
        <f aca="false">Paramètres!$E$166</f>
        <v>0</v>
      </c>
      <c r="F12" s="16" t="n">
        <f aca="false">Paramètres!$F$166</f>
        <v>0</v>
      </c>
      <c r="G12" s="16" t="n">
        <f aca="false">Paramètres!$G$166</f>
        <v>0</v>
      </c>
      <c r="H12" s="16" t="n">
        <f aca="false">Paramètres!$H$166</f>
        <v>0</v>
      </c>
      <c r="I12" s="16" t="n">
        <f aca="false">Paramètres!$I$166</f>
        <v>0</v>
      </c>
      <c r="J12" s="16" t="n">
        <f aca="false">Paramètres!$J$166</f>
        <v>0</v>
      </c>
      <c r="K12" s="9" t="s">
        <v>678</v>
      </c>
    </row>
    <row r="13" customFormat="false" ht="15" hidden="false" customHeight="false" outlineLevel="0" collapsed="false">
      <c r="B13" s="7" t="s">
        <v>679</v>
      </c>
      <c r="C13" s="16" t="n">
        <f aca="false">0.6*C9+0.2*C10+0.2*C11</f>
        <v>-0.0345011497813986</v>
      </c>
      <c r="D13" s="16" t="n">
        <f aca="false">0.6*D9+0.2*D10+0.2*D11</f>
        <v>0</v>
      </c>
      <c r="E13" s="16" t="n">
        <f aca="false">0.6*E9+0.2*E10+0.2*E11</f>
        <v>0</v>
      </c>
      <c r="F13" s="16" t="n">
        <f aca="false">0.6*F9+0.2*F10+0.2*F11</f>
        <v>0</v>
      </c>
      <c r="G13" s="16" t="n">
        <f aca="false">0.6*G9+0.2*G10+0.2*G11</f>
        <v>0</v>
      </c>
      <c r="H13" s="16" t="n">
        <f aca="false">0.6*H9+0.2*H10+0.2*H11</f>
        <v>0</v>
      </c>
      <c r="I13" s="16" t="n">
        <f aca="false">0.6*I9+0.2*I10+0.2*I11</f>
        <v>0</v>
      </c>
      <c r="J13" s="16" t="n">
        <f aca="false">0.6*J9+0.2*J10+0.2*J11</f>
        <v>0</v>
      </c>
      <c r="K13" s="9" t="s">
        <v>680</v>
      </c>
    </row>
    <row r="15" customFormat="false" ht="15.75" hidden="false" customHeight="true" outlineLevel="0" collapsed="false">
      <c r="B15" s="5" t="s">
        <v>681</v>
      </c>
      <c r="C15" s="6" t="s">
        <v>429</v>
      </c>
      <c r="D15" s="6" t="s">
        <v>430</v>
      </c>
      <c r="E15" s="6" t="s">
        <v>431</v>
      </c>
      <c r="F15" s="6" t="s">
        <v>432</v>
      </c>
      <c r="G15" s="6" t="s">
        <v>433</v>
      </c>
      <c r="H15" s="6" t="s">
        <v>434</v>
      </c>
      <c r="I15" s="6" t="s">
        <v>435</v>
      </c>
      <c r="J15" s="6" t="s">
        <v>436</v>
      </c>
      <c r="K15" s="6" t="s">
        <v>682</v>
      </c>
    </row>
    <row r="16" customFormat="false" ht="22.35" hidden="false" customHeight="false" outlineLevel="0" collapsed="false">
      <c r="B16" s="7" t="s">
        <v>187</v>
      </c>
      <c r="C16" s="16" t="n">
        <f aca="false">Paramètres!$C$79/2+Paramètres!$F$79*((1-Paramètres!$G$79)*C9)+Paramètres!$H$79*C12+IF(AND(C9&lt;0,"S1"&lt;&gt;"S1",1&lt;=2),Paramètres!$I$79,0)</f>
        <v>0.0601205605771042</v>
      </c>
      <c r="D16" s="16" t="n">
        <f aca="false">Paramètres!$C$79/2+Paramètres!$F$79*((1-Paramètres!$G$79)*D9+Paramètres!$G$79*C9)+Paramètres!$H$79*D12+IF(AND(D9&lt;0,"S1"&lt;&gt;"S1",2&lt;=2),Paramètres!$I$79,0)</f>
        <v>0.0601205605771042</v>
      </c>
      <c r="E16" s="16" t="n">
        <f aca="false">Paramètres!$C$79/2+Paramètres!$F$79*((1-Paramètres!$G$79)*E9+Paramètres!$G$79*D9)+Paramètres!$H$79*E12+IF(AND(E9&lt;0,"S1"&lt;&gt;"S1",3&lt;=2),Paramètres!$I$79,0)</f>
        <v>0.0675</v>
      </c>
      <c r="F16" s="16" t="n">
        <f aca="false">Paramètres!$C$79/2+Paramètres!$F$79*((1-Paramètres!$G$79)*F9+Paramètres!$G$79*E9)+Paramètres!$H$79*F12+IF(AND(F9&lt;0,"S1"&lt;&gt;"S1",4&lt;=2),Paramètres!$I$79,0)</f>
        <v>0.0675</v>
      </c>
      <c r="G16" s="16" t="n">
        <f aca="false">Paramètres!$C$79/2+Paramètres!$F$79*((1-Paramètres!$G$79)*G9+Paramètres!$G$79*F9)+Paramètres!$H$79*G12+IF(AND(G9&lt;0,"S1"&lt;&gt;"S1",5&lt;=2),Paramètres!$I$79,0)</f>
        <v>0.0675</v>
      </c>
      <c r="H16" s="16" t="n">
        <f aca="false">Paramètres!$C$79/2+Paramètres!$F$79*((1-Paramètres!$G$79)*H9+Paramètres!$G$79*G9)+Paramètres!$H$79*H12+IF(AND(H9&lt;0,"S1"&lt;&gt;"S1",6&lt;=2),Paramètres!$I$79,0)</f>
        <v>0.0675</v>
      </c>
      <c r="I16" s="16" t="n">
        <f aca="false">Paramètres!$C$79/2+Paramètres!$F$79*((1-Paramètres!$G$79)*I9+Paramètres!$G$79*H9)+Paramètres!$H$79*I12+IF(AND(I9&lt;0,"S1"&lt;&gt;"S1",7&lt;=2),Paramètres!$I$79,0)</f>
        <v>0.0675</v>
      </c>
      <c r="J16" s="16" t="n">
        <f aca="false">Paramètres!$C$79/2+Paramètres!$F$79*((1-Paramètres!$G$79)*J9+Paramètres!$G$79*I9)+Paramètres!$H$79*J12+IF(AND(J9&lt;0,"S1"&lt;&gt;"S1",8&lt;=2),Paramètres!$I$79,0)</f>
        <v>0.0675</v>
      </c>
      <c r="K16" s="9" t="s">
        <v>683</v>
      </c>
    </row>
    <row r="17" customFormat="false" ht="22.35" hidden="false" customHeight="false" outlineLevel="0" collapsed="false">
      <c r="B17" s="7" t="s">
        <v>190</v>
      </c>
      <c r="C17" s="16" t="n">
        <f aca="false">Paramètres!$C$80/2+Paramètres!$F$80*((1-Paramètres!$G$80)*C10)+Paramètres!$H$80*C12+IF(AND(C10&lt;0,"S1"&lt;&gt;"S1",1&lt;=2),Paramètres!$I$80,0)</f>
        <v>0.0388613148490324</v>
      </c>
      <c r="D17" s="16" t="n">
        <f aca="false">Paramètres!$C$80/2+Paramètres!$F$80*((1-Paramètres!$G$80)*D10+Paramètres!$G$80*C10)+Paramètres!$H$80*D12+IF(AND(D10&lt;0,"S1"&lt;&gt;"S1",2&lt;=2),Paramètres!$I$80,0)</f>
        <v>0.0388613148490324</v>
      </c>
      <c r="E17" s="16" t="n">
        <f aca="false">Paramètres!$C$80/2+Paramètres!$F$80*((1-Paramètres!$G$80)*E10+Paramètres!$G$80*D10)+Paramètres!$H$80*E12+IF(AND(E10&lt;0,"S1"&lt;&gt;"S1",3&lt;=2),Paramètres!$I$80,0)</f>
        <v>0.055</v>
      </c>
      <c r="F17" s="16" t="n">
        <f aca="false">Paramètres!$C$80/2+Paramètres!$F$80*((1-Paramètres!$G$80)*F10+Paramètres!$G$80*E10)+Paramètres!$H$80*F12+IF(AND(F10&lt;0,"S1"&lt;&gt;"S1",4&lt;=2),Paramètres!$I$80,0)</f>
        <v>0.055</v>
      </c>
      <c r="G17" s="16" t="n">
        <f aca="false">Paramètres!$C$80/2+Paramètres!$F$80*((1-Paramètres!$G$80)*G10+Paramètres!$G$80*F10)+Paramètres!$H$80*G12+IF(AND(G10&lt;0,"S1"&lt;&gt;"S1",5&lt;=2),Paramètres!$I$80,0)</f>
        <v>0.055</v>
      </c>
      <c r="H17" s="16" t="n">
        <f aca="false">Paramètres!$C$80/2+Paramètres!$F$80*((1-Paramètres!$G$80)*H10+Paramètres!$G$80*G10)+Paramètres!$H$80*H12+IF(AND(H10&lt;0,"S1"&lt;&gt;"S1",6&lt;=2),Paramètres!$I$80,0)</f>
        <v>0.055</v>
      </c>
      <c r="I17" s="16" t="n">
        <f aca="false">Paramètres!$C$80/2+Paramètres!$F$80*((1-Paramètres!$G$80)*I10+Paramètres!$G$80*H10)+Paramètres!$H$80*I12+IF(AND(I10&lt;0,"S1"&lt;&gt;"S1",7&lt;=2),Paramètres!$I$80,0)</f>
        <v>0.055</v>
      </c>
      <c r="J17" s="16" t="n">
        <f aca="false">Paramètres!$C$80/2+Paramètres!$F$80*((1-Paramètres!$G$80)*J10+Paramètres!$G$80*I10)+Paramètres!$H$80*J12+IF(AND(J10&lt;0,"S1"&lt;&gt;"S1",8&lt;=2),Paramètres!$I$80,0)</f>
        <v>0.055</v>
      </c>
      <c r="K17" s="9" t="s">
        <v>684</v>
      </c>
    </row>
    <row r="18" customFormat="false" ht="22.35" hidden="false" customHeight="false" outlineLevel="0" collapsed="false">
      <c r="B18" s="7" t="s">
        <v>192</v>
      </c>
      <c r="C18" s="16" t="n">
        <f aca="false">Paramètres!$C$81/2+Paramètres!$F$81*((1-Paramètres!$G$81)*C9)+Paramètres!$H$81*C12+IF(AND(C9&lt;0,"S1"&lt;&gt;"S1",1&lt;=2),Paramètres!$I$81,0)</f>
        <v>0.0501205605771042</v>
      </c>
      <c r="D18" s="16" t="n">
        <f aca="false">Paramètres!$C$81/2+Paramètres!$F$81*((1-Paramètres!$G$81)*D9+Paramètres!$G$81*C9)+Paramètres!$H$81*D12+IF(AND(D9&lt;0,"S1"&lt;&gt;"S1",2&lt;=2),Paramètres!$I$81,0)</f>
        <v>0.0501205605771042</v>
      </c>
      <c r="E18" s="16" t="n">
        <f aca="false">Paramètres!$C$81/2+Paramètres!$F$81*((1-Paramètres!$G$81)*E9+Paramètres!$G$81*D9)+Paramètres!$H$81*E12+IF(AND(E9&lt;0,"S1"&lt;&gt;"S1",3&lt;=2),Paramètres!$I$81,0)</f>
        <v>0.0575</v>
      </c>
      <c r="F18" s="16" t="n">
        <f aca="false">Paramètres!$C$81/2+Paramètres!$F$81*((1-Paramètres!$G$81)*F9+Paramètres!$G$81*E9)+Paramètres!$H$81*F12+IF(AND(F9&lt;0,"S1"&lt;&gt;"S1",4&lt;=2),Paramètres!$I$81,0)</f>
        <v>0.0575</v>
      </c>
      <c r="G18" s="16" t="n">
        <f aca="false">Paramètres!$C$81/2+Paramètres!$F$81*((1-Paramètres!$G$81)*G9+Paramètres!$G$81*F9)+Paramètres!$H$81*G12+IF(AND(G9&lt;0,"S1"&lt;&gt;"S1",5&lt;=2),Paramètres!$I$81,0)</f>
        <v>0.0575</v>
      </c>
      <c r="H18" s="16" t="n">
        <f aca="false">Paramètres!$C$81/2+Paramètres!$F$81*((1-Paramètres!$G$81)*H9+Paramètres!$G$81*G9)+Paramètres!$H$81*H12+IF(AND(H9&lt;0,"S1"&lt;&gt;"S1",6&lt;=2),Paramètres!$I$81,0)</f>
        <v>0.0575</v>
      </c>
      <c r="I18" s="16" t="n">
        <f aca="false">Paramètres!$C$81/2+Paramètres!$F$81*((1-Paramètres!$G$81)*I9+Paramètres!$G$81*H9)+Paramètres!$H$81*I12+IF(AND(I9&lt;0,"S1"&lt;&gt;"S1",7&lt;=2),Paramètres!$I$81,0)</f>
        <v>0.0575</v>
      </c>
      <c r="J18" s="16" t="n">
        <f aca="false">Paramètres!$C$81/2+Paramètres!$F$81*((1-Paramètres!$G$81)*J9+Paramètres!$G$81*I9)+Paramètres!$H$81*J12+IF(AND(J9&lt;0,"S1"&lt;&gt;"S1",8&lt;=2),Paramètres!$I$81,0)</f>
        <v>0.0575</v>
      </c>
      <c r="K18" s="9" t="s">
        <v>683</v>
      </c>
    </row>
    <row r="19" customFormat="false" ht="22.35" hidden="false" customHeight="false" outlineLevel="0" collapsed="false">
      <c r="B19" s="7" t="s">
        <v>195</v>
      </c>
      <c r="C19" s="16" t="n">
        <f aca="false">Paramètres!$C$82/2+Paramètres!$F$82*((1-Paramètres!$G$82)*C13)+Paramètres!$H$82*C12+IF(AND(C13&lt;0,"S1"&lt;&gt;"S1",1&lt;=2),Paramètres!$I$82,0)</f>
        <v>0.0388747125546504</v>
      </c>
      <c r="D19" s="16" t="n">
        <f aca="false">Paramètres!$C$82/2+Paramètres!$F$82*((1-Paramètres!$G$82)*D13+Paramètres!$G$82*C13)+Paramètres!$H$82*D12+IF(AND(D13&lt;0,"S1"&lt;&gt;"S1",2&lt;=2),Paramètres!$I$82,0)</f>
        <v>0.0388747125546504</v>
      </c>
      <c r="E19" s="16" t="n">
        <f aca="false">Paramètres!$C$82/2+Paramètres!$F$82*((1-Paramètres!$G$82)*E13+Paramètres!$G$82*D13)+Paramètres!$H$82*E12+IF(AND(E13&lt;0,"S1"&lt;&gt;"S1",3&lt;=2),Paramètres!$I$82,0)</f>
        <v>0.0475</v>
      </c>
      <c r="F19" s="16" t="n">
        <f aca="false">Paramètres!$C$82/2+Paramètres!$F$82*((1-Paramètres!$G$82)*F13+Paramètres!$G$82*E13)+Paramètres!$H$82*F12+IF(AND(F13&lt;0,"S1"&lt;&gt;"S1",4&lt;=2),Paramètres!$I$82,0)</f>
        <v>0.0475</v>
      </c>
      <c r="G19" s="16" t="n">
        <f aca="false">Paramètres!$C$82/2+Paramètres!$F$82*((1-Paramètres!$G$82)*G13+Paramètres!$G$82*F13)+Paramètres!$H$82*G12+IF(AND(G13&lt;0,"S1"&lt;&gt;"S1",5&lt;=2),Paramètres!$I$82,0)</f>
        <v>0.0475</v>
      </c>
      <c r="H19" s="16" t="n">
        <f aca="false">Paramètres!$C$82/2+Paramètres!$F$82*((1-Paramètres!$G$82)*H13+Paramètres!$G$82*G13)+Paramètres!$H$82*H12+IF(AND(H13&lt;0,"S1"&lt;&gt;"S1",6&lt;=2),Paramètres!$I$82,0)</f>
        <v>0.0475</v>
      </c>
      <c r="I19" s="16" t="n">
        <f aca="false">Paramètres!$C$82/2+Paramètres!$F$82*((1-Paramètres!$G$82)*I13+Paramètres!$G$82*H13)+Paramètres!$H$82*I12+IF(AND(I13&lt;0,"S1"&lt;&gt;"S1",7&lt;=2),Paramètres!$I$82,0)</f>
        <v>0.0475</v>
      </c>
      <c r="J19" s="16" t="n">
        <f aca="false">Paramètres!$C$82/2+Paramètres!$F$82*((1-Paramètres!$G$82)*J13+Paramètres!$G$82*I13)+Paramètres!$H$82*J12+IF(AND(J13&lt;0,"S1"&lt;&gt;"S1",8&lt;=2),Paramètres!$I$82,0)</f>
        <v>0.0475</v>
      </c>
      <c r="K19" s="9" t="s">
        <v>685</v>
      </c>
    </row>
    <row r="20" customFormat="false" ht="22.35" hidden="false" customHeight="false" outlineLevel="0" collapsed="false">
      <c r="B20" s="7" t="s">
        <v>197</v>
      </c>
      <c r="C20" s="16" t="n">
        <f aca="false">Paramètres!$C$83/2+Paramètres!$F$83*((1-Paramètres!$G$83)*C11)+Paramètres!$H$83*C12+IF(AND(C11&lt;0,"S1"&lt;&gt;"S1",1&lt;=2),Paramètres!$I$83,0)</f>
        <v>0.010602264771627</v>
      </c>
      <c r="D20" s="16" t="n">
        <f aca="false">Paramètres!$C$83/2+Paramètres!$F$83*((1-Paramètres!$G$83)*D11+Paramètres!$G$83*C11)+Paramètres!$H$83*D12+IF(AND(D11&lt;0,"S1"&lt;&gt;"S1",2&lt;=2),Paramètres!$I$83,0)</f>
        <v>0.03</v>
      </c>
      <c r="E20" s="16" t="n">
        <f aca="false">Paramètres!$C$83/2+Paramètres!$F$83*((1-Paramètres!$G$83)*E11+Paramètres!$G$83*D11)+Paramètres!$H$83*E12+IF(AND(E11&lt;0,"S1"&lt;&gt;"S1",3&lt;=2),Paramètres!$I$83,0)</f>
        <v>0.03</v>
      </c>
      <c r="F20" s="16" t="n">
        <f aca="false">Paramètres!$C$83/2+Paramètres!$F$83*((1-Paramètres!$G$83)*F11+Paramètres!$G$83*E11)+Paramètres!$H$83*F12+IF(AND(F11&lt;0,"S1"&lt;&gt;"S1",4&lt;=2),Paramètres!$I$83,0)</f>
        <v>0.03</v>
      </c>
      <c r="G20" s="16" t="n">
        <f aca="false">Paramètres!$C$83/2+Paramètres!$F$83*((1-Paramètres!$G$83)*G11+Paramètres!$G$83*F11)+Paramètres!$H$83*G12+IF(AND(G11&lt;0,"S1"&lt;&gt;"S1",5&lt;=2),Paramètres!$I$83,0)</f>
        <v>0.03</v>
      </c>
      <c r="H20" s="16" t="n">
        <f aca="false">Paramètres!$C$83/2+Paramètres!$F$83*((1-Paramètres!$G$83)*H11+Paramètres!$G$83*G11)+Paramètres!$H$83*H12+IF(AND(H11&lt;0,"S1"&lt;&gt;"S1",6&lt;=2),Paramètres!$I$83,0)</f>
        <v>0.03</v>
      </c>
      <c r="I20" s="16" t="n">
        <f aca="false">Paramètres!$C$83/2+Paramètres!$F$83*((1-Paramètres!$G$83)*I11+Paramètres!$G$83*H11)+Paramètres!$H$83*I12+IF(AND(I11&lt;0,"S1"&lt;&gt;"S1",7&lt;=2),Paramètres!$I$83,0)</f>
        <v>0.03</v>
      </c>
      <c r="J20" s="16" t="n">
        <f aca="false">Paramètres!$C$83/2+Paramètres!$F$83*((1-Paramètres!$G$83)*J11+Paramètres!$G$83*I11)+Paramètres!$H$83*J12+IF(AND(J11&lt;0,"S1"&lt;&gt;"S1",8&lt;=2),Paramètres!$I$83,0)</f>
        <v>0.03</v>
      </c>
      <c r="K20" s="9" t="s">
        <v>686</v>
      </c>
    </row>
    <row r="21" customFormat="false" ht="15" hidden="false" customHeight="false" outlineLevel="0" collapsed="false">
      <c r="B21" s="7" t="s">
        <v>200</v>
      </c>
      <c r="C21" s="16" t="n">
        <f aca="false">Paramètres!$C$84/2</f>
        <v>0.0125</v>
      </c>
      <c r="D21" s="16" t="n">
        <f aca="false">Paramètres!$C$84/2</f>
        <v>0.0125</v>
      </c>
      <c r="E21" s="16" t="n">
        <f aca="false">Paramètres!$C$84/2</f>
        <v>0.0125</v>
      </c>
      <c r="F21" s="16" t="n">
        <f aca="false">Paramètres!$C$84/2</f>
        <v>0.0125</v>
      </c>
      <c r="G21" s="16" t="n">
        <f aca="false">Paramètres!$C$84/2</f>
        <v>0.0125</v>
      </c>
      <c r="H21" s="16" t="n">
        <f aca="false">Paramètres!$C$84/2</f>
        <v>0.0125</v>
      </c>
      <c r="I21" s="16" t="n">
        <f aca="false">Paramètres!$C$84/2</f>
        <v>0.0125</v>
      </c>
      <c r="J21" s="16" t="n">
        <f aca="false">Paramètres!$C$84/2</f>
        <v>0.0125</v>
      </c>
      <c r="K21" s="9" t="s">
        <v>687</v>
      </c>
    </row>
    <row r="23" customFormat="false" ht="15" hidden="false" customHeight="false" outlineLevel="0" collapsed="false">
      <c r="B23" s="7" t="s">
        <v>688</v>
      </c>
      <c r="C23" s="16" t="n">
        <f aca="false">Paramètres!$D$68*C16+Paramètres!$D$69*C17+Paramètres!$D$70*C18+Paramètres!$D$71*C19+Paramètres!$D$72*C20+Paramètres!$D$73*C21</f>
        <v>0.0446372872441453</v>
      </c>
      <c r="D23" s="16" t="n">
        <f aca="false">Paramètres!$D$68*D16+Paramètres!$D$69*D17+Paramètres!$D$70*D18+Paramètres!$D$71*D19+Paramètres!$D$72*D20+Paramètres!$D$73*D21</f>
        <v>0.0467710381192663</v>
      </c>
      <c r="E23" s="16" t="n">
        <f aca="false">Paramètres!$D$68*E16+Paramètres!$D$69*E17+Paramètres!$D$70*E18+Paramètres!$D$71*E19+Paramètres!$D$72*E20+Paramètres!$D$73*E21</f>
        <v>0.053275</v>
      </c>
      <c r="F23" s="16" t="n">
        <f aca="false">Paramètres!$D$68*F16+Paramètres!$D$69*F17+Paramètres!$D$70*F18+Paramètres!$D$71*F19+Paramètres!$D$72*F20+Paramètres!$D$73*F21</f>
        <v>0.053275</v>
      </c>
      <c r="G23" s="16" t="n">
        <f aca="false">Paramètres!$D$68*G16+Paramètres!$D$69*G17+Paramètres!$D$70*G18+Paramètres!$D$71*G19+Paramètres!$D$72*G20+Paramètres!$D$73*G21</f>
        <v>0.053275</v>
      </c>
      <c r="H23" s="16" t="n">
        <f aca="false">Paramètres!$D$68*H16+Paramètres!$D$69*H17+Paramètres!$D$70*H18+Paramètres!$D$71*H19+Paramètres!$D$72*H20+Paramètres!$D$73*H21</f>
        <v>0.053275</v>
      </c>
      <c r="I23" s="16" t="n">
        <f aca="false">Paramètres!$D$68*I16+Paramètres!$D$69*I17+Paramètres!$D$70*I18+Paramètres!$D$71*I19+Paramètres!$D$72*I20+Paramètres!$D$73*I21</f>
        <v>0.053275</v>
      </c>
      <c r="J23" s="16" t="n">
        <f aca="false">Paramètres!$D$68*J16+Paramètres!$D$69*J17+Paramètres!$D$70*J18+Paramètres!$D$71*J19+Paramètres!$D$72*J20+Paramètres!$D$73*J21</f>
        <v>0.053275</v>
      </c>
      <c r="K23" s="9" t="s">
        <v>689</v>
      </c>
    </row>
    <row r="24" customFormat="false" ht="15" hidden="false" customHeight="false" outlineLevel="0" collapsed="false">
      <c r="B24" s="7" t="s">
        <v>690</v>
      </c>
      <c r="C24" s="24" t="n">
        <f aca="false">100*(1+C23)</f>
        <v>104.463728724415</v>
      </c>
      <c r="D24" s="24" t="n">
        <f aca="false">C24*(1+D23)</f>
        <v>109.349605762665</v>
      </c>
      <c r="E24" s="24" t="n">
        <f aca="false">D24*(1+E23)</f>
        <v>115.175206009671</v>
      </c>
      <c r="F24" s="24" t="n">
        <f aca="false">E24*(1+F23)</f>
        <v>121.311165109836</v>
      </c>
      <c r="G24" s="24" t="n">
        <f aca="false">F24*(1+G23)</f>
        <v>127.774017431063</v>
      </c>
      <c r="H24" s="24" t="n">
        <f aca="false">G24*(1+H23)</f>
        <v>134.581178209702</v>
      </c>
      <c r="I24" s="24" t="n">
        <f aca="false">H24*(1+I23)</f>
        <v>141.750990478824</v>
      </c>
      <c r="J24" s="24" t="n">
        <f aca="false">I24*(1+J23)</f>
        <v>149.302774496584</v>
      </c>
      <c r="K24" s="9" t="s">
        <v>691</v>
      </c>
    </row>
    <row r="25" customFormat="false" ht="15" hidden="false" customHeight="false" outlineLevel="0" collapsed="false">
      <c r="B25" s="7" t="s">
        <v>692</v>
      </c>
      <c r="C25" s="16" t="n">
        <f aca="false">C24/100-1</f>
        <v>0.0446372872441454</v>
      </c>
      <c r="D25" s="16" t="n">
        <f aca="false">D24/100-1</f>
        <v>0.0934960576266481</v>
      </c>
      <c r="E25" s="16" t="n">
        <f aca="false">E24/100-1</f>
        <v>0.151752060096708</v>
      </c>
      <c r="F25" s="16" t="n">
        <f aca="false">F24/100-1</f>
        <v>0.21311165109836</v>
      </c>
      <c r="G25" s="16" t="n">
        <f aca="false">G24/100-1</f>
        <v>0.277740174310625</v>
      </c>
      <c r="H25" s="16" t="n">
        <f aca="false">H24/100-1</f>
        <v>0.345811782097024</v>
      </c>
      <c r="I25" s="16" t="n">
        <f aca="false">I24/100-1</f>
        <v>0.417509904788242</v>
      </c>
      <c r="J25" s="16" t="n">
        <f aca="false">J24/100-1</f>
        <v>0.493027744965836</v>
      </c>
      <c r="K25" s="9"/>
    </row>
    <row r="26" customFormat="false" ht="15" hidden="false" customHeight="false" outlineLevel="0" collapsed="false">
      <c r="B26" s="7" t="s">
        <v>693</v>
      </c>
      <c r="C26" s="11" t="n">
        <f aca="false">MIN(C25:J25)</f>
        <v>0.0446372872441454</v>
      </c>
      <c r="K26" s="9" t="s">
        <v>694</v>
      </c>
    </row>
    <row r="27" customFormat="false" ht="15" hidden="false" customHeight="false" outlineLevel="0" collapsed="false">
      <c r="B27" s="7" t="s">
        <v>695</v>
      </c>
      <c r="C27" s="27" t="n">
        <f aca="false">IFERROR(MATCH(TRUE(),INDEX(C25:J25&gt;=0,0),0),"au-delà de 8")</f>
        <v>1</v>
      </c>
      <c r="K27" s="9" t="s">
        <v>696</v>
      </c>
    </row>
    <row r="28" customFormat="false" ht="15" hidden="false" customHeight="false" outlineLevel="0" collapsed="false">
      <c r="B28" s="7" t="s">
        <v>697</v>
      </c>
      <c r="C28" s="18" t="str">
        <f aca="false">IF(-C26&gt;S_mst_rouge,"Rouge",IF(-C26&gt;S_mst_orange,"Orange","Vert"))</f>
        <v>Vert</v>
      </c>
      <c r="K28" s="9" t="s">
        <v>698</v>
      </c>
    </row>
    <row r="30" customFormat="false" ht="18" hidden="false" customHeight="true" outlineLevel="0" collapsed="false">
      <c r="B30" s="3" t="s">
        <v>540</v>
      </c>
      <c r="C30" s="4"/>
      <c r="D30" s="4"/>
      <c r="E30" s="4"/>
      <c r="F30" s="4"/>
      <c r="G30" s="4"/>
      <c r="H30" s="4"/>
      <c r="I30" s="4"/>
      <c r="J30" s="4"/>
      <c r="K30" s="4"/>
    </row>
    <row r="31" customFormat="false" ht="15.75" hidden="false" customHeight="true" outlineLevel="0" collapsed="false">
      <c r="B31" s="5" t="s">
        <v>669</v>
      </c>
      <c r="C31" s="6" t="s">
        <v>429</v>
      </c>
      <c r="D31" s="6" t="s">
        <v>430</v>
      </c>
      <c r="E31" s="6" t="s">
        <v>431</v>
      </c>
      <c r="F31" s="6" t="s">
        <v>432</v>
      </c>
      <c r="G31" s="6" t="s">
        <v>433</v>
      </c>
      <c r="H31" s="6" t="s">
        <v>434</v>
      </c>
      <c r="I31" s="6" t="s">
        <v>435</v>
      </c>
      <c r="J31" s="6" t="s">
        <v>436</v>
      </c>
      <c r="K31" s="6" t="s">
        <v>4</v>
      </c>
    </row>
    <row r="32" customFormat="false" ht="15" hidden="false" customHeight="false" outlineLevel="0" collapsed="false">
      <c r="B32" s="7" t="s">
        <v>670</v>
      </c>
      <c r="C32" s="17" t="n">
        <f aca="false">EDATE(Date_depart,0)</f>
        <v>47118</v>
      </c>
      <c r="D32" s="17" t="n">
        <f aca="false">EDATE(Date_depart,6)</f>
        <v>47299</v>
      </c>
      <c r="E32" s="17" t="n">
        <f aca="false">EDATE(Date_depart,12)</f>
        <v>47483</v>
      </c>
      <c r="F32" s="17" t="n">
        <f aca="false">EDATE(Date_depart,18)</f>
        <v>47664</v>
      </c>
      <c r="G32" s="17" t="n">
        <f aca="false">EDATE(Date_depart,24)</f>
        <v>47848</v>
      </c>
      <c r="H32" s="17" t="n">
        <f aca="false">EDATE(Date_depart,30)</f>
        <v>48029</v>
      </c>
      <c r="I32" s="17" t="n">
        <f aca="false">EDATE(Date_depart,36)</f>
        <v>48213</v>
      </c>
      <c r="J32" s="17" t="n">
        <f aca="false">EDATE(Date_depart,42)</f>
        <v>48395</v>
      </c>
      <c r="K32" s="9"/>
    </row>
    <row r="33" customFormat="false" ht="15" hidden="false" customHeight="false" outlineLevel="0" collapsed="false">
      <c r="B33" s="7" t="s">
        <v>671</v>
      </c>
      <c r="C33" s="36" t="n">
        <f aca="false">Paramètres!$C$162</f>
        <v>-1.5</v>
      </c>
      <c r="D33" s="36" t="n">
        <f aca="false">Paramètres!$D$162</f>
        <v>0</v>
      </c>
      <c r="E33" s="36" t="n">
        <f aca="false">Paramètres!$E$162</f>
        <v>0.5</v>
      </c>
      <c r="F33" s="36" t="n">
        <f aca="false">Paramètres!$F$162</f>
        <v>0.5</v>
      </c>
      <c r="G33" s="36" t="n">
        <f aca="false">Paramètres!$G$162</f>
        <v>0</v>
      </c>
      <c r="H33" s="36" t="n">
        <f aca="false">Paramètres!$H$162</f>
        <v>0</v>
      </c>
      <c r="I33" s="36" t="n">
        <f aca="false">Paramètres!$I$162</f>
        <v>0</v>
      </c>
      <c r="J33" s="36" t="n">
        <f aca="false">Paramètres!$J$162</f>
        <v>0</v>
      </c>
      <c r="K33" s="9" t="s">
        <v>672</v>
      </c>
    </row>
    <row r="34" customFormat="false" ht="15" hidden="false" customHeight="false" outlineLevel="0" collapsed="false">
      <c r="B34" s="7" t="s">
        <v>673</v>
      </c>
      <c r="C34" s="16" t="n">
        <f aca="false">Paramètres!$C$162*'MST Données'!$J$10</f>
        <v>-0.0885532730747497</v>
      </c>
      <c r="D34" s="16" t="n">
        <f aca="false">Paramètres!$D$162*'MST Données'!$J$10</f>
        <v>0</v>
      </c>
      <c r="E34" s="16" t="n">
        <f aca="false">Paramètres!$E$162*'MST Données'!$J$10</f>
        <v>0.0295177576915832</v>
      </c>
      <c r="F34" s="16" t="n">
        <f aca="false">Paramètres!$F$162*'MST Données'!$J$10</f>
        <v>0.0295177576915832</v>
      </c>
      <c r="G34" s="16" t="n">
        <f aca="false">Paramètres!$G$162*'MST Données'!$J$10</f>
        <v>0</v>
      </c>
      <c r="H34" s="16" t="n">
        <f aca="false">Paramètres!$H$162*'MST Données'!$J$10</f>
        <v>0</v>
      </c>
      <c r="I34" s="16" t="n">
        <f aca="false">Paramètres!$I$162*'MST Données'!$J$10</f>
        <v>0</v>
      </c>
      <c r="J34" s="16" t="n">
        <f aca="false">Paramètres!$J$162*'MST Données'!$J$10</f>
        <v>0</v>
      </c>
      <c r="K34" s="9" t="s">
        <v>674</v>
      </c>
    </row>
    <row r="35" customFormat="false" ht="15" hidden="false" customHeight="false" outlineLevel="0" collapsed="false">
      <c r="B35" s="7" t="s">
        <v>675</v>
      </c>
      <c r="C35" s="16" t="n">
        <f aca="false">Paramètres!$C$162*'MST Données'!$L$10</f>
        <v>-0.193664221811611</v>
      </c>
      <c r="D35" s="16" t="n">
        <f aca="false">Paramètres!$D$162*'MST Données'!$L$10</f>
        <v>0</v>
      </c>
      <c r="E35" s="16" t="n">
        <f aca="false">Paramètres!$E$162*'MST Données'!$L$10</f>
        <v>0.0645547406038703</v>
      </c>
      <c r="F35" s="16" t="n">
        <f aca="false">Paramètres!$F$162*'MST Données'!$L$10</f>
        <v>0.0645547406038703</v>
      </c>
      <c r="G35" s="16" t="n">
        <f aca="false">Paramètres!$G$162*'MST Données'!$L$10</f>
        <v>0</v>
      </c>
      <c r="H35" s="16" t="n">
        <f aca="false">Paramètres!$H$162*'MST Données'!$L$10</f>
        <v>0</v>
      </c>
      <c r="I35" s="16" t="n">
        <f aca="false">Paramètres!$I$162*'MST Données'!$L$10</f>
        <v>0</v>
      </c>
      <c r="J35" s="16" t="n">
        <f aca="false">Paramètres!$J$162*'MST Données'!$L$10</f>
        <v>0</v>
      </c>
      <c r="K35" s="9" t="s">
        <v>674</v>
      </c>
    </row>
    <row r="36" customFormat="false" ht="15" hidden="false" customHeight="false" outlineLevel="0" collapsed="false">
      <c r="B36" s="7" t="s">
        <v>676</v>
      </c>
      <c r="C36" s="16" t="n">
        <f aca="false">Paramètres!$C$162*'MST Données'!$M$10</f>
        <v>-0.058193205685119</v>
      </c>
      <c r="D36" s="16" t="n">
        <f aca="false">Paramètres!$D$162*'MST Données'!$M$10</f>
        <v>0</v>
      </c>
      <c r="E36" s="16" t="n">
        <f aca="false">Paramètres!$E$162*'MST Données'!$M$10</f>
        <v>0.019397735228373</v>
      </c>
      <c r="F36" s="16" t="n">
        <f aca="false">Paramètres!$F$162*'MST Données'!$M$10</f>
        <v>0.019397735228373</v>
      </c>
      <c r="G36" s="16" t="n">
        <f aca="false">Paramètres!$G$162*'MST Données'!$M$10</f>
        <v>0</v>
      </c>
      <c r="H36" s="16" t="n">
        <f aca="false">Paramètres!$H$162*'MST Données'!$M$10</f>
        <v>0</v>
      </c>
      <c r="I36" s="16" t="n">
        <f aca="false">Paramètres!$I$162*'MST Données'!$M$10</f>
        <v>0</v>
      </c>
      <c r="J36" s="16" t="n">
        <f aca="false">Paramètres!$J$162*'MST Données'!$M$10</f>
        <v>0</v>
      </c>
      <c r="K36" s="9" t="s">
        <v>674</v>
      </c>
    </row>
    <row r="37" customFormat="false" ht="15" hidden="false" customHeight="false" outlineLevel="0" collapsed="false">
      <c r="B37" s="7" t="s">
        <v>677</v>
      </c>
      <c r="C37" s="16" t="n">
        <f aca="false">Paramètres!$C$167</f>
        <v>-0.05</v>
      </c>
      <c r="D37" s="16" t="n">
        <f aca="false">Paramètres!$D$167</f>
        <v>0</v>
      </c>
      <c r="E37" s="16" t="n">
        <f aca="false">Paramètres!$E$167</f>
        <v>0</v>
      </c>
      <c r="F37" s="16" t="n">
        <f aca="false">Paramètres!$F$167</f>
        <v>0</v>
      </c>
      <c r="G37" s="16" t="n">
        <f aca="false">Paramètres!$G$167</f>
        <v>0</v>
      </c>
      <c r="H37" s="16" t="n">
        <f aca="false">Paramètres!$H$167</f>
        <v>0</v>
      </c>
      <c r="I37" s="16" t="n">
        <f aca="false">Paramètres!$I$167</f>
        <v>0</v>
      </c>
      <c r="J37" s="16" t="n">
        <f aca="false">Paramètres!$J$167</f>
        <v>0</v>
      </c>
      <c r="K37" s="9" t="s">
        <v>678</v>
      </c>
    </row>
    <row r="38" customFormat="false" ht="15" hidden="false" customHeight="false" outlineLevel="0" collapsed="false">
      <c r="B38" s="7" t="s">
        <v>679</v>
      </c>
      <c r="C38" s="16" t="n">
        <f aca="false">0.6*C34+0.2*C35+0.2*C36</f>
        <v>-0.103503449344196</v>
      </c>
      <c r="D38" s="16" t="n">
        <f aca="false">0.6*D34+0.2*D35+0.2*D36</f>
        <v>0</v>
      </c>
      <c r="E38" s="16" t="n">
        <f aca="false">0.6*E34+0.2*E35+0.2*E36</f>
        <v>0.0345011497813986</v>
      </c>
      <c r="F38" s="16" t="n">
        <f aca="false">0.6*F34+0.2*F35+0.2*F36</f>
        <v>0.0345011497813986</v>
      </c>
      <c r="G38" s="16" t="n">
        <f aca="false">0.6*G34+0.2*G35+0.2*G36</f>
        <v>0</v>
      </c>
      <c r="H38" s="16" t="n">
        <f aca="false">0.6*H34+0.2*H35+0.2*H36</f>
        <v>0</v>
      </c>
      <c r="I38" s="16" t="n">
        <f aca="false">0.6*I34+0.2*I35+0.2*I36</f>
        <v>0</v>
      </c>
      <c r="J38" s="16" t="n">
        <f aca="false">0.6*J34+0.2*J35+0.2*J36</f>
        <v>0</v>
      </c>
      <c r="K38" s="9" t="s">
        <v>680</v>
      </c>
    </row>
    <row r="40" customFormat="false" ht="15.75" hidden="false" customHeight="true" outlineLevel="0" collapsed="false">
      <c r="B40" s="5" t="s">
        <v>681</v>
      </c>
      <c r="C40" s="6" t="s">
        <v>429</v>
      </c>
      <c r="D40" s="6" t="s">
        <v>430</v>
      </c>
      <c r="E40" s="6" t="s">
        <v>431</v>
      </c>
      <c r="F40" s="6" t="s">
        <v>432</v>
      </c>
      <c r="G40" s="6" t="s">
        <v>433</v>
      </c>
      <c r="H40" s="6" t="s">
        <v>434</v>
      </c>
      <c r="I40" s="6" t="s">
        <v>435</v>
      </c>
      <c r="J40" s="6" t="s">
        <v>436</v>
      </c>
      <c r="K40" s="6" t="s">
        <v>682</v>
      </c>
    </row>
    <row r="41" customFormat="false" ht="22.35" hidden="false" customHeight="false" outlineLevel="0" collapsed="false">
      <c r="B41" s="7" t="s">
        <v>187</v>
      </c>
      <c r="C41" s="16" t="n">
        <f aca="false">Paramètres!$C$79/2+Paramètres!$F$79*((1-Paramètres!$G$79)*C34)+Paramètres!$H$79*C37+IF(AND(C34&lt;0,"S2"&lt;&gt;"S1",1&lt;=2),Paramètres!$I$79,0)</f>
        <v>-0.0546383182686874</v>
      </c>
      <c r="D41" s="16" t="n">
        <f aca="false">Paramètres!$C$79/2+Paramètres!$F$79*((1-Paramètres!$G$79)*D34+Paramètres!$G$79*C34)+Paramètres!$H$79*D37+IF(AND(D34&lt;0,"S2"&lt;&gt;"S1",2&lt;=2),Paramètres!$I$79,0)</f>
        <v>0.0453616817313126</v>
      </c>
      <c r="E41" s="16" t="n">
        <f aca="false">Paramètres!$C$79/2+Paramètres!$F$79*((1-Paramètres!$G$79)*E34+Paramètres!$G$79*D34)+Paramètres!$H$79*E37+IF(AND(E34&lt;0,"S2"&lt;&gt;"S1",3&lt;=2),Paramètres!$I$79,0)</f>
        <v>0.0748794394228958</v>
      </c>
      <c r="F41" s="16" t="n">
        <f aca="false">Paramètres!$C$79/2+Paramètres!$F$79*((1-Paramètres!$G$79)*F34+Paramètres!$G$79*E34)+Paramètres!$H$79*F37+IF(AND(F34&lt;0,"S2"&lt;&gt;"S1",4&lt;=2),Paramètres!$I$79,0)</f>
        <v>0.0822588788457916</v>
      </c>
      <c r="G41" s="16" t="n">
        <f aca="false">Paramètres!$C$79/2+Paramètres!$F$79*((1-Paramètres!$G$79)*G34+Paramètres!$G$79*F34)+Paramètres!$H$79*G37+IF(AND(G34&lt;0,"S2"&lt;&gt;"S1",5&lt;=2),Paramètres!$I$79,0)</f>
        <v>0.0748794394228958</v>
      </c>
      <c r="H41" s="16" t="n">
        <f aca="false">Paramètres!$C$79/2+Paramètres!$F$79*((1-Paramètres!$G$79)*H34+Paramètres!$G$79*G34)+Paramètres!$H$79*H37+IF(AND(H34&lt;0,"S2"&lt;&gt;"S1",6&lt;=2),Paramètres!$I$79,0)</f>
        <v>0.0675</v>
      </c>
      <c r="I41" s="16" t="n">
        <f aca="false">Paramètres!$C$79/2+Paramètres!$F$79*((1-Paramètres!$G$79)*I34+Paramètres!$G$79*H34)+Paramètres!$H$79*I37+IF(AND(I34&lt;0,"S2"&lt;&gt;"S1",7&lt;=2),Paramètres!$I$79,0)</f>
        <v>0.0675</v>
      </c>
      <c r="J41" s="16" t="n">
        <f aca="false">Paramètres!$C$79/2+Paramètres!$F$79*((1-Paramètres!$G$79)*J34+Paramètres!$G$79*I34)+Paramètres!$H$79*J37+IF(AND(J34&lt;0,"S2"&lt;&gt;"S1",8&lt;=2),Paramètres!$I$79,0)</f>
        <v>0.0675</v>
      </c>
      <c r="K41" s="9" t="s">
        <v>683</v>
      </c>
    </row>
    <row r="42" customFormat="false" ht="22.35" hidden="false" customHeight="false" outlineLevel="0" collapsed="false">
      <c r="B42" s="7" t="s">
        <v>190</v>
      </c>
      <c r="C42" s="16" t="n">
        <f aca="false">Paramètres!$C$80/2+Paramètres!$F$80*((1-Paramètres!$G$80)*C35)+Paramètres!$H$80*C37+IF(AND(C35&lt;0,"S2"&lt;&gt;"S1",1&lt;=2),Paramètres!$I$80,0)</f>
        <v>-0.0434160554529027</v>
      </c>
      <c r="D42" s="16" t="n">
        <f aca="false">Paramètres!$C$80/2+Paramètres!$F$80*((1-Paramètres!$G$80)*D35+Paramètres!$G$80*C35)+Paramètres!$H$80*D37+IF(AND(D35&lt;0,"S2"&lt;&gt;"S1",2&lt;=2),Paramètres!$I$80,0)</f>
        <v>0.00658394454709726</v>
      </c>
      <c r="E42" s="16" t="n">
        <f aca="false">Paramètres!$C$80/2+Paramètres!$F$80*((1-Paramètres!$G$80)*E35+Paramètres!$G$80*D35)+Paramètres!$H$80*E37+IF(AND(E35&lt;0,"S2"&lt;&gt;"S1",3&lt;=2),Paramètres!$I$80,0)</f>
        <v>0.0711386851509676</v>
      </c>
      <c r="F42" s="16" t="n">
        <f aca="false">Paramètres!$C$80/2+Paramètres!$F$80*((1-Paramètres!$G$80)*F35+Paramètres!$G$80*E35)+Paramètres!$H$80*F37+IF(AND(F35&lt;0,"S2"&lt;&gt;"S1",4&lt;=2),Paramètres!$I$80,0)</f>
        <v>0.0872773703019352</v>
      </c>
      <c r="G42" s="16" t="n">
        <f aca="false">Paramètres!$C$80/2+Paramètres!$F$80*((1-Paramètres!$G$80)*G35+Paramètres!$G$80*F35)+Paramètres!$H$80*G37+IF(AND(G35&lt;0,"S2"&lt;&gt;"S1",5&lt;=2),Paramètres!$I$80,0)</f>
        <v>0.0711386851509676</v>
      </c>
      <c r="H42" s="16" t="n">
        <f aca="false">Paramètres!$C$80/2+Paramètres!$F$80*((1-Paramètres!$G$80)*H35+Paramètres!$G$80*G35)+Paramètres!$H$80*H37+IF(AND(H35&lt;0,"S2"&lt;&gt;"S1",6&lt;=2),Paramètres!$I$80,0)</f>
        <v>0.055</v>
      </c>
      <c r="I42" s="16" t="n">
        <f aca="false">Paramètres!$C$80/2+Paramètres!$F$80*((1-Paramètres!$G$80)*I35+Paramètres!$G$80*H35)+Paramètres!$H$80*I37+IF(AND(I35&lt;0,"S2"&lt;&gt;"S1",7&lt;=2),Paramètres!$I$80,0)</f>
        <v>0.055</v>
      </c>
      <c r="J42" s="16" t="n">
        <f aca="false">Paramètres!$C$80/2+Paramètres!$F$80*((1-Paramètres!$G$80)*J35+Paramètres!$G$80*I35)+Paramètres!$H$80*J37+IF(AND(J35&lt;0,"S2"&lt;&gt;"S1",8&lt;=2),Paramètres!$I$80,0)</f>
        <v>0.055</v>
      </c>
      <c r="K42" s="9" t="s">
        <v>684</v>
      </c>
    </row>
    <row r="43" customFormat="false" ht="22.35" hidden="false" customHeight="false" outlineLevel="0" collapsed="false">
      <c r="B43" s="7" t="s">
        <v>192</v>
      </c>
      <c r="C43" s="16" t="n">
        <f aca="false">Paramètres!$C$81/2+Paramètres!$F$81*((1-Paramètres!$G$81)*C34)+Paramètres!$H$81*C37+IF(AND(C34&lt;0,"S2"&lt;&gt;"S1",1&lt;=2),Paramètres!$I$81,0)</f>
        <v>0.0353616817313126</v>
      </c>
      <c r="D43" s="16" t="n">
        <f aca="false">Paramètres!$C$81/2+Paramètres!$F$81*((1-Paramètres!$G$81)*D34+Paramètres!$G$81*C34)+Paramètres!$H$81*D37+IF(AND(D34&lt;0,"S2"&lt;&gt;"S1",2&lt;=2),Paramètres!$I$81,0)</f>
        <v>0.0353616817313126</v>
      </c>
      <c r="E43" s="16" t="n">
        <f aca="false">Paramètres!$C$81/2+Paramètres!$F$81*((1-Paramètres!$G$81)*E34+Paramètres!$G$81*D34)+Paramètres!$H$81*E37+IF(AND(E34&lt;0,"S2"&lt;&gt;"S1",3&lt;=2),Paramètres!$I$81,0)</f>
        <v>0.0648794394228958</v>
      </c>
      <c r="F43" s="16" t="n">
        <f aca="false">Paramètres!$C$81/2+Paramètres!$F$81*((1-Paramètres!$G$81)*F34+Paramètres!$G$81*E34)+Paramètres!$H$81*F37+IF(AND(F34&lt;0,"S2"&lt;&gt;"S1",4&lt;=2),Paramètres!$I$81,0)</f>
        <v>0.0722588788457916</v>
      </c>
      <c r="G43" s="16" t="n">
        <f aca="false">Paramètres!$C$81/2+Paramètres!$F$81*((1-Paramètres!$G$81)*G34+Paramètres!$G$81*F34)+Paramètres!$H$81*G37+IF(AND(G34&lt;0,"S2"&lt;&gt;"S1",5&lt;=2),Paramètres!$I$81,0)</f>
        <v>0.0648794394228958</v>
      </c>
      <c r="H43" s="16" t="n">
        <f aca="false">Paramètres!$C$81/2+Paramètres!$F$81*((1-Paramètres!$G$81)*H34+Paramètres!$G$81*G34)+Paramètres!$H$81*H37+IF(AND(H34&lt;0,"S2"&lt;&gt;"S1",6&lt;=2),Paramètres!$I$81,0)</f>
        <v>0.0575</v>
      </c>
      <c r="I43" s="16" t="n">
        <f aca="false">Paramètres!$C$81/2+Paramètres!$F$81*((1-Paramètres!$G$81)*I34+Paramètres!$G$81*H34)+Paramètres!$H$81*I37+IF(AND(I34&lt;0,"S2"&lt;&gt;"S1",7&lt;=2),Paramètres!$I$81,0)</f>
        <v>0.0575</v>
      </c>
      <c r="J43" s="16" t="n">
        <f aca="false">Paramètres!$C$81/2+Paramètres!$F$81*((1-Paramètres!$G$81)*J34+Paramètres!$G$81*I34)+Paramètres!$H$81*J37+IF(AND(J34&lt;0,"S2"&lt;&gt;"S1",8&lt;=2),Paramètres!$I$81,0)</f>
        <v>0.0575</v>
      </c>
      <c r="K43" s="9" t="s">
        <v>683</v>
      </c>
    </row>
    <row r="44" customFormat="false" ht="22.35" hidden="false" customHeight="false" outlineLevel="0" collapsed="false">
      <c r="B44" s="7" t="s">
        <v>195</v>
      </c>
      <c r="C44" s="16" t="n">
        <f aca="false">Paramètres!$C$82/2+Paramètres!$F$82*((1-Paramètres!$G$82)*C38)+Paramètres!$H$82*C37+IF(AND(C38&lt;0,"S2"&lt;&gt;"S1",1&lt;=2),Paramètres!$I$82,0)</f>
        <v>-0.00837586233604895</v>
      </c>
      <c r="D44" s="16" t="n">
        <f aca="false">Paramètres!$C$82/2+Paramètres!$F$82*((1-Paramètres!$G$82)*D38+Paramètres!$G$82*C38)+Paramètres!$H$82*D37+IF(AND(D38&lt;0,"S2"&lt;&gt;"S1",2&lt;=2),Paramètres!$I$82,0)</f>
        <v>0.0216241376639511</v>
      </c>
      <c r="E44" s="16" t="n">
        <f aca="false">Paramètres!$C$82/2+Paramètres!$F$82*((1-Paramètres!$G$82)*E38+Paramètres!$G$82*D38)+Paramètres!$H$82*E37+IF(AND(E38&lt;0,"S2"&lt;&gt;"S1",3&lt;=2),Paramètres!$I$82,0)</f>
        <v>0.0561252874453497</v>
      </c>
      <c r="F44" s="16" t="n">
        <f aca="false">Paramètres!$C$82/2+Paramètres!$F$82*((1-Paramètres!$G$82)*F38+Paramètres!$G$82*E38)+Paramètres!$H$82*F37+IF(AND(F38&lt;0,"S2"&lt;&gt;"S1",4&lt;=2),Paramètres!$I$82,0)</f>
        <v>0.0647505748906993</v>
      </c>
      <c r="G44" s="16" t="n">
        <f aca="false">Paramètres!$C$82/2+Paramètres!$F$82*((1-Paramètres!$G$82)*G38+Paramètres!$G$82*F38)+Paramètres!$H$82*G37+IF(AND(G38&lt;0,"S2"&lt;&gt;"S1",5&lt;=2),Paramètres!$I$82,0)</f>
        <v>0.0561252874453497</v>
      </c>
      <c r="H44" s="16" t="n">
        <f aca="false">Paramètres!$C$82/2+Paramètres!$F$82*((1-Paramètres!$G$82)*H38+Paramètres!$G$82*G38)+Paramètres!$H$82*H37+IF(AND(H38&lt;0,"S2"&lt;&gt;"S1",6&lt;=2),Paramètres!$I$82,0)</f>
        <v>0.0475</v>
      </c>
      <c r="I44" s="16" t="n">
        <f aca="false">Paramètres!$C$82/2+Paramètres!$F$82*((1-Paramètres!$G$82)*I38+Paramètres!$G$82*H38)+Paramètres!$H$82*I37+IF(AND(I38&lt;0,"S2"&lt;&gt;"S1",7&lt;=2),Paramètres!$I$82,0)</f>
        <v>0.0475</v>
      </c>
      <c r="J44" s="16" t="n">
        <f aca="false">Paramètres!$C$82/2+Paramètres!$F$82*((1-Paramètres!$G$82)*J38+Paramètres!$G$82*I38)+Paramètres!$H$82*J37+IF(AND(J38&lt;0,"S2"&lt;&gt;"S1",8&lt;=2),Paramètres!$I$82,0)</f>
        <v>0.0475</v>
      </c>
      <c r="K44" s="9" t="s">
        <v>685</v>
      </c>
    </row>
    <row r="45" customFormat="false" ht="22.35" hidden="false" customHeight="false" outlineLevel="0" collapsed="false">
      <c r="B45" s="7" t="s">
        <v>197</v>
      </c>
      <c r="C45" s="16" t="n">
        <f aca="false">Paramètres!$C$83/2+Paramètres!$F$83*((1-Paramètres!$G$83)*C36)+Paramètres!$H$83*C37+IF(AND(C36&lt;0,"S2"&lt;&gt;"S1",1&lt;=2),Paramètres!$I$83,0)</f>
        <v>-0.028193205685119</v>
      </c>
      <c r="D45" s="16" t="n">
        <f aca="false">Paramètres!$C$83/2+Paramètres!$F$83*((1-Paramètres!$G$83)*D36+Paramètres!$G$83*C36)+Paramètres!$H$83*D37+IF(AND(D36&lt;0,"S2"&lt;&gt;"S1",2&lt;=2),Paramètres!$I$83,0)</f>
        <v>0.03</v>
      </c>
      <c r="E45" s="16" t="n">
        <f aca="false">Paramètres!$C$83/2+Paramètres!$F$83*((1-Paramètres!$G$83)*E36+Paramètres!$G$83*D36)+Paramètres!$H$83*E37+IF(AND(E36&lt;0,"S2"&lt;&gt;"S1",3&lt;=2),Paramètres!$I$83,0)</f>
        <v>0.049397735228373</v>
      </c>
      <c r="F45" s="16" t="n">
        <f aca="false">Paramètres!$C$83/2+Paramètres!$F$83*((1-Paramètres!$G$83)*F36+Paramètres!$G$83*E36)+Paramètres!$H$83*F37+IF(AND(F36&lt;0,"S2"&lt;&gt;"S1",4&lt;=2),Paramètres!$I$83,0)</f>
        <v>0.049397735228373</v>
      </c>
      <c r="G45" s="16" t="n">
        <f aca="false">Paramètres!$C$83/2+Paramètres!$F$83*((1-Paramètres!$G$83)*G36+Paramètres!$G$83*F36)+Paramètres!$H$83*G37+IF(AND(G36&lt;0,"S2"&lt;&gt;"S1",5&lt;=2),Paramètres!$I$83,0)</f>
        <v>0.03</v>
      </c>
      <c r="H45" s="16" t="n">
        <f aca="false">Paramètres!$C$83/2+Paramètres!$F$83*((1-Paramètres!$G$83)*H36+Paramètres!$G$83*G36)+Paramètres!$H$83*H37+IF(AND(H36&lt;0,"S2"&lt;&gt;"S1",6&lt;=2),Paramètres!$I$83,0)</f>
        <v>0.03</v>
      </c>
      <c r="I45" s="16" t="n">
        <f aca="false">Paramètres!$C$83/2+Paramètres!$F$83*((1-Paramètres!$G$83)*I36+Paramètres!$G$83*H36)+Paramètres!$H$83*I37+IF(AND(I36&lt;0,"S2"&lt;&gt;"S1",7&lt;=2),Paramètres!$I$83,0)</f>
        <v>0.03</v>
      </c>
      <c r="J45" s="16" t="n">
        <f aca="false">Paramètres!$C$83/2+Paramètres!$F$83*((1-Paramètres!$G$83)*J36+Paramètres!$G$83*I36)+Paramètres!$H$83*J37+IF(AND(J36&lt;0,"S2"&lt;&gt;"S1",8&lt;=2),Paramètres!$I$83,0)</f>
        <v>0.03</v>
      </c>
      <c r="K45" s="9" t="s">
        <v>686</v>
      </c>
    </row>
    <row r="46" customFormat="false" ht="15" hidden="false" customHeight="false" outlineLevel="0" collapsed="false">
      <c r="B46" s="7" t="s">
        <v>200</v>
      </c>
      <c r="C46" s="16" t="n">
        <f aca="false">Paramètres!$C$84/2</f>
        <v>0.0125</v>
      </c>
      <c r="D46" s="16" t="n">
        <f aca="false">Paramètres!$C$84/2</f>
        <v>0.0125</v>
      </c>
      <c r="E46" s="16" t="n">
        <f aca="false">Paramètres!$C$84/2</f>
        <v>0.0125</v>
      </c>
      <c r="F46" s="16" t="n">
        <f aca="false">Paramètres!$C$84/2</f>
        <v>0.0125</v>
      </c>
      <c r="G46" s="16" t="n">
        <f aca="false">Paramètres!$C$84/2</f>
        <v>0.0125</v>
      </c>
      <c r="H46" s="16" t="n">
        <f aca="false">Paramètres!$C$84/2</f>
        <v>0.0125</v>
      </c>
      <c r="I46" s="16" t="n">
        <f aca="false">Paramètres!$C$84/2</f>
        <v>0.0125</v>
      </c>
      <c r="J46" s="16" t="n">
        <f aca="false">Paramètres!$C$84/2</f>
        <v>0.0125</v>
      </c>
      <c r="K46" s="9" t="s">
        <v>687</v>
      </c>
    </row>
    <row r="48" customFormat="false" ht="15" hidden="false" customHeight="false" outlineLevel="0" collapsed="false">
      <c r="B48" s="7" t="s">
        <v>688</v>
      </c>
      <c r="C48" s="16" t="n">
        <f aca="false">Paramètres!$D$68*C41+Paramètres!$D$69*C42+Paramètres!$D$70*C43+Paramètres!$D$71*C44+Paramètres!$D$72*C45+Paramètres!$D$73*C46</f>
        <v>-0.0149881382675641</v>
      </c>
      <c r="D48" s="16" t="n">
        <f aca="false">Paramètres!$D$68*D41+Paramètres!$D$69*D42+Paramètres!$D$70*D43+Paramètres!$D$71*D44+Paramètres!$D$72*D45+Paramètres!$D$73*D46</f>
        <v>0.033763114357799</v>
      </c>
      <c r="E48" s="16" t="n">
        <f aca="false">Paramètres!$D$68*E41+Paramètres!$D$69*E42+Paramètres!$D$70*E43+Paramètres!$D$71*E44+Paramètres!$D$72*E45+Paramètres!$D$73*E46</f>
        <v>0.0619127127558547</v>
      </c>
      <c r="F48" s="16" t="n">
        <f aca="false">Paramètres!$D$68*F41+Paramètres!$D$69*F42+Paramètres!$D$70*F43+Paramètres!$D$71*F44+Paramètres!$D$72*F45+Paramètres!$D$73*F46</f>
        <v>0.0684166746365884</v>
      </c>
      <c r="G48" s="16" t="n">
        <f aca="false">Paramètres!$D$68*G41+Paramètres!$D$69*G42+Paramètres!$D$70*G43+Paramètres!$D$71*G44+Paramètres!$D$72*G45+Paramètres!$D$73*G46</f>
        <v>0.0597789618807337</v>
      </c>
      <c r="H48" s="16" t="n">
        <f aca="false">Paramètres!$D$68*H41+Paramètres!$D$69*H42+Paramètres!$D$70*H43+Paramètres!$D$71*H44+Paramètres!$D$72*H45+Paramètres!$D$73*H46</f>
        <v>0.053275</v>
      </c>
      <c r="I48" s="16" t="n">
        <f aca="false">Paramètres!$D$68*I41+Paramètres!$D$69*I42+Paramètres!$D$70*I43+Paramètres!$D$71*I44+Paramètres!$D$72*I45+Paramètres!$D$73*I46</f>
        <v>0.053275</v>
      </c>
      <c r="J48" s="16" t="n">
        <f aca="false">Paramètres!$D$68*J41+Paramètres!$D$69*J42+Paramètres!$D$70*J43+Paramètres!$D$71*J44+Paramètres!$D$72*J45+Paramètres!$D$73*J46</f>
        <v>0.053275</v>
      </c>
      <c r="K48" s="9" t="s">
        <v>689</v>
      </c>
    </row>
    <row r="49" customFormat="false" ht="15" hidden="false" customHeight="false" outlineLevel="0" collapsed="false">
      <c r="B49" s="7" t="s">
        <v>690</v>
      </c>
      <c r="C49" s="24" t="n">
        <f aca="false">100*(1+C48)</f>
        <v>98.5011861732436</v>
      </c>
      <c r="D49" s="24" t="n">
        <f aca="false">C49*(1+D48)</f>
        <v>101.82689298639</v>
      </c>
      <c r="E49" s="24" t="n">
        <f aca="false">D49*(1+E48)</f>
        <v>108.131272162677</v>
      </c>
      <c r="F49" s="24" t="n">
        <f aca="false">E49*(1+F48)</f>
        <v>115.529254228271</v>
      </c>
      <c r="G49" s="24" t="n">
        <f aca="false">F49*(1+G48)</f>
        <v>122.435473112893</v>
      </c>
      <c r="H49" s="24" t="n">
        <f aca="false">G49*(1+H48)</f>
        <v>128.958222942982</v>
      </c>
      <c r="I49" s="24" t="n">
        <f aca="false">H49*(1+I48)</f>
        <v>135.82847227027</v>
      </c>
      <c r="J49" s="24" t="n">
        <f aca="false">I49*(1+J48)</f>
        <v>143.064734130468</v>
      </c>
      <c r="K49" s="9" t="s">
        <v>691</v>
      </c>
    </row>
    <row r="50" customFormat="false" ht="15" hidden="false" customHeight="false" outlineLevel="0" collapsed="false">
      <c r="B50" s="7" t="s">
        <v>692</v>
      </c>
      <c r="C50" s="16" t="n">
        <f aca="false">C49/100-1</f>
        <v>-0.0149881382675641</v>
      </c>
      <c r="D50" s="16" t="n">
        <f aca="false">D49/100-1</f>
        <v>0.0182689298638967</v>
      </c>
      <c r="E50" s="16" t="n">
        <f aca="false">E49/100-1</f>
        <v>0.0813127216267717</v>
      </c>
      <c r="F50" s="16" t="n">
        <f aca="false">F49/100-1</f>
        <v>0.155292542282715</v>
      </c>
      <c r="G50" s="16" t="n">
        <f aca="false">G49/100-1</f>
        <v>0.224354731128929</v>
      </c>
      <c r="H50" s="16" t="n">
        <f aca="false">H49/100-1</f>
        <v>0.289582229429822</v>
      </c>
      <c r="I50" s="16" t="n">
        <f aca="false">I49/100-1</f>
        <v>0.358284722702696</v>
      </c>
      <c r="J50" s="16" t="n">
        <f aca="false">J49/100-1</f>
        <v>0.430647341304682</v>
      </c>
      <c r="K50" s="9"/>
    </row>
    <row r="51" customFormat="false" ht="15" hidden="false" customHeight="false" outlineLevel="0" collapsed="false">
      <c r="B51" s="7" t="s">
        <v>693</v>
      </c>
      <c r="C51" s="11" t="n">
        <f aca="false">MIN(C50:J50)</f>
        <v>-0.0149881382675641</v>
      </c>
      <c r="K51" s="9" t="s">
        <v>694</v>
      </c>
    </row>
    <row r="52" customFormat="false" ht="15" hidden="false" customHeight="false" outlineLevel="0" collapsed="false">
      <c r="B52" s="7" t="s">
        <v>695</v>
      </c>
      <c r="C52" s="27" t="n">
        <f aca="false">IFERROR(MATCH(TRUE(),INDEX(C50:J50&gt;=0,0),0),"au-delà de 8")</f>
        <v>2</v>
      </c>
      <c r="K52" s="9" t="s">
        <v>696</v>
      </c>
    </row>
    <row r="53" customFormat="false" ht="15" hidden="false" customHeight="false" outlineLevel="0" collapsed="false">
      <c r="B53" s="7" t="s">
        <v>697</v>
      </c>
      <c r="C53" s="18" t="str">
        <f aca="false">IF(-C51&gt;S_mst_rouge,"Rouge",IF(-C51&gt;S_mst_orange,"Orange","Vert"))</f>
        <v>Vert</v>
      </c>
      <c r="K53" s="9" t="s">
        <v>698</v>
      </c>
    </row>
    <row r="55" customFormat="false" ht="18" hidden="false" customHeight="true" outlineLevel="0" collapsed="false">
      <c r="B55" s="3" t="s">
        <v>541</v>
      </c>
      <c r="C55" s="4"/>
      <c r="D55" s="4"/>
      <c r="E55" s="4"/>
      <c r="F55" s="4"/>
      <c r="G55" s="4"/>
      <c r="H55" s="4"/>
      <c r="I55" s="4"/>
      <c r="J55" s="4"/>
      <c r="K55" s="4"/>
    </row>
    <row r="56" customFormat="false" ht="15.75" hidden="false" customHeight="true" outlineLevel="0" collapsed="false">
      <c r="B56" s="5" t="s">
        <v>669</v>
      </c>
      <c r="C56" s="6" t="s">
        <v>429</v>
      </c>
      <c r="D56" s="6" t="s">
        <v>430</v>
      </c>
      <c r="E56" s="6" t="s">
        <v>431</v>
      </c>
      <c r="F56" s="6" t="s">
        <v>432</v>
      </c>
      <c r="G56" s="6" t="s">
        <v>433</v>
      </c>
      <c r="H56" s="6" t="s">
        <v>434</v>
      </c>
      <c r="I56" s="6" t="s">
        <v>435</v>
      </c>
      <c r="J56" s="6" t="s">
        <v>436</v>
      </c>
      <c r="K56" s="6" t="s">
        <v>4</v>
      </c>
    </row>
    <row r="57" customFormat="false" ht="15" hidden="false" customHeight="false" outlineLevel="0" collapsed="false">
      <c r="B57" s="7" t="s">
        <v>670</v>
      </c>
      <c r="C57" s="17" t="n">
        <f aca="false">EDATE(Date_depart,0)</f>
        <v>47118</v>
      </c>
      <c r="D57" s="17" t="n">
        <f aca="false">EDATE(Date_depart,6)</f>
        <v>47299</v>
      </c>
      <c r="E57" s="17" t="n">
        <f aca="false">EDATE(Date_depart,12)</f>
        <v>47483</v>
      </c>
      <c r="F57" s="17" t="n">
        <f aca="false">EDATE(Date_depart,18)</f>
        <v>47664</v>
      </c>
      <c r="G57" s="17" t="n">
        <f aca="false">EDATE(Date_depart,24)</f>
        <v>47848</v>
      </c>
      <c r="H57" s="17" t="n">
        <f aca="false">EDATE(Date_depart,30)</f>
        <v>48029</v>
      </c>
      <c r="I57" s="17" t="n">
        <f aca="false">EDATE(Date_depart,36)</f>
        <v>48213</v>
      </c>
      <c r="J57" s="17" t="n">
        <f aca="false">EDATE(Date_depart,42)</f>
        <v>48395</v>
      </c>
      <c r="K57" s="9"/>
    </row>
    <row r="58" customFormat="false" ht="15" hidden="false" customHeight="false" outlineLevel="0" collapsed="false">
      <c r="B58" s="7" t="s">
        <v>671</v>
      </c>
      <c r="C58" s="36" t="n">
        <f aca="false">Paramètres!$C$163</f>
        <v>-2.5</v>
      </c>
      <c r="D58" s="36" t="n">
        <f aca="false">Paramètres!$D$163</f>
        <v>-1</v>
      </c>
      <c r="E58" s="36" t="n">
        <f aca="false">Paramètres!$E$163</f>
        <v>0</v>
      </c>
      <c r="F58" s="36" t="n">
        <f aca="false">Paramètres!$F$163</f>
        <v>0.75</v>
      </c>
      <c r="G58" s="36" t="n">
        <f aca="false">Paramètres!$G$163</f>
        <v>0.75</v>
      </c>
      <c r="H58" s="36" t="n">
        <f aca="false">Paramètres!$H$163</f>
        <v>0.5</v>
      </c>
      <c r="I58" s="36" t="n">
        <f aca="false">Paramètres!$I$163</f>
        <v>0</v>
      </c>
      <c r="J58" s="36" t="n">
        <f aca="false">Paramètres!$J$163</f>
        <v>0</v>
      </c>
      <c r="K58" s="9" t="s">
        <v>672</v>
      </c>
    </row>
    <row r="59" customFormat="false" ht="15" hidden="false" customHeight="false" outlineLevel="0" collapsed="false">
      <c r="B59" s="7" t="s">
        <v>673</v>
      </c>
      <c r="C59" s="16" t="n">
        <f aca="false">Paramètres!$C$163*'MST Données'!$J$10</f>
        <v>-0.147588788457916</v>
      </c>
      <c r="D59" s="16" t="n">
        <f aca="false">Paramètres!$D$163*'MST Données'!$J$10</f>
        <v>-0.0590355153831664</v>
      </c>
      <c r="E59" s="16" t="n">
        <f aca="false">Paramètres!$E$163*'MST Données'!$J$10</f>
        <v>0</v>
      </c>
      <c r="F59" s="16" t="n">
        <f aca="false">Paramètres!$F$163*'MST Données'!$J$10</f>
        <v>0.0442766365373748</v>
      </c>
      <c r="G59" s="16" t="n">
        <f aca="false">Paramètres!$G$163*'MST Données'!$J$10</f>
        <v>0.0442766365373748</v>
      </c>
      <c r="H59" s="16" t="n">
        <f aca="false">Paramètres!$H$163*'MST Données'!$J$10</f>
        <v>0.0295177576915832</v>
      </c>
      <c r="I59" s="16" t="n">
        <f aca="false">Paramètres!$I$163*'MST Données'!$J$10</f>
        <v>0</v>
      </c>
      <c r="J59" s="16" t="n">
        <f aca="false">Paramètres!$J$163*'MST Données'!$J$10</f>
        <v>0</v>
      </c>
      <c r="K59" s="9" t="s">
        <v>674</v>
      </c>
    </row>
    <row r="60" customFormat="false" ht="15" hidden="false" customHeight="false" outlineLevel="0" collapsed="false">
      <c r="B60" s="7" t="s">
        <v>675</v>
      </c>
      <c r="C60" s="16" t="n">
        <f aca="false">Paramètres!$C$163*'MST Données'!$L$10</f>
        <v>-0.322773703019352</v>
      </c>
      <c r="D60" s="16" t="n">
        <f aca="false">Paramètres!$D$163*'MST Données'!$L$10</f>
        <v>-0.129109481207741</v>
      </c>
      <c r="E60" s="16" t="n">
        <f aca="false">Paramètres!$E$163*'MST Données'!$L$10</f>
        <v>0</v>
      </c>
      <c r="F60" s="16" t="n">
        <f aca="false">Paramètres!$F$163*'MST Données'!$L$10</f>
        <v>0.0968321109058055</v>
      </c>
      <c r="G60" s="16" t="n">
        <f aca="false">Paramètres!$G$163*'MST Données'!$L$10</f>
        <v>0.0968321109058055</v>
      </c>
      <c r="H60" s="16" t="n">
        <f aca="false">Paramètres!$H$163*'MST Données'!$L$10</f>
        <v>0.0645547406038703</v>
      </c>
      <c r="I60" s="16" t="n">
        <f aca="false">Paramètres!$I$163*'MST Données'!$L$10</f>
        <v>0</v>
      </c>
      <c r="J60" s="16" t="n">
        <f aca="false">Paramètres!$J$163*'MST Données'!$L$10</f>
        <v>0</v>
      </c>
      <c r="K60" s="9" t="s">
        <v>674</v>
      </c>
    </row>
    <row r="61" customFormat="false" ht="15" hidden="false" customHeight="false" outlineLevel="0" collapsed="false">
      <c r="B61" s="7" t="s">
        <v>676</v>
      </c>
      <c r="C61" s="16" t="n">
        <f aca="false">Paramètres!$C$163*'MST Données'!$M$10</f>
        <v>-0.096988676141865</v>
      </c>
      <c r="D61" s="16" t="n">
        <f aca="false">Paramètres!$D$163*'MST Données'!$M$10</f>
        <v>-0.038795470456746</v>
      </c>
      <c r="E61" s="16" t="n">
        <f aca="false">Paramètres!$E$163*'MST Données'!$M$10</f>
        <v>0</v>
      </c>
      <c r="F61" s="16" t="n">
        <f aca="false">Paramètres!$F$163*'MST Données'!$M$10</f>
        <v>0.0290966028425595</v>
      </c>
      <c r="G61" s="16" t="n">
        <f aca="false">Paramètres!$G$163*'MST Données'!$M$10</f>
        <v>0.0290966028425595</v>
      </c>
      <c r="H61" s="16" t="n">
        <f aca="false">Paramètres!$H$163*'MST Données'!$M$10</f>
        <v>0.019397735228373</v>
      </c>
      <c r="I61" s="16" t="n">
        <f aca="false">Paramètres!$I$163*'MST Données'!$M$10</f>
        <v>0</v>
      </c>
      <c r="J61" s="16" t="n">
        <f aca="false">Paramètres!$J$163*'MST Données'!$M$10</f>
        <v>0</v>
      </c>
      <c r="K61" s="9" t="s">
        <v>674</v>
      </c>
    </row>
    <row r="62" customFormat="false" ht="15" hidden="false" customHeight="false" outlineLevel="0" collapsed="false">
      <c r="B62" s="7" t="s">
        <v>677</v>
      </c>
      <c r="C62" s="16" t="n">
        <f aca="false">Paramètres!$C$168</f>
        <v>-0.15</v>
      </c>
      <c r="D62" s="16" t="n">
        <f aca="false">Paramètres!$D$168</f>
        <v>0</v>
      </c>
      <c r="E62" s="16" t="n">
        <f aca="false">Paramètres!$E$168</f>
        <v>0</v>
      </c>
      <c r="F62" s="16" t="n">
        <f aca="false">Paramètres!$F$168</f>
        <v>0.05</v>
      </c>
      <c r="G62" s="16" t="n">
        <f aca="false">Paramètres!$G$168</f>
        <v>0</v>
      </c>
      <c r="H62" s="16" t="n">
        <f aca="false">Paramètres!$H$168</f>
        <v>0</v>
      </c>
      <c r="I62" s="16" t="n">
        <f aca="false">Paramètres!$I$168</f>
        <v>0</v>
      </c>
      <c r="J62" s="16" t="n">
        <f aca="false">Paramètres!$J$168</f>
        <v>0</v>
      </c>
      <c r="K62" s="9" t="s">
        <v>678</v>
      </c>
    </row>
    <row r="63" customFormat="false" ht="15" hidden="false" customHeight="false" outlineLevel="0" collapsed="false">
      <c r="B63" s="7" t="s">
        <v>679</v>
      </c>
      <c r="C63" s="16" t="n">
        <f aca="false">0.6*C59+0.2*C60+0.2*C61</f>
        <v>-0.172505748906993</v>
      </c>
      <c r="D63" s="16" t="n">
        <f aca="false">0.6*D59+0.2*D60+0.2*D61</f>
        <v>-0.0690022995627972</v>
      </c>
      <c r="E63" s="16" t="n">
        <f aca="false">0.6*E59+0.2*E60+0.2*E61</f>
        <v>0</v>
      </c>
      <c r="F63" s="16" t="n">
        <f aca="false">0.6*F59+0.2*F60+0.2*F61</f>
        <v>0.0517517246720979</v>
      </c>
      <c r="G63" s="16" t="n">
        <f aca="false">0.6*G59+0.2*G60+0.2*G61</f>
        <v>0.0517517246720979</v>
      </c>
      <c r="H63" s="16" t="n">
        <f aca="false">0.6*H59+0.2*H60+0.2*H61</f>
        <v>0.0345011497813986</v>
      </c>
      <c r="I63" s="16" t="n">
        <f aca="false">0.6*I59+0.2*I60+0.2*I61</f>
        <v>0</v>
      </c>
      <c r="J63" s="16" t="n">
        <f aca="false">0.6*J59+0.2*J60+0.2*J61</f>
        <v>0</v>
      </c>
      <c r="K63" s="9" t="s">
        <v>680</v>
      </c>
    </row>
    <row r="65" customFormat="false" ht="15.75" hidden="false" customHeight="true" outlineLevel="0" collapsed="false">
      <c r="B65" s="5" t="s">
        <v>681</v>
      </c>
      <c r="C65" s="6" t="s">
        <v>429</v>
      </c>
      <c r="D65" s="6" t="s">
        <v>430</v>
      </c>
      <c r="E65" s="6" t="s">
        <v>431</v>
      </c>
      <c r="F65" s="6" t="s">
        <v>432</v>
      </c>
      <c r="G65" s="6" t="s">
        <v>433</v>
      </c>
      <c r="H65" s="6" t="s">
        <v>434</v>
      </c>
      <c r="I65" s="6" t="s">
        <v>435</v>
      </c>
      <c r="J65" s="6" t="s">
        <v>436</v>
      </c>
      <c r="K65" s="6" t="s">
        <v>682</v>
      </c>
    </row>
    <row r="66" customFormat="false" ht="22.35" hidden="false" customHeight="false" outlineLevel="0" collapsed="false">
      <c r="B66" s="7" t="s">
        <v>187</v>
      </c>
      <c r="C66" s="16" t="n">
        <f aca="false">Paramètres!$C$79/2+Paramètres!$F$79*((1-Paramètres!$G$79)*C59)+Paramètres!$H$79*C62+IF(AND(C59&lt;0,"S3"&lt;&gt;"S1",1&lt;=2),Paramètres!$I$79,0)</f>
        <v>-0.169397197114479</v>
      </c>
      <c r="D66" s="16" t="n">
        <f aca="false">Paramètres!$C$79/2+Paramètres!$F$79*((1-Paramètres!$G$79)*D59+Paramètres!$G$79*C59)+Paramètres!$H$79*D62+IF(AND(D59&lt;0,"S3"&lt;&gt;"S1",2&lt;=2),Paramètres!$I$79,0)</f>
        <v>-0.0341560759602706</v>
      </c>
      <c r="E66" s="16" t="n">
        <f aca="false">Paramètres!$C$79/2+Paramètres!$F$79*((1-Paramètres!$G$79)*E59+Paramètres!$G$79*D59)+Paramètres!$H$79*E62+IF(AND(E59&lt;0,"S3"&lt;&gt;"S1",3&lt;=2),Paramètres!$I$79,0)</f>
        <v>0.0527411211542084</v>
      </c>
      <c r="F66" s="16" t="n">
        <f aca="false">Paramètres!$C$79/2+Paramètres!$F$79*((1-Paramètres!$G$79)*F59+Paramètres!$G$79*E59)+Paramètres!$H$79*F62+IF(AND(F59&lt;0,"S3"&lt;&gt;"S1",4&lt;=2),Paramètres!$I$79,0)</f>
        <v>0.128569159134344</v>
      </c>
      <c r="G66" s="16" t="n">
        <f aca="false">Paramètres!$C$79/2+Paramètres!$F$79*((1-Paramètres!$G$79)*G59+Paramètres!$G$79*F59)+Paramètres!$H$79*G62+IF(AND(G59&lt;0,"S3"&lt;&gt;"S1",5&lt;=2),Paramètres!$I$79,0)</f>
        <v>0.0896383182686874</v>
      </c>
      <c r="H66" s="16" t="n">
        <f aca="false">Paramètres!$C$79/2+Paramètres!$F$79*((1-Paramètres!$G$79)*H59+Paramètres!$G$79*G59)+Paramètres!$H$79*H62+IF(AND(H59&lt;0,"S3"&lt;&gt;"S1",6&lt;=2),Paramètres!$I$79,0)</f>
        <v>0.0859485985572395</v>
      </c>
      <c r="I66" s="16" t="n">
        <f aca="false">Paramètres!$C$79/2+Paramètres!$F$79*((1-Paramètres!$G$79)*I59+Paramètres!$G$79*H59)+Paramètres!$H$79*I62+IF(AND(I59&lt;0,"S3"&lt;&gt;"S1",7&lt;=2),Paramètres!$I$79,0)</f>
        <v>0.0748794394228958</v>
      </c>
      <c r="J66" s="16" t="n">
        <f aca="false">Paramètres!$C$79/2+Paramètres!$F$79*((1-Paramètres!$G$79)*J59+Paramètres!$G$79*I59)+Paramètres!$H$79*J62+IF(AND(J59&lt;0,"S3"&lt;&gt;"S1",8&lt;=2),Paramètres!$I$79,0)</f>
        <v>0.0675</v>
      </c>
      <c r="K66" s="9" t="s">
        <v>683</v>
      </c>
    </row>
    <row r="67" customFormat="false" ht="22.35" hidden="false" customHeight="false" outlineLevel="0" collapsed="false">
      <c r="B67" s="7" t="s">
        <v>190</v>
      </c>
      <c r="C67" s="16" t="n">
        <f aca="false">Paramètres!$C$80/2+Paramètres!$F$80*((1-Paramètres!$G$80)*C60)+Paramètres!$H$80*C62+IF(AND(C60&lt;0,"S3"&lt;&gt;"S1",1&lt;=2),Paramètres!$I$80,0)</f>
        <v>-0.175693425754838</v>
      </c>
      <c r="D67" s="16" t="n">
        <f aca="false">Paramètres!$C$80/2+Paramètres!$F$80*((1-Paramètres!$G$80)*D60+Paramètres!$G$80*C60)+Paramètres!$H$80*D62+IF(AND(D60&lt;0,"S3"&lt;&gt;"S1",2&lt;=2),Paramètres!$I$80,0)</f>
        <v>-0.0579707960567731</v>
      </c>
      <c r="E67" s="16" t="n">
        <f aca="false">Paramètres!$C$80/2+Paramètres!$F$80*((1-Paramètres!$G$80)*E60+Paramètres!$G$80*D60)+Paramètres!$H$80*E62+IF(AND(E60&lt;0,"S3"&lt;&gt;"S1",3&lt;=2),Paramètres!$I$80,0)</f>
        <v>0.0227226296980648</v>
      </c>
      <c r="F67" s="16" t="n">
        <f aca="false">Paramètres!$C$80/2+Paramètres!$F$80*((1-Paramètres!$G$80)*F60+Paramètres!$G$80*E60)+Paramètres!$H$80*F62+IF(AND(F60&lt;0,"S3"&lt;&gt;"S1",4&lt;=2),Paramètres!$I$80,0)</f>
        <v>0.129208027726451</v>
      </c>
      <c r="G67" s="16" t="n">
        <f aca="false">Paramètres!$C$80/2+Paramètres!$F$80*((1-Paramètres!$G$80)*G60+Paramètres!$G$80*F60)+Paramètres!$H$80*G62+IF(AND(G60&lt;0,"S3"&lt;&gt;"S1",5&lt;=2),Paramètres!$I$80,0)</f>
        <v>0.103416055452903</v>
      </c>
      <c r="H67" s="16" t="n">
        <f aca="false">Paramètres!$C$80/2+Paramètres!$F$80*((1-Paramètres!$G$80)*H60+Paramètres!$G$80*G60)+Paramètres!$H$80*H62+IF(AND(H60&lt;0,"S3"&lt;&gt;"S1",6&lt;=2),Paramètres!$I$80,0)</f>
        <v>0.0953467128774189</v>
      </c>
      <c r="I67" s="16" t="n">
        <f aca="false">Paramètres!$C$80/2+Paramètres!$F$80*((1-Paramètres!$G$80)*I60+Paramètres!$G$80*H60)+Paramètres!$H$80*I62+IF(AND(I60&lt;0,"S3"&lt;&gt;"S1",7&lt;=2),Paramètres!$I$80,0)</f>
        <v>0.0711386851509676</v>
      </c>
      <c r="J67" s="16" t="n">
        <f aca="false">Paramètres!$C$80/2+Paramètres!$F$80*((1-Paramètres!$G$80)*J60+Paramètres!$G$80*I60)+Paramètres!$H$80*J62+IF(AND(J60&lt;0,"S3"&lt;&gt;"S1",8&lt;=2),Paramètres!$I$80,0)</f>
        <v>0.055</v>
      </c>
      <c r="K67" s="9" t="s">
        <v>684</v>
      </c>
    </row>
    <row r="68" customFormat="false" ht="22.35" hidden="false" customHeight="false" outlineLevel="0" collapsed="false">
      <c r="B68" s="7" t="s">
        <v>192</v>
      </c>
      <c r="C68" s="16" t="n">
        <f aca="false">Paramètres!$C$81/2+Paramètres!$F$81*((1-Paramètres!$G$81)*C59)+Paramètres!$H$81*C62+IF(AND(C59&lt;0,"S3"&lt;&gt;"S1",1&lt;=2),Paramètres!$I$81,0)</f>
        <v>0.020602802885521</v>
      </c>
      <c r="D68" s="16" t="n">
        <f aca="false">Paramètres!$C$81/2+Paramètres!$F$81*((1-Paramètres!$G$81)*D59+Paramètres!$G$81*C59)+Paramètres!$H$81*D62+IF(AND(D59&lt;0,"S3"&lt;&gt;"S1",2&lt;=2),Paramètres!$I$81,0)</f>
        <v>0.00584392403972937</v>
      </c>
      <c r="E68" s="16" t="n">
        <f aca="false">Paramètres!$C$81/2+Paramètres!$F$81*((1-Paramètres!$G$81)*E59+Paramètres!$G$81*D59)+Paramètres!$H$81*E62+IF(AND(E59&lt;0,"S3"&lt;&gt;"S1",3&lt;=2),Paramètres!$I$81,0)</f>
        <v>0.0427411211542084</v>
      </c>
      <c r="F68" s="16" t="n">
        <f aca="false">Paramètres!$C$81/2+Paramètres!$F$81*((1-Paramètres!$G$81)*F59+Paramètres!$G$81*E59)+Paramètres!$H$81*F62+IF(AND(F59&lt;0,"S3"&lt;&gt;"S1",4&lt;=2),Paramètres!$I$81,0)</f>
        <v>0.0685691591343437</v>
      </c>
      <c r="G68" s="16" t="n">
        <f aca="false">Paramètres!$C$81/2+Paramètres!$F$81*((1-Paramètres!$G$81)*G59+Paramètres!$G$81*F59)+Paramètres!$H$81*G62+IF(AND(G59&lt;0,"S3"&lt;&gt;"S1",5&lt;=2),Paramètres!$I$81,0)</f>
        <v>0.0796383182686874</v>
      </c>
      <c r="H68" s="16" t="n">
        <f aca="false">Paramètres!$C$81/2+Paramètres!$F$81*((1-Paramètres!$G$81)*H59+Paramètres!$G$81*G59)+Paramètres!$H$81*H62+IF(AND(H59&lt;0,"S3"&lt;&gt;"S1",6&lt;=2),Paramètres!$I$81,0)</f>
        <v>0.0759485985572395</v>
      </c>
      <c r="I68" s="16" t="n">
        <f aca="false">Paramètres!$C$81/2+Paramètres!$F$81*((1-Paramètres!$G$81)*I59+Paramètres!$G$81*H59)+Paramètres!$H$81*I62+IF(AND(I59&lt;0,"S3"&lt;&gt;"S1",7&lt;=2),Paramètres!$I$81,0)</f>
        <v>0.0648794394228958</v>
      </c>
      <c r="J68" s="16" t="n">
        <f aca="false">Paramètres!$C$81/2+Paramètres!$F$81*((1-Paramètres!$G$81)*J59+Paramètres!$G$81*I59)+Paramètres!$H$81*J62+IF(AND(J59&lt;0,"S3"&lt;&gt;"S1",8&lt;=2),Paramètres!$I$81,0)</f>
        <v>0.0575</v>
      </c>
      <c r="K68" s="9" t="s">
        <v>683</v>
      </c>
    </row>
    <row r="69" customFormat="false" ht="22.35" hidden="false" customHeight="false" outlineLevel="0" collapsed="false">
      <c r="B69" s="7" t="s">
        <v>195</v>
      </c>
      <c r="C69" s="16" t="n">
        <f aca="false">Paramètres!$C$82/2+Paramètres!$F$82*((1-Paramètres!$G$82)*C63)+Paramètres!$H$82*C62+IF(AND(C63&lt;0,"S3"&lt;&gt;"S1",1&lt;=2),Paramètres!$I$82,0)</f>
        <v>-0.0256264372267482</v>
      </c>
      <c r="D69" s="16" t="n">
        <f aca="false">Paramètres!$C$82/2+Paramètres!$F$82*((1-Paramètres!$G$82)*D63+Paramètres!$G$82*C63)+Paramètres!$H$82*D62+IF(AND(D63&lt;0,"S3"&lt;&gt;"S1",2&lt;=2),Paramètres!$I$82,0)</f>
        <v>-0.0428770121174475</v>
      </c>
      <c r="E69" s="16" t="n">
        <f aca="false">Paramètres!$C$82/2+Paramètres!$F$82*((1-Paramètres!$G$82)*E63+Paramètres!$G$82*D63)+Paramètres!$H$82*E62+IF(AND(E63&lt;0,"S3"&lt;&gt;"S1",3&lt;=2),Paramètres!$I$82,0)</f>
        <v>0.0302494251093007</v>
      </c>
      <c r="F69" s="16" t="n">
        <f aca="false">Paramètres!$C$82/2+Paramètres!$F$82*((1-Paramètres!$G$82)*F63+Paramètres!$G$82*E63)+Paramètres!$H$82*F62+IF(AND(F63&lt;0,"S3"&lt;&gt;"S1",4&lt;=2),Paramètres!$I$82,0)</f>
        <v>0.0604379311680245</v>
      </c>
      <c r="G69" s="16" t="n">
        <f aca="false">Paramètres!$C$82/2+Paramètres!$F$82*((1-Paramètres!$G$82)*G63+Paramètres!$G$82*F63)+Paramètres!$H$82*G62+IF(AND(G63&lt;0,"S3"&lt;&gt;"S1",5&lt;=2),Paramètres!$I$82,0)</f>
        <v>0.073375862336049</v>
      </c>
      <c r="H69" s="16" t="n">
        <f aca="false">Paramètres!$C$82/2+Paramètres!$F$82*((1-Paramètres!$G$82)*H63+Paramètres!$G$82*G63)+Paramètres!$H$82*H62+IF(AND(H63&lt;0,"S3"&lt;&gt;"S1",6&lt;=2),Paramètres!$I$82,0)</f>
        <v>0.0690632186133741</v>
      </c>
      <c r="I69" s="16" t="n">
        <f aca="false">Paramètres!$C$82/2+Paramètres!$F$82*((1-Paramètres!$G$82)*I63+Paramètres!$G$82*H63)+Paramètres!$H$82*I62+IF(AND(I63&lt;0,"S3"&lt;&gt;"S1",7&lt;=2),Paramètres!$I$82,0)</f>
        <v>0.0561252874453497</v>
      </c>
      <c r="J69" s="16" t="n">
        <f aca="false">Paramètres!$C$82/2+Paramètres!$F$82*((1-Paramètres!$G$82)*J63+Paramètres!$G$82*I63)+Paramètres!$H$82*J62+IF(AND(J63&lt;0,"S3"&lt;&gt;"S1",8&lt;=2),Paramètres!$I$82,0)</f>
        <v>0.0475</v>
      </c>
      <c r="K69" s="9" t="s">
        <v>685</v>
      </c>
    </row>
    <row r="70" customFormat="false" ht="22.35" hidden="false" customHeight="false" outlineLevel="0" collapsed="false">
      <c r="B70" s="7" t="s">
        <v>197</v>
      </c>
      <c r="C70" s="16" t="n">
        <f aca="false">Paramètres!$C$83/2+Paramètres!$F$83*((1-Paramètres!$G$83)*C61)+Paramètres!$H$83*C62+IF(AND(C61&lt;0,"S3"&lt;&gt;"S1",1&lt;=2),Paramètres!$I$83,0)</f>
        <v>-0.066988676141865</v>
      </c>
      <c r="D70" s="16" t="n">
        <f aca="false">Paramètres!$C$83/2+Paramètres!$F$83*((1-Paramètres!$G$83)*D61+Paramètres!$G$83*C61)+Paramètres!$H$83*D62+IF(AND(D61&lt;0,"S3"&lt;&gt;"S1",2&lt;=2),Paramètres!$I$83,0)</f>
        <v>-0.00879547045674602</v>
      </c>
      <c r="E70" s="16" t="n">
        <f aca="false">Paramètres!$C$83/2+Paramètres!$F$83*((1-Paramètres!$G$83)*E61+Paramètres!$G$83*D61)+Paramètres!$H$83*E62+IF(AND(E61&lt;0,"S3"&lt;&gt;"S1",3&lt;=2),Paramètres!$I$83,0)</f>
        <v>0.03</v>
      </c>
      <c r="F70" s="16" t="n">
        <f aca="false">Paramètres!$C$83/2+Paramètres!$F$83*((1-Paramètres!$G$83)*F61+Paramètres!$G$83*E61)+Paramètres!$H$83*F62+IF(AND(F61&lt;0,"S3"&lt;&gt;"S1",4&lt;=2),Paramètres!$I$83,0)</f>
        <v>0.0590966028425595</v>
      </c>
      <c r="G70" s="16" t="n">
        <f aca="false">Paramètres!$C$83/2+Paramètres!$F$83*((1-Paramètres!$G$83)*G61+Paramètres!$G$83*F61)+Paramètres!$H$83*G62+IF(AND(G61&lt;0,"S3"&lt;&gt;"S1",5&lt;=2),Paramètres!$I$83,0)</f>
        <v>0.0590966028425595</v>
      </c>
      <c r="H70" s="16" t="n">
        <f aca="false">Paramètres!$C$83/2+Paramètres!$F$83*((1-Paramètres!$G$83)*H61+Paramètres!$G$83*G61)+Paramètres!$H$83*H62+IF(AND(H61&lt;0,"S3"&lt;&gt;"S1",6&lt;=2),Paramètres!$I$83,0)</f>
        <v>0.049397735228373</v>
      </c>
      <c r="I70" s="16" t="n">
        <f aca="false">Paramètres!$C$83/2+Paramètres!$F$83*((1-Paramètres!$G$83)*I61+Paramètres!$G$83*H61)+Paramètres!$H$83*I62+IF(AND(I61&lt;0,"S3"&lt;&gt;"S1",7&lt;=2),Paramètres!$I$83,0)</f>
        <v>0.03</v>
      </c>
      <c r="J70" s="16" t="n">
        <f aca="false">Paramètres!$C$83/2+Paramètres!$F$83*((1-Paramètres!$G$83)*J61+Paramètres!$G$83*I61)+Paramètres!$H$83*J62+IF(AND(J61&lt;0,"S3"&lt;&gt;"S1",8&lt;=2),Paramètres!$I$83,0)</f>
        <v>0.03</v>
      </c>
      <c r="K70" s="9" t="s">
        <v>686</v>
      </c>
    </row>
    <row r="71" customFormat="false" ht="15" hidden="false" customHeight="false" outlineLevel="0" collapsed="false">
      <c r="B71" s="7" t="s">
        <v>200</v>
      </c>
      <c r="C71" s="16" t="n">
        <f aca="false">Paramètres!$C$84/2</f>
        <v>0.0125</v>
      </c>
      <c r="D71" s="16" t="n">
        <f aca="false">Paramètres!$C$84/2</f>
        <v>0.0125</v>
      </c>
      <c r="E71" s="16" t="n">
        <f aca="false">Paramètres!$C$84/2</f>
        <v>0.0125</v>
      </c>
      <c r="F71" s="16" t="n">
        <f aca="false">Paramètres!$C$84/2</f>
        <v>0.0125</v>
      </c>
      <c r="G71" s="16" t="n">
        <f aca="false">Paramètres!$C$84/2</f>
        <v>0.0125</v>
      </c>
      <c r="H71" s="16" t="n">
        <f aca="false">Paramètres!$C$84/2</f>
        <v>0.0125</v>
      </c>
      <c r="I71" s="16" t="n">
        <f aca="false">Paramètres!$C$84/2</f>
        <v>0.0125</v>
      </c>
      <c r="J71" s="16" t="n">
        <f aca="false">Paramètres!$C$84/2</f>
        <v>0.0125</v>
      </c>
      <c r="K71" s="9" t="s">
        <v>687</v>
      </c>
    </row>
    <row r="73" customFormat="false" ht="15" hidden="false" customHeight="false" outlineLevel="0" collapsed="false">
      <c r="B73" s="7" t="s">
        <v>688</v>
      </c>
      <c r="C73" s="16" t="n">
        <f aca="false">Paramètres!$D$68*C66+Paramètres!$D$69*C67+Paramètres!$D$70*C68+Paramètres!$D$71*C69+Paramètres!$D$72*C70+Paramètres!$D$73*C71</f>
        <v>-0.0672635637792735</v>
      </c>
      <c r="D73" s="16" t="n">
        <f aca="false">Paramètres!$D$68*D66+Paramètres!$D$69*D67+Paramètres!$D$70*D68+Paramètres!$D$71*D69+Paramètres!$D$72*D70+Paramètres!$D$73*D71</f>
        <v>-0.0213702349153777</v>
      </c>
      <c r="E73" s="16" t="n">
        <f aca="false">Paramètres!$D$68*E66+Paramètres!$D$69*E67+Paramètres!$D$70*E68+Paramètres!$D$71*E69+Paramètres!$D$72*E70+Paramètres!$D$73*E71</f>
        <v>0.0402670762385327</v>
      </c>
      <c r="F73" s="16" t="n">
        <f aca="false">Paramètres!$D$68*F66+Paramètres!$D$69*F67+Paramètres!$D$70*F68+Paramètres!$D$71*F69+Paramètres!$D$72*F70+Paramètres!$D$73*F71</f>
        <v>0.0837315691337821</v>
      </c>
      <c r="G73" s="16" t="n">
        <f aca="false">Paramètres!$D$68*G66+Paramètres!$D$69*G67+Paramètres!$D$70*G68+Paramètres!$D$71*G69+Paramètres!$D$72*G70+Paramètres!$D$73*G71</f>
        <v>0.0759875119548825</v>
      </c>
      <c r="H73" s="16" t="n">
        <f aca="false">Paramètres!$D$68*H66+Paramètres!$D$69*H67+Paramètres!$D$70*H68+Paramètres!$D$71*H69+Paramètres!$D$72*H70+Paramètres!$D$73*H71</f>
        <v>0.0716686555769552</v>
      </c>
      <c r="I73" s="16" t="n">
        <f aca="false">Paramètres!$D$68*I66+Paramètres!$D$69*I67+Paramètres!$D$70*I68+Paramètres!$D$71*I69+Paramètres!$D$72*I70+Paramètres!$D$73*I71</f>
        <v>0.0597789618807337</v>
      </c>
      <c r="J73" s="16" t="n">
        <f aca="false">Paramètres!$D$68*J66+Paramètres!$D$69*J67+Paramètres!$D$70*J68+Paramètres!$D$71*J69+Paramètres!$D$72*J70+Paramètres!$D$73*J71</f>
        <v>0.053275</v>
      </c>
      <c r="K73" s="9" t="s">
        <v>689</v>
      </c>
    </row>
    <row r="74" customFormat="false" ht="15" hidden="false" customHeight="false" outlineLevel="0" collapsed="false">
      <c r="B74" s="7" t="s">
        <v>690</v>
      </c>
      <c r="C74" s="24" t="n">
        <f aca="false">100*(1+C73)</f>
        <v>93.2736436220727</v>
      </c>
      <c r="D74" s="24" t="n">
        <f aca="false">C74*(1+D73)</f>
        <v>91.2803639464557</v>
      </c>
      <c r="E74" s="24" t="n">
        <f aca="false">D74*(1+E73)</f>
        <v>94.9559573205687</v>
      </c>
      <c r="F74" s="24" t="n">
        <f aca="false">E74*(1+F73)</f>
        <v>102.90676862562</v>
      </c>
      <c r="G74" s="24" t="n">
        <f aca="false">F74*(1+G73)</f>
        <v>110.726397936798</v>
      </c>
      <c r="H74" s="24" t="n">
        <f aca="false">G74*(1+H73)</f>
        <v>118.662010013807</v>
      </c>
      <c r="I74" s="24" t="n">
        <f aca="false">H74*(1+I73)</f>
        <v>125.755501787114</v>
      </c>
      <c r="J74" s="24" t="n">
        <f aca="false">I74*(1+J73)</f>
        <v>132.455126144822</v>
      </c>
      <c r="K74" s="9" t="s">
        <v>691</v>
      </c>
    </row>
    <row r="75" customFormat="false" ht="15" hidden="false" customHeight="false" outlineLevel="0" collapsed="false">
      <c r="B75" s="7" t="s">
        <v>692</v>
      </c>
      <c r="C75" s="16" t="n">
        <f aca="false">C74/100-1</f>
        <v>-0.0672635637792735</v>
      </c>
      <c r="D75" s="16" t="n">
        <f aca="false">D74/100-1</f>
        <v>-0.0871963605354427</v>
      </c>
      <c r="E75" s="16" t="n">
        <f aca="false">E74/100-1</f>
        <v>-0.0504404267943133</v>
      </c>
      <c r="F75" s="16" t="n">
        <f aca="false">F74/100-1</f>
        <v>0.0290676862562034</v>
      </c>
      <c r="G75" s="16" t="n">
        <f aca="false">G74/100-1</f>
        <v>0.10726397936798</v>
      </c>
      <c r="H75" s="16" t="n">
        <f aca="false">H74/100-1</f>
        <v>0.186620100138073</v>
      </c>
      <c r="I75" s="16" t="n">
        <f aca="false">I74/100-1</f>
        <v>0.257555017871139</v>
      </c>
      <c r="J75" s="16" t="n">
        <f aca="false">J74/100-1</f>
        <v>0.324551261448224</v>
      </c>
      <c r="K75" s="9"/>
    </row>
    <row r="76" customFormat="false" ht="15" hidden="false" customHeight="false" outlineLevel="0" collapsed="false">
      <c r="B76" s="7" t="s">
        <v>693</v>
      </c>
      <c r="C76" s="11" t="n">
        <f aca="false">MIN(C75:J75)</f>
        <v>-0.0871963605354427</v>
      </c>
      <c r="K76" s="9" t="s">
        <v>694</v>
      </c>
    </row>
    <row r="77" customFormat="false" ht="15" hidden="false" customHeight="false" outlineLevel="0" collapsed="false">
      <c r="B77" s="7" t="s">
        <v>695</v>
      </c>
      <c r="C77" s="27" t="n">
        <f aca="false">IFERROR(MATCH(TRUE(),INDEX(C75:J75&gt;=0,0),0),"au-delà de 8")</f>
        <v>4</v>
      </c>
      <c r="K77" s="9" t="s">
        <v>696</v>
      </c>
    </row>
    <row r="78" customFormat="false" ht="15" hidden="false" customHeight="false" outlineLevel="0" collapsed="false">
      <c r="B78" s="7" t="s">
        <v>697</v>
      </c>
      <c r="C78" s="18" t="str">
        <f aca="false">IF(-C76&gt;S_mst_rouge,"Rouge",IF(-C76&gt;S_mst_orange,"Orange","Vert"))</f>
        <v>Vert</v>
      </c>
      <c r="K78" s="9" t="s">
        <v>698</v>
      </c>
    </row>
    <row r="80" customFormat="false" ht="18" hidden="false" customHeight="true" outlineLevel="0" collapsed="false">
      <c r="B80" s="3" t="s">
        <v>542</v>
      </c>
      <c r="C80" s="4"/>
      <c r="D80" s="4"/>
      <c r="E80" s="4"/>
      <c r="F80" s="4"/>
      <c r="G80" s="4"/>
      <c r="H80" s="4"/>
      <c r="I80" s="4"/>
      <c r="J80" s="4"/>
      <c r="K80" s="4"/>
    </row>
    <row r="81" customFormat="false" ht="15.75" hidden="false" customHeight="true" outlineLevel="0" collapsed="false">
      <c r="B81" s="5" t="s">
        <v>669</v>
      </c>
      <c r="C81" s="6" t="s">
        <v>429</v>
      </c>
      <c r="D81" s="6" t="s">
        <v>430</v>
      </c>
      <c r="E81" s="6" t="s">
        <v>431</v>
      </c>
      <c r="F81" s="6" t="s">
        <v>432</v>
      </c>
      <c r="G81" s="6" t="s">
        <v>433</v>
      </c>
      <c r="H81" s="6" t="s">
        <v>434</v>
      </c>
      <c r="I81" s="6" t="s">
        <v>435</v>
      </c>
      <c r="J81" s="6" t="s">
        <v>436</v>
      </c>
      <c r="K81" s="6" t="s">
        <v>4</v>
      </c>
    </row>
    <row r="82" customFormat="false" ht="15" hidden="false" customHeight="false" outlineLevel="0" collapsed="false">
      <c r="B82" s="7" t="s">
        <v>670</v>
      </c>
      <c r="C82" s="17" t="n">
        <f aca="false">EDATE(Date_depart,0)</f>
        <v>47118</v>
      </c>
      <c r="D82" s="17" t="n">
        <f aca="false">EDATE(Date_depart,6)</f>
        <v>47299</v>
      </c>
      <c r="E82" s="17" t="n">
        <f aca="false">EDATE(Date_depart,12)</f>
        <v>47483</v>
      </c>
      <c r="F82" s="17" t="n">
        <f aca="false">EDATE(Date_depart,18)</f>
        <v>47664</v>
      </c>
      <c r="G82" s="17" t="n">
        <f aca="false">EDATE(Date_depart,24)</f>
        <v>47848</v>
      </c>
      <c r="H82" s="17" t="n">
        <f aca="false">EDATE(Date_depart,30)</f>
        <v>48029</v>
      </c>
      <c r="I82" s="17" t="n">
        <f aca="false">EDATE(Date_depart,36)</f>
        <v>48213</v>
      </c>
      <c r="J82" s="17" t="n">
        <f aca="false">EDATE(Date_depart,42)</f>
        <v>48395</v>
      </c>
      <c r="K82" s="9"/>
    </row>
    <row r="83" customFormat="false" ht="15" hidden="false" customHeight="false" outlineLevel="0" collapsed="false">
      <c r="B83" s="7" t="s">
        <v>671</v>
      </c>
      <c r="C83" s="36" t="n">
        <f aca="false">Paramètres!$C$164</f>
        <v>-3.5</v>
      </c>
      <c r="D83" s="36" t="n">
        <f aca="false">Paramètres!$D$164</f>
        <v>-1.5</v>
      </c>
      <c r="E83" s="36" t="n">
        <f aca="false">Paramètres!$E$164</f>
        <v>-0.5</v>
      </c>
      <c r="F83" s="36" t="n">
        <f aca="false">Paramètres!$F$164</f>
        <v>0</v>
      </c>
      <c r="G83" s="36" t="n">
        <f aca="false">Paramètres!$G$164</f>
        <v>0.5</v>
      </c>
      <c r="H83" s="36" t="n">
        <f aca="false">Paramètres!$H$164</f>
        <v>0.5</v>
      </c>
      <c r="I83" s="36" t="n">
        <f aca="false">Paramètres!$I$164</f>
        <v>0.5</v>
      </c>
      <c r="J83" s="36" t="n">
        <f aca="false">Paramètres!$J$164</f>
        <v>0.5</v>
      </c>
      <c r="K83" s="9" t="s">
        <v>672</v>
      </c>
    </row>
    <row r="84" customFormat="false" ht="15" hidden="false" customHeight="false" outlineLevel="0" collapsed="false">
      <c r="B84" s="7" t="s">
        <v>673</v>
      </c>
      <c r="C84" s="16" t="n">
        <f aca="false">Paramètres!$C$164*'MST Données'!$J$10</f>
        <v>-0.206624303841083</v>
      </c>
      <c r="D84" s="16" t="n">
        <f aca="false">Paramètres!$D$164*'MST Données'!$J$10</f>
        <v>-0.0885532730747497</v>
      </c>
      <c r="E84" s="16" t="n">
        <f aca="false">Paramètres!$E$164*'MST Données'!$J$10</f>
        <v>-0.0295177576915832</v>
      </c>
      <c r="F84" s="16" t="n">
        <f aca="false">Paramètres!$F$164*'MST Données'!$J$10</f>
        <v>0</v>
      </c>
      <c r="G84" s="16" t="n">
        <f aca="false">Paramètres!$G$164*'MST Données'!$J$10</f>
        <v>0.0295177576915832</v>
      </c>
      <c r="H84" s="16" t="n">
        <f aca="false">Paramètres!$H$164*'MST Données'!$J$10</f>
        <v>0.0295177576915832</v>
      </c>
      <c r="I84" s="16" t="n">
        <f aca="false">Paramètres!$I$164*'MST Données'!$J$10</f>
        <v>0.0295177576915832</v>
      </c>
      <c r="J84" s="16" t="n">
        <f aca="false">Paramètres!$J$164*'MST Données'!$J$10</f>
        <v>0.0295177576915832</v>
      </c>
      <c r="K84" s="9" t="s">
        <v>674</v>
      </c>
    </row>
    <row r="85" customFormat="false" ht="15" hidden="false" customHeight="false" outlineLevel="0" collapsed="false">
      <c r="B85" s="7" t="s">
        <v>675</v>
      </c>
      <c r="C85" s="16" t="n">
        <f aca="false">Paramètres!$C$164*'MST Données'!$L$10</f>
        <v>-0.451883184227092</v>
      </c>
      <c r="D85" s="16" t="n">
        <f aca="false">Paramètres!$D$164*'MST Données'!$L$10</f>
        <v>-0.193664221811611</v>
      </c>
      <c r="E85" s="16" t="n">
        <f aca="false">Paramètres!$E$164*'MST Données'!$L$10</f>
        <v>-0.0645547406038703</v>
      </c>
      <c r="F85" s="16" t="n">
        <f aca="false">Paramètres!$F$164*'MST Données'!$L$10</f>
        <v>0</v>
      </c>
      <c r="G85" s="16" t="n">
        <f aca="false">Paramètres!$G$164*'MST Données'!$L$10</f>
        <v>0.0645547406038703</v>
      </c>
      <c r="H85" s="16" t="n">
        <f aca="false">Paramètres!$H$164*'MST Données'!$L$10</f>
        <v>0.0645547406038703</v>
      </c>
      <c r="I85" s="16" t="n">
        <f aca="false">Paramètres!$I$164*'MST Données'!$L$10</f>
        <v>0.0645547406038703</v>
      </c>
      <c r="J85" s="16" t="n">
        <f aca="false">Paramètres!$J$164*'MST Données'!$L$10</f>
        <v>0.0645547406038703</v>
      </c>
      <c r="K85" s="9" t="s">
        <v>674</v>
      </c>
    </row>
    <row r="86" customFormat="false" ht="15" hidden="false" customHeight="false" outlineLevel="0" collapsed="false">
      <c r="B86" s="7" t="s">
        <v>676</v>
      </c>
      <c r="C86" s="16" t="n">
        <f aca="false">Paramètres!$C$164*'MST Données'!$M$10</f>
        <v>-0.135784146598611</v>
      </c>
      <c r="D86" s="16" t="n">
        <f aca="false">Paramètres!$D$164*'MST Données'!$M$10</f>
        <v>-0.058193205685119</v>
      </c>
      <c r="E86" s="16" t="n">
        <f aca="false">Paramètres!$E$164*'MST Données'!$M$10</f>
        <v>-0.019397735228373</v>
      </c>
      <c r="F86" s="16" t="n">
        <f aca="false">Paramètres!$F$164*'MST Données'!$M$10</f>
        <v>0</v>
      </c>
      <c r="G86" s="16" t="n">
        <f aca="false">Paramètres!$G$164*'MST Données'!$M$10</f>
        <v>0.019397735228373</v>
      </c>
      <c r="H86" s="16" t="n">
        <f aca="false">Paramètres!$H$164*'MST Données'!$M$10</f>
        <v>0.019397735228373</v>
      </c>
      <c r="I86" s="16" t="n">
        <f aca="false">Paramètres!$I$164*'MST Données'!$M$10</f>
        <v>0.019397735228373</v>
      </c>
      <c r="J86" s="16" t="n">
        <f aca="false">Paramètres!$J$164*'MST Données'!$M$10</f>
        <v>0.019397735228373</v>
      </c>
      <c r="K86" s="9" t="s">
        <v>674</v>
      </c>
    </row>
    <row r="87" customFormat="false" ht="15" hidden="false" customHeight="false" outlineLevel="0" collapsed="false">
      <c r="B87" s="7" t="s">
        <v>677</v>
      </c>
      <c r="C87" s="16" t="n">
        <f aca="false">Paramètres!$C$169</f>
        <v>-0.25</v>
      </c>
      <c r="D87" s="16" t="n">
        <f aca="false">Paramètres!$D$169</f>
        <v>-0.05</v>
      </c>
      <c r="E87" s="16" t="n">
        <f aca="false">Paramètres!$E$169</f>
        <v>0</v>
      </c>
      <c r="F87" s="16" t="n">
        <f aca="false">Paramètres!$F$169</f>
        <v>0</v>
      </c>
      <c r="G87" s="16" t="n">
        <f aca="false">Paramètres!$G$169</f>
        <v>0.05</v>
      </c>
      <c r="H87" s="16" t="n">
        <f aca="false">Paramètres!$H$169</f>
        <v>0</v>
      </c>
      <c r="I87" s="16" t="n">
        <f aca="false">Paramètres!$I$169</f>
        <v>0</v>
      </c>
      <c r="J87" s="16" t="n">
        <f aca="false">Paramètres!$J$169</f>
        <v>0</v>
      </c>
      <c r="K87" s="9" t="s">
        <v>678</v>
      </c>
    </row>
    <row r="88" customFormat="false" ht="15" hidden="false" customHeight="false" outlineLevel="0" collapsed="false">
      <c r="B88" s="7" t="s">
        <v>679</v>
      </c>
      <c r="C88" s="16" t="n">
        <f aca="false">0.6*C84+0.2*C85+0.2*C86</f>
        <v>-0.24150804846979</v>
      </c>
      <c r="D88" s="16" t="n">
        <f aca="false">0.6*D84+0.2*D85+0.2*D86</f>
        <v>-0.103503449344196</v>
      </c>
      <c r="E88" s="16" t="n">
        <f aca="false">0.6*E84+0.2*E85+0.2*E86</f>
        <v>-0.0345011497813986</v>
      </c>
      <c r="F88" s="16" t="n">
        <f aca="false">0.6*F84+0.2*F85+0.2*F86</f>
        <v>0</v>
      </c>
      <c r="G88" s="16" t="n">
        <f aca="false">0.6*G84+0.2*G85+0.2*G86</f>
        <v>0.0345011497813986</v>
      </c>
      <c r="H88" s="16" t="n">
        <f aca="false">0.6*H84+0.2*H85+0.2*H86</f>
        <v>0.0345011497813986</v>
      </c>
      <c r="I88" s="16" t="n">
        <f aca="false">0.6*I84+0.2*I85+0.2*I86</f>
        <v>0.0345011497813986</v>
      </c>
      <c r="J88" s="16" t="n">
        <f aca="false">0.6*J84+0.2*J85+0.2*J86</f>
        <v>0.0345011497813986</v>
      </c>
      <c r="K88" s="9" t="s">
        <v>680</v>
      </c>
    </row>
    <row r="90" customFormat="false" ht="15.75" hidden="false" customHeight="true" outlineLevel="0" collapsed="false">
      <c r="B90" s="5" t="s">
        <v>681</v>
      </c>
      <c r="C90" s="6" t="s">
        <v>429</v>
      </c>
      <c r="D90" s="6" t="s">
        <v>430</v>
      </c>
      <c r="E90" s="6" t="s">
        <v>431</v>
      </c>
      <c r="F90" s="6" t="s">
        <v>432</v>
      </c>
      <c r="G90" s="6" t="s">
        <v>433</v>
      </c>
      <c r="H90" s="6" t="s">
        <v>434</v>
      </c>
      <c r="I90" s="6" t="s">
        <v>435</v>
      </c>
      <c r="J90" s="6" t="s">
        <v>436</v>
      </c>
      <c r="K90" s="6" t="s">
        <v>682</v>
      </c>
    </row>
    <row r="91" customFormat="false" ht="22.35" hidden="false" customHeight="false" outlineLevel="0" collapsed="false">
      <c r="B91" s="7" t="s">
        <v>187</v>
      </c>
      <c r="C91" s="16" t="n">
        <f aca="false">Paramètres!$C$79/2+Paramètres!$F$79*((1-Paramètres!$G$79)*C84)+Paramètres!$H$79*C87+IF(AND(C84&lt;0,"S4"&lt;&gt;"S1",1&lt;=2),Paramètres!$I$79,0)</f>
        <v>-0.284156075960271</v>
      </c>
      <c r="D91" s="16" t="n">
        <f aca="false">Paramètres!$C$79/2+Paramètres!$F$79*((1-Paramètres!$G$79)*D84+Paramètres!$G$79*C84)+Paramètres!$H$79*D87+IF(AND(D84&lt;0,"S4"&lt;&gt;"S1",2&lt;=2),Paramètres!$I$79,0)</f>
        <v>-0.106294394228958</v>
      </c>
      <c r="E91" s="16" t="n">
        <f aca="false">Paramètres!$C$79/2+Paramètres!$F$79*((1-Paramètres!$G$79)*E84+Paramètres!$G$79*D84)+Paramètres!$H$79*E87+IF(AND(E84&lt;0,"S4"&lt;&gt;"S1",3&lt;=2),Paramètres!$I$79,0)</f>
        <v>0.0379822423084168</v>
      </c>
      <c r="F91" s="16" t="n">
        <f aca="false">Paramètres!$C$79/2+Paramètres!$F$79*((1-Paramètres!$G$79)*F84+Paramètres!$G$79*E84)+Paramètres!$H$79*F87+IF(AND(F84&lt;0,"S4"&lt;&gt;"S1",4&lt;=2),Paramètres!$I$79,0)</f>
        <v>0.0601205605771042</v>
      </c>
      <c r="G91" s="16" t="n">
        <f aca="false">Paramètres!$C$79/2+Paramètres!$F$79*((1-Paramètres!$G$79)*G84+Paramètres!$G$79*F84)+Paramètres!$H$79*G87+IF(AND(G84&lt;0,"S4"&lt;&gt;"S1",5&lt;=2),Paramètres!$I$79,0)</f>
        <v>0.124879439422896</v>
      </c>
      <c r="H91" s="16" t="n">
        <f aca="false">Paramètres!$C$79/2+Paramètres!$F$79*((1-Paramètres!$G$79)*H84+Paramètres!$G$79*G84)+Paramètres!$H$79*H87+IF(AND(H84&lt;0,"S4"&lt;&gt;"S1",6&lt;=2),Paramètres!$I$79,0)</f>
        <v>0.0822588788457916</v>
      </c>
      <c r="I91" s="16" t="n">
        <f aca="false">Paramètres!$C$79/2+Paramètres!$F$79*((1-Paramètres!$G$79)*I84+Paramètres!$G$79*H84)+Paramètres!$H$79*I87+IF(AND(I84&lt;0,"S4"&lt;&gt;"S1",7&lt;=2),Paramètres!$I$79,0)</f>
        <v>0.0822588788457916</v>
      </c>
      <c r="J91" s="16" t="n">
        <f aca="false">Paramètres!$C$79/2+Paramètres!$F$79*((1-Paramètres!$G$79)*J84+Paramètres!$G$79*I84)+Paramètres!$H$79*J87+IF(AND(J84&lt;0,"S4"&lt;&gt;"S1",8&lt;=2),Paramètres!$I$79,0)</f>
        <v>0.0822588788457916</v>
      </c>
      <c r="K91" s="9" t="s">
        <v>683</v>
      </c>
    </row>
    <row r="92" customFormat="false" ht="22.35" hidden="false" customHeight="false" outlineLevel="0" collapsed="false">
      <c r="B92" s="7" t="s">
        <v>190</v>
      </c>
      <c r="C92" s="16" t="n">
        <f aca="false">Paramètres!$C$80/2+Paramètres!$F$80*((1-Paramètres!$G$80)*C85)+Paramètres!$H$80*C87+IF(AND(C85&lt;0,"S4"&lt;&gt;"S1",1&lt;=2),Paramètres!$I$80,0)</f>
        <v>-0.307970796056773</v>
      </c>
      <c r="D92" s="16" t="n">
        <f aca="false">Paramètres!$C$80/2+Paramètres!$F$80*((1-Paramètres!$G$80)*D85+Paramètres!$G$80*C85)+Paramètres!$H$80*D87+IF(AND(D85&lt;0,"S4"&lt;&gt;"S1",2&lt;=2),Paramètres!$I$80,0)</f>
        <v>-0.156386851509676</v>
      </c>
      <c r="E92" s="16" t="n">
        <f aca="false">Paramètres!$C$80/2+Paramètres!$F$80*((1-Paramètres!$G$80)*E85+Paramètres!$G$80*D85)+Paramètres!$H$80*E87+IF(AND(E85&lt;0,"S4"&lt;&gt;"S1",3&lt;=2),Paramètres!$I$80,0)</f>
        <v>-0.00955474060387033</v>
      </c>
      <c r="F92" s="16" t="n">
        <f aca="false">Paramètres!$C$80/2+Paramètres!$F$80*((1-Paramètres!$G$80)*F85+Paramètres!$G$80*E85)+Paramètres!$H$80*F87+IF(AND(F85&lt;0,"S4"&lt;&gt;"S1",4&lt;=2),Paramètres!$I$80,0)</f>
        <v>0.0388613148490324</v>
      </c>
      <c r="G92" s="16" t="n">
        <f aca="false">Paramètres!$C$80/2+Paramètres!$F$80*((1-Paramètres!$G$80)*G85+Paramètres!$G$80*F85)+Paramètres!$H$80*G87+IF(AND(G85&lt;0,"S4"&lt;&gt;"S1",5&lt;=2),Paramètres!$I$80,0)</f>
        <v>0.121138685150968</v>
      </c>
      <c r="H92" s="16" t="n">
        <f aca="false">Paramètres!$C$80/2+Paramètres!$F$80*((1-Paramètres!$G$80)*H85+Paramètres!$G$80*G85)+Paramètres!$H$80*H87+IF(AND(H85&lt;0,"S4"&lt;&gt;"S1",6&lt;=2),Paramètres!$I$80,0)</f>
        <v>0.0872773703019352</v>
      </c>
      <c r="I92" s="16" t="n">
        <f aca="false">Paramètres!$C$80/2+Paramètres!$F$80*((1-Paramètres!$G$80)*I85+Paramètres!$G$80*H85)+Paramètres!$H$80*I87+IF(AND(I85&lt;0,"S4"&lt;&gt;"S1",7&lt;=2),Paramètres!$I$80,0)</f>
        <v>0.0872773703019352</v>
      </c>
      <c r="J92" s="16" t="n">
        <f aca="false">Paramètres!$C$80/2+Paramètres!$F$80*((1-Paramètres!$G$80)*J85+Paramètres!$G$80*I85)+Paramètres!$H$80*J87+IF(AND(J85&lt;0,"S4"&lt;&gt;"S1",8&lt;=2),Paramètres!$I$80,0)</f>
        <v>0.0872773703019352</v>
      </c>
      <c r="K92" s="9" t="s">
        <v>684</v>
      </c>
    </row>
    <row r="93" customFormat="false" ht="22.35" hidden="false" customHeight="false" outlineLevel="0" collapsed="false">
      <c r="B93" s="7" t="s">
        <v>192</v>
      </c>
      <c r="C93" s="16" t="n">
        <f aca="false">Paramètres!$C$81/2+Paramètres!$F$81*((1-Paramètres!$G$81)*C84)+Paramètres!$H$81*C87+IF(AND(C84&lt;0,"S4"&lt;&gt;"S1",1&lt;=2),Paramètres!$I$81,0)</f>
        <v>0.00584392403972937</v>
      </c>
      <c r="D93" s="16" t="n">
        <f aca="false">Paramètres!$C$81/2+Paramètres!$F$81*((1-Paramètres!$G$81)*D84+Paramètres!$G$81*C84)+Paramètres!$H$81*D87+IF(AND(D84&lt;0,"S4"&lt;&gt;"S1",2&lt;=2),Paramètres!$I$81,0)</f>
        <v>-0.016294394228958</v>
      </c>
      <c r="E93" s="16" t="n">
        <f aca="false">Paramètres!$C$81/2+Paramètres!$F$81*((1-Paramètres!$G$81)*E84+Paramètres!$G$81*D84)+Paramètres!$H$81*E87+IF(AND(E84&lt;0,"S4"&lt;&gt;"S1",3&lt;=2),Paramètres!$I$81,0)</f>
        <v>0.0279822423084168</v>
      </c>
      <c r="F93" s="16" t="n">
        <f aca="false">Paramètres!$C$81/2+Paramètres!$F$81*((1-Paramètres!$G$81)*F84+Paramètres!$G$81*E84)+Paramètres!$H$81*F87+IF(AND(F84&lt;0,"S4"&lt;&gt;"S1",4&lt;=2),Paramètres!$I$81,0)</f>
        <v>0.0501205605771042</v>
      </c>
      <c r="G93" s="16" t="n">
        <f aca="false">Paramètres!$C$81/2+Paramètres!$F$81*((1-Paramètres!$G$81)*G84+Paramètres!$G$81*F84)+Paramètres!$H$81*G87+IF(AND(G84&lt;0,"S4"&lt;&gt;"S1",5&lt;=2),Paramètres!$I$81,0)</f>
        <v>0.0648794394228958</v>
      </c>
      <c r="H93" s="16" t="n">
        <f aca="false">Paramètres!$C$81/2+Paramètres!$F$81*((1-Paramètres!$G$81)*H84+Paramètres!$G$81*G84)+Paramètres!$H$81*H87+IF(AND(H84&lt;0,"S4"&lt;&gt;"S1",6&lt;=2),Paramètres!$I$81,0)</f>
        <v>0.0722588788457916</v>
      </c>
      <c r="I93" s="16" t="n">
        <f aca="false">Paramètres!$C$81/2+Paramètres!$F$81*((1-Paramètres!$G$81)*I84+Paramètres!$G$81*H84)+Paramètres!$H$81*I87+IF(AND(I84&lt;0,"S4"&lt;&gt;"S1",7&lt;=2),Paramètres!$I$81,0)</f>
        <v>0.0722588788457916</v>
      </c>
      <c r="J93" s="16" t="n">
        <f aca="false">Paramètres!$C$81/2+Paramètres!$F$81*((1-Paramètres!$G$81)*J84+Paramètres!$G$81*I84)+Paramètres!$H$81*J87+IF(AND(J84&lt;0,"S4"&lt;&gt;"S1",8&lt;=2),Paramètres!$I$81,0)</f>
        <v>0.0722588788457916</v>
      </c>
      <c r="K93" s="9" t="s">
        <v>683</v>
      </c>
    </row>
    <row r="94" customFormat="false" ht="22.35" hidden="false" customHeight="false" outlineLevel="0" collapsed="false">
      <c r="B94" s="7" t="s">
        <v>195</v>
      </c>
      <c r="C94" s="16" t="n">
        <f aca="false">Paramètres!$C$82/2+Paramètres!$F$82*((1-Paramètres!$G$82)*C88)+Paramètres!$H$82*C87+IF(AND(C88&lt;0,"S4"&lt;&gt;"S1",1&lt;=2),Paramètres!$I$82,0)</f>
        <v>-0.0428770121174475</v>
      </c>
      <c r="D94" s="16" t="n">
        <f aca="false">Paramètres!$C$82/2+Paramètres!$F$82*((1-Paramètres!$G$82)*D88+Paramètres!$G$82*C88)+Paramètres!$H$82*D87+IF(AND(D88&lt;0,"S4"&lt;&gt;"S1",2&lt;=2),Paramètres!$I$82,0)</f>
        <v>-0.0687528744534965</v>
      </c>
      <c r="E94" s="16" t="n">
        <f aca="false">Paramètres!$C$82/2+Paramètres!$F$82*((1-Paramètres!$G$82)*E88+Paramètres!$G$82*D88)+Paramètres!$H$82*E87+IF(AND(E88&lt;0,"S4"&lt;&gt;"S1",3&lt;=2),Paramètres!$I$82,0)</f>
        <v>0.0129988502186014</v>
      </c>
      <c r="F94" s="16" t="n">
        <f aca="false">Paramètres!$C$82/2+Paramètres!$F$82*((1-Paramètres!$G$82)*F88+Paramètres!$G$82*E88)+Paramètres!$H$82*F87+IF(AND(F88&lt;0,"S4"&lt;&gt;"S1",4&lt;=2),Paramètres!$I$82,0)</f>
        <v>0.0388747125546504</v>
      </c>
      <c r="G94" s="16" t="n">
        <f aca="false">Paramètres!$C$82/2+Paramètres!$F$82*((1-Paramètres!$G$82)*G88+Paramètres!$G$82*F88)+Paramètres!$H$82*G87+IF(AND(G88&lt;0,"S4"&lt;&gt;"S1",5&lt;=2),Paramètres!$I$82,0)</f>
        <v>0.0561252874453497</v>
      </c>
      <c r="H94" s="16" t="n">
        <f aca="false">Paramètres!$C$82/2+Paramètres!$F$82*((1-Paramètres!$G$82)*H88+Paramètres!$G$82*G88)+Paramètres!$H$82*H87+IF(AND(H88&lt;0,"S4"&lt;&gt;"S1",6&lt;=2),Paramètres!$I$82,0)</f>
        <v>0.0647505748906993</v>
      </c>
      <c r="I94" s="16" t="n">
        <f aca="false">Paramètres!$C$82/2+Paramètres!$F$82*((1-Paramètres!$G$82)*I88+Paramètres!$G$82*H88)+Paramètres!$H$82*I87+IF(AND(I88&lt;0,"S4"&lt;&gt;"S1",7&lt;=2),Paramètres!$I$82,0)</f>
        <v>0.0647505748906993</v>
      </c>
      <c r="J94" s="16" t="n">
        <f aca="false">Paramètres!$C$82/2+Paramètres!$F$82*((1-Paramètres!$G$82)*J88+Paramètres!$G$82*I88)+Paramètres!$H$82*J87+IF(AND(J88&lt;0,"S4"&lt;&gt;"S1",8&lt;=2),Paramètres!$I$82,0)</f>
        <v>0.0647505748906993</v>
      </c>
      <c r="K94" s="9" t="s">
        <v>685</v>
      </c>
    </row>
    <row r="95" customFormat="false" ht="22.35" hidden="false" customHeight="false" outlineLevel="0" collapsed="false">
      <c r="B95" s="7" t="s">
        <v>197</v>
      </c>
      <c r="C95" s="16" t="n">
        <f aca="false">Paramètres!$C$83/2+Paramètres!$F$83*((1-Paramètres!$G$83)*C86)+Paramètres!$H$83*C87+IF(AND(C86&lt;0,"S4"&lt;&gt;"S1",1&lt;=2),Paramètres!$I$83,0)</f>
        <v>-0.105784146598611</v>
      </c>
      <c r="D95" s="16" t="n">
        <f aca="false">Paramètres!$C$83/2+Paramètres!$F$83*((1-Paramètres!$G$83)*D86+Paramètres!$G$83*C86)+Paramètres!$H$83*D87+IF(AND(D86&lt;0,"S4"&lt;&gt;"S1",2&lt;=2),Paramètres!$I$83,0)</f>
        <v>-0.028193205685119</v>
      </c>
      <c r="E95" s="16" t="n">
        <f aca="false">Paramètres!$C$83/2+Paramètres!$F$83*((1-Paramètres!$G$83)*E86+Paramètres!$G$83*D86)+Paramètres!$H$83*E87+IF(AND(E86&lt;0,"S4"&lt;&gt;"S1",3&lt;=2),Paramètres!$I$83,0)</f>
        <v>0.010602264771627</v>
      </c>
      <c r="F95" s="16" t="n">
        <f aca="false">Paramètres!$C$83/2+Paramètres!$F$83*((1-Paramètres!$G$83)*F86+Paramètres!$G$83*E86)+Paramètres!$H$83*F87+IF(AND(F86&lt;0,"S4"&lt;&gt;"S1",4&lt;=2),Paramètres!$I$83,0)</f>
        <v>0.03</v>
      </c>
      <c r="G95" s="16" t="n">
        <f aca="false">Paramètres!$C$83/2+Paramètres!$F$83*((1-Paramètres!$G$83)*G86+Paramètres!$G$83*F86)+Paramètres!$H$83*G87+IF(AND(G86&lt;0,"S4"&lt;&gt;"S1",5&lt;=2),Paramètres!$I$83,0)</f>
        <v>0.049397735228373</v>
      </c>
      <c r="H95" s="16" t="n">
        <f aca="false">Paramètres!$C$83/2+Paramètres!$F$83*((1-Paramètres!$G$83)*H86+Paramètres!$G$83*G86)+Paramètres!$H$83*H87+IF(AND(H86&lt;0,"S4"&lt;&gt;"S1",6&lt;=2),Paramètres!$I$83,0)</f>
        <v>0.049397735228373</v>
      </c>
      <c r="I95" s="16" t="n">
        <f aca="false">Paramètres!$C$83/2+Paramètres!$F$83*((1-Paramètres!$G$83)*I86+Paramètres!$G$83*H86)+Paramètres!$H$83*I87+IF(AND(I86&lt;0,"S4"&lt;&gt;"S1",7&lt;=2),Paramètres!$I$83,0)</f>
        <v>0.049397735228373</v>
      </c>
      <c r="J95" s="16" t="n">
        <f aca="false">Paramètres!$C$83/2+Paramètres!$F$83*((1-Paramètres!$G$83)*J86+Paramètres!$G$83*I86)+Paramètres!$H$83*J87+IF(AND(J86&lt;0,"S4"&lt;&gt;"S1",8&lt;=2),Paramètres!$I$83,0)</f>
        <v>0.049397735228373</v>
      </c>
      <c r="K95" s="9" t="s">
        <v>686</v>
      </c>
    </row>
    <row r="96" customFormat="false" ht="15" hidden="false" customHeight="false" outlineLevel="0" collapsed="false">
      <c r="B96" s="7" t="s">
        <v>200</v>
      </c>
      <c r="C96" s="16" t="n">
        <f aca="false">Paramètres!$C$84/2</f>
        <v>0.0125</v>
      </c>
      <c r="D96" s="16" t="n">
        <f aca="false">Paramètres!$C$84/2</f>
        <v>0.0125</v>
      </c>
      <c r="E96" s="16" t="n">
        <f aca="false">Paramètres!$C$84/2</f>
        <v>0.0125</v>
      </c>
      <c r="F96" s="16" t="n">
        <f aca="false">Paramètres!$C$84/2</f>
        <v>0.0125</v>
      </c>
      <c r="G96" s="16" t="n">
        <f aca="false">Paramètres!$C$84/2</f>
        <v>0.0125</v>
      </c>
      <c r="H96" s="16" t="n">
        <f aca="false">Paramètres!$C$84/2</f>
        <v>0.0125</v>
      </c>
      <c r="I96" s="16" t="n">
        <f aca="false">Paramètres!$C$84/2</f>
        <v>0.0125</v>
      </c>
      <c r="J96" s="16" t="n">
        <f aca="false">Paramètres!$C$84/2</f>
        <v>0.0125</v>
      </c>
      <c r="K96" s="9" t="s">
        <v>687</v>
      </c>
    </row>
    <row r="98" customFormat="false" ht="15" hidden="false" customHeight="false" outlineLevel="0" collapsed="false">
      <c r="B98" s="7" t="s">
        <v>688</v>
      </c>
      <c r="C98" s="16" t="n">
        <f aca="false">Paramètres!$D$68*C91+Paramètres!$D$69*C92+Paramètres!$D$70*C93+Paramètres!$D$71*C94+Paramètres!$D$72*C95+Paramètres!$D$73*C96</f>
        <v>-0.119538989290983</v>
      </c>
      <c r="D98" s="16" t="n">
        <f aca="false">Paramètres!$D$68*D91+Paramètres!$D$69*D92+Paramètres!$D$70*D93+Paramètres!$D$71*D94+Paramètres!$D$72*D95+Paramètres!$D$73*D96</f>
        <v>-0.0605158714326998</v>
      </c>
      <c r="E98" s="16" t="n">
        <f aca="false">Paramètres!$D$68*E91+Paramètres!$D$69*E92+Paramètres!$D$70*E93+Paramètres!$D$71*E94+Paramètres!$D$72*E95+Paramètres!$D$73*E96</f>
        <v>0.0251254016019443</v>
      </c>
      <c r="F98" s="16" t="n">
        <f aca="false">Paramètres!$D$68*F91+Paramètres!$D$69*F92+Paramètres!$D$70*F93+Paramètres!$D$71*F94+Paramètres!$D$72*F95+Paramètres!$D$73*F96</f>
        <v>0.0467710381192663</v>
      </c>
      <c r="G98" s="16" t="n">
        <f aca="false">Paramètres!$D$68*G91+Paramètres!$D$69*G92+Paramètres!$D$70*G93+Paramètres!$D$71*G94+Paramètres!$D$72*G95+Paramètres!$D$73*G96</f>
        <v>0.0794127127558547</v>
      </c>
      <c r="H98" s="16" t="n">
        <f aca="false">Paramètres!$D$68*H91+Paramètres!$D$69*H92+Paramètres!$D$70*H93+Paramètres!$D$71*H94+Paramètres!$D$72*H95+Paramètres!$D$73*H96</f>
        <v>0.0684166746365884</v>
      </c>
      <c r="I98" s="16" t="n">
        <f aca="false">Paramètres!$D$68*I91+Paramètres!$D$69*I92+Paramètres!$D$70*I93+Paramètres!$D$71*I94+Paramètres!$D$72*I95+Paramètres!$D$73*I96</f>
        <v>0.0684166746365884</v>
      </c>
      <c r="J98" s="16" t="n">
        <f aca="false">Paramètres!$D$68*J91+Paramètres!$D$69*J92+Paramètres!$D$70*J93+Paramètres!$D$71*J94+Paramètres!$D$72*J95+Paramètres!$D$73*J96</f>
        <v>0.0684166746365884</v>
      </c>
      <c r="K98" s="9" t="s">
        <v>689</v>
      </c>
    </row>
    <row r="99" customFormat="false" ht="15" hidden="false" customHeight="false" outlineLevel="0" collapsed="false">
      <c r="B99" s="7" t="s">
        <v>690</v>
      </c>
      <c r="C99" s="24" t="n">
        <f aca="false">100*(1+C98)</f>
        <v>88.0461010709017</v>
      </c>
      <c r="D99" s="24" t="n">
        <f aca="false">C99*(1+D98)</f>
        <v>82.7179145383445</v>
      </c>
      <c r="E99" s="24" t="n">
        <f aca="false">D99*(1+E98)</f>
        <v>84.7962353607957</v>
      </c>
      <c r="F99" s="24" t="n">
        <f aca="false">E99*(1+F98)</f>
        <v>88.7622433172258</v>
      </c>
      <c r="G99" s="24" t="n">
        <f aca="false">F99*(1+G98)</f>
        <v>95.8110938493419</v>
      </c>
      <c r="H99" s="24" t="n">
        <f aca="false">G99*(1+H98)</f>
        <v>102.366170283808</v>
      </c>
      <c r="I99" s="24" t="n">
        <f aca="false">H99*(1+I98)</f>
        <v>109.369723249909</v>
      </c>
      <c r="J99" s="24" t="n">
        <f aca="false">I99*(1+J98)</f>
        <v>116.852436020592</v>
      </c>
      <c r="K99" s="9" t="s">
        <v>691</v>
      </c>
    </row>
    <row r="100" customFormat="false" ht="15" hidden="false" customHeight="false" outlineLevel="0" collapsed="false">
      <c r="B100" s="7" t="s">
        <v>692</v>
      </c>
      <c r="C100" s="16" t="n">
        <f aca="false">C99/100-1</f>
        <v>-0.119538989290983</v>
      </c>
      <c r="D100" s="16" t="n">
        <f aca="false">D99/100-1</f>
        <v>-0.172820854616555</v>
      </c>
      <c r="E100" s="16" t="n">
        <f aca="false">E99/100-1</f>
        <v>-0.152037646392043</v>
      </c>
      <c r="F100" s="16" t="n">
        <f aca="false">F99/100-1</f>
        <v>-0.112377566827742</v>
      </c>
      <c r="G100" s="16" t="n">
        <f aca="false">G99/100-1</f>
        <v>-0.0418890615065806</v>
      </c>
      <c r="H100" s="16" t="n">
        <f aca="false">H99/100-1</f>
        <v>0.0236617028380801</v>
      </c>
      <c r="I100" s="16" t="n">
        <f aca="false">I99/100-1</f>
        <v>0.093697232499089</v>
      </c>
      <c r="J100" s="16" t="n">
        <f aca="false">J99/100-1</f>
        <v>0.168524360205916</v>
      </c>
      <c r="K100" s="9"/>
    </row>
    <row r="101" customFormat="false" ht="15" hidden="false" customHeight="false" outlineLevel="0" collapsed="false">
      <c r="B101" s="7" t="s">
        <v>693</v>
      </c>
      <c r="C101" s="11" t="n">
        <f aca="false">MIN(C100:J100)</f>
        <v>-0.172820854616555</v>
      </c>
      <c r="K101" s="9" t="s">
        <v>694</v>
      </c>
    </row>
    <row r="102" customFormat="false" ht="15" hidden="false" customHeight="false" outlineLevel="0" collapsed="false">
      <c r="B102" s="7" t="s">
        <v>695</v>
      </c>
      <c r="C102" s="27" t="n">
        <f aca="false">IFERROR(MATCH(TRUE(),INDEX(C100:J100&gt;=0,0),0),"au-delà de 8")</f>
        <v>6</v>
      </c>
      <c r="K102" s="9" t="s">
        <v>696</v>
      </c>
    </row>
    <row r="103" customFormat="false" ht="15" hidden="false" customHeight="false" outlineLevel="0" collapsed="false">
      <c r="B103" s="7" t="s">
        <v>697</v>
      </c>
      <c r="C103" s="18" t="str">
        <f aca="false">IF(-C101&gt;S_mst_rouge,"Rouge",IF(-C101&gt;S_mst_orange,"Orange","Vert"))</f>
        <v>Orange</v>
      </c>
      <c r="K103" s="9" t="s">
        <v>698</v>
      </c>
    </row>
  </sheetData>
  <mergeCells count="1">
    <mergeCell ref="B3:K3"/>
  </mergeCells>
  <conditionalFormatting sqref="C6:C105">
    <cfRule type="expression" priority="2" aboveAverage="0" equalAverage="0" bottom="0" percent="0" rank="0" text="" dxfId="0">
      <formula>LEFT(C6,4)="Vert"</formula>
    </cfRule>
    <cfRule type="expression" priority="3" aboveAverage="0" equalAverage="0" bottom="0" percent="0" rank="0" text="" dxfId="1">
      <formula>LEFT(C6,6)="Orange"</formula>
    </cfRule>
    <cfRule type="expression" priority="4" aboveAverage="0" equalAverage="0" bottom="0" percent="0" rank="0" text="" dxfId="2">
      <formula>LEFT(C6,5)="Rouge"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6" min="3" style="0" width="14"/>
    <col collapsed="false" customWidth="true" hidden="false" outlineLevel="0" max="7" min="7" style="0" width="40"/>
  </cols>
  <sheetData>
    <row r="2" customFormat="false" ht="15" hidden="false" customHeight="false" outlineLevel="0" collapsed="false">
      <c r="B2" s="1" t="s">
        <v>699</v>
      </c>
    </row>
    <row r="3" customFormat="false" ht="42" hidden="false" customHeight="true" outlineLevel="0" collapsed="false">
      <c r="B3" s="2" t="s">
        <v>700</v>
      </c>
      <c r="C3" s="2"/>
      <c r="D3" s="2"/>
      <c r="E3" s="2"/>
      <c r="F3" s="2"/>
      <c r="G3" s="2"/>
    </row>
    <row r="5" customFormat="false" ht="18" hidden="false" customHeight="true" outlineLevel="0" collapsed="false">
      <c r="B5" s="3" t="s">
        <v>701</v>
      </c>
      <c r="C5" s="4"/>
      <c r="D5" s="4"/>
      <c r="E5" s="4"/>
      <c r="F5" s="4"/>
      <c r="G5" s="4"/>
    </row>
    <row r="6" customFormat="false" ht="15.75" hidden="false" customHeight="true" outlineLevel="0" collapsed="false">
      <c r="B6" s="5" t="s">
        <v>2</v>
      </c>
      <c r="C6" s="6" t="s">
        <v>33</v>
      </c>
      <c r="D6" s="6" t="s">
        <v>35</v>
      </c>
      <c r="E6" s="6" t="s">
        <v>37</v>
      </c>
      <c r="F6" s="6" t="s">
        <v>39</v>
      </c>
      <c r="G6" s="6" t="s">
        <v>4</v>
      </c>
    </row>
    <row r="7" customFormat="false" ht="15" hidden="false" customHeight="false" outlineLevel="0" collapsed="false">
      <c r="B7" s="7" t="s">
        <v>702</v>
      </c>
      <c r="C7" s="16" t="n">
        <f aca="false">MST_S1_creux</f>
        <v>0.0446372872441454</v>
      </c>
      <c r="D7" s="16" t="n">
        <f aca="false">MST_S2_creux</f>
        <v>-0.0149881382675641</v>
      </c>
      <c r="E7" s="16" t="n">
        <f aca="false">MST_S3_creux</f>
        <v>-0.0871963605354427</v>
      </c>
      <c r="F7" s="16" t="n">
        <f aca="false">MST_S4_creux</f>
        <v>-0.172820854616555</v>
      </c>
      <c r="G7" s="9" t="s">
        <v>703</v>
      </c>
    </row>
    <row r="8" customFormat="false" ht="15" hidden="false" customHeight="false" outlineLevel="0" collapsed="false">
      <c r="B8" s="7" t="s">
        <v>704</v>
      </c>
      <c r="C8" s="27" t="n">
        <f aca="false">MST_S1_reprise</f>
        <v>1</v>
      </c>
      <c r="D8" s="27" t="n">
        <f aca="false">MST_S2_reprise</f>
        <v>2</v>
      </c>
      <c r="E8" s="27" t="n">
        <f aca="false">MST_S3_reprise</f>
        <v>4</v>
      </c>
      <c r="F8" s="27" t="n">
        <f aca="false">MST_S4_reprise</f>
        <v>6</v>
      </c>
      <c r="G8" s="9"/>
    </row>
    <row r="9" customFormat="false" ht="15" hidden="false" customHeight="false" outlineLevel="0" collapsed="false">
      <c r="B9" s="7" t="s">
        <v>705</v>
      </c>
      <c r="C9" s="27" t="n">
        <f aca="false">LST_S1_gated</f>
        <v>0</v>
      </c>
      <c r="D9" s="27" t="n">
        <f aca="false">LST_S2_gated</f>
        <v>0</v>
      </c>
      <c r="E9" s="27" t="n">
        <f aca="false">LST_S3_gated</f>
        <v>8</v>
      </c>
      <c r="F9" s="27" t="n">
        <f aca="false">LST_S4_gated</f>
        <v>8</v>
      </c>
      <c r="G9" s="9"/>
    </row>
    <row r="10" customFormat="false" ht="15" hidden="false" customHeight="false" outlineLevel="0" collapsed="false">
      <c r="B10" s="7" t="s">
        <v>706</v>
      </c>
      <c r="C10" s="16" t="n">
        <f aca="false">LST_S1_file</f>
        <v>0</v>
      </c>
      <c r="D10" s="16" t="n">
        <f aca="false">LST_S2_file</f>
        <v>0</v>
      </c>
      <c r="E10" s="16" t="n">
        <f aca="false">LST_S3_file</f>
        <v>0.543771080185734</v>
      </c>
      <c r="F10" s="16" t="n">
        <f aca="false">LST_S4_file</f>
        <v>1.02900295282479</v>
      </c>
      <c r="G10" s="9"/>
    </row>
    <row r="11" customFormat="false" ht="15" hidden="false" customHeight="false" outlineLevel="0" collapsed="false">
      <c r="B11" s="7" t="s">
        <v>528</v>
      </c>
      <c r="C11" s="11" t="n">
        <f aca="false">LST_S1_file8</f>
        <v>0</v>
      </c>
      <c r="D11" s="11" t="n">
        <f aca="false">LST_S2_file8</f>
        <v>0</v>
      </c>
      <c r="E11" s="11" t="n">
        <f aca="false">LST_S3_file8</f>
        <v>0.466690404941236</v>
      </c>
      <c r="F11" s="11" t="n">
        <f aca="false">LST_S4_file8</f>
        <v>0.924759266806859</v>
      </c>
      <c r="G11" s="9" t="s">
        <v>707</v>
      </c>
    </row>
    <row r="12" customFormat="false" ht="15" hidden="false" customHeight="false" outlineLevel="0" collapsed="false">
      <c r="B12" s="7" t="s">
        <v>340</v>
      </c>
      <c r="C12" s="17" t="str">
        <f aca="false">LST_S1_susp</f>
        <v>-</v>
      </c>
      <c r="D12" s="17" t="str">
        <f aca="false">LST_S2_susp</f>
        <v>-</v>
      </c>
      <c r="E12" s="17" t="n">
        <f aca="false">LST_S3_susp</f>
        <v>47848</v>
      </c>
      <c r="F12" s="17" t="n">
        <f aca="false">LST_S4_susp</f>
        <v>47848</v>
      </c>
      <c r="G12" s="9"/>
    </row>
    <row r="13" customFormat="false" ht="15" hidden="false" customHeight="false" outlineLevel="0" collapsed="false">
      <c r="B13" s="7" t="s">
        <v>531</v>
      </c>
      <c r="C13" s="16" t="n">
        <f aca="false">LST_S1_poche</f>
        <v>0.154693253587028</v>
      </c>
      <c r="D13" s="16" t="n">
        <f aca="false">LST_S2_poche</f>
        <v>0.0694015679494139</v>
      </c>
      <c r="E13" s="16" t="n">
        <f aca="false">LST_S3_poche</f>
        <v>0.0100197564155146</v>
      </c>
      <c r="F13" s="16" t="n">
        <f aca="false">LST_S4_poche</f>
        <v>0.0103881622075077</v>
      </c>
      <c r="G13" s="9"/>
    </row>
    <row r="14" customFormat="false" ht="15" hidden="false" customHeight="false" outlineLevel="0" collapsed="false">
      <c r="B14" s="7" t="s">
        <v>342</v>
      </c>
      <c r="C14" s="36" t="n">
        <f aca="false">LST_S1_couv</f>
        <v>1.91638327633065</v>
      </c>
      <c r="D14" s="36" t="n">
        <f aca="false">LST_S2_couv</f>
        <v>0.837512359255074</v>
      </c>
      <c r="E14" s="36" t="n">
        <f aca="false">LST_S3_couv</f>
        <v>-0.44291011583829</v>
      </c>
      <c r="F14" s="36" t="n">
        <f aca="false">LST_S4_couv</f>
        <v>-0.690865904905111</v>
      </c>
      <c r="G14" s="9"/>
    </row>
    <row r="15" customFormat="false" ht="15" hidden="false" customHeight="false" outlineLevel="0" collapsed="false">
      <c r="B15" s="7" t="s">
        <v>343</v>
      </c>
      <c r="C15" s="22" t="n">
        <f aca="false">LST_S1_cession</f>
        <v>0</v>
      </c>
      <c r="D15" s="22" t="n">
        <f aca="false">LST_S2_cession</f>
        <v>0</v>
      </c>
      <c r="E15" s="22" t="n">
        <f aca="false">LST_S3_cession</f>
        <v>1656335.09575765</v>
      </c>
      <c r="F15" s="22" t="n">
        <f aca="false">LST_S4_cession</f>
        <v>1970793.58512373</v>
      </c>
      <c r="G15" s="9"/>
    </row>
    <row r="16" customFormat="false" ht="15" hidden="false" customHeight="false" outlineLevel="0" collapsed="false">
      <c r="B16" s="7" t="s">
        <v>708</v>
      </c>
      <c r="C16" s="22" t="n">
        <f aca="false">LST_S1_pertes</f>
        <v>0</v>
      </c>
      <c r="D16" s="22" t="n">
        <f aca="false">LST_S2_pertes</f>
        <v>5707.81318516274</v>
      </c>
      <c r="E16" s="22" t="n">
        <f aca="false">LST_S3_pertes</f>
        <v>438615.876870057</v>
      </c>
      <c r="F16" s="22" t="n">
        <f aca="false">LST_S4_pertes</f>
        <v>728824.356503338</v>
      </c>
      <c r="G16" s="9"/>
    </row>
    <row r="17" customFormat="false" ht="15" hidden="false" customHeight="false" outlineLevel="0" collapsed="false">
      <c r="B17" s="7" t="s">
        <v>709</v>
      </c>
      <c r="C17" s="22" t="n">
        <f aca="false">LST_S1_defaut</f>
        <v>0</v>
      </c>
      <c r="D17" s="22" t="n">
        <f aca="false">LST_S2_defaut</f>
        <v>0</v>
      </c>
      <c r="E17" s="22" t="n">
        <f aca="false">LST_S3_defaut</f>
        <v>0</v>
      </c>
      <c r="F17" s="22" t="n">
        <f aca="false">LST_S4_defaut</f>
        <v>0</v>
      </c>
      <c r="G17" s="9" t="s">
        <v>710</v>
      </c>
    </row>
    <row r="18" customFormat="false" ht="15" hidden="false" customHeight="false" outlineLevel="0" collapsed="false">
      <c r="B18" s="7" t="s">
        <v>711</v>
      </c>
      <c r="C18" s="16" t="n">
        <f aca="false">LST_S1_an8</f>
        <v>1.38817414982736</v>
      </c>
      <c r="D18" s="16" t="n">
        <f aca="false">LST_S2_an8</f>
        <v>0.704373374772576</v>
      </c>
      <c r="E18" s="16" t="n">
        <f aca="false">LST_S3_an8</f>
        <v>0.0470966224459484</v>
      </c>
      <c r="F18" s="16" t="n">
        <f aca="false">LST_S4_an8</f>
        <v>-0.253185159888321</v>
      </c>
      <c r="G18" s="9"/>
    </row>
    <row r="19" customFormat="false" ht="15" hidden="false" customHeight="false" outlineLevel="0" collapsed="false">
      <c r="B19" s="7" t="s">
        <v>537</v>
      </c>
      <c r="C19" s="17" t="str">
        <f aca="false">LST_S1_gel</f>
        <v>-</v>
      </c>
      <c r="D19" s="17" t="str">
        <f aca="false">LST_S2_gel</f>
        <v>-</v>
      </c>
      <c r="E19" s="17" t="n">
        <f aca="false">LST_S3_gel</f>
        <v>47118</v>
      </c>
      <c r="F19" s="17" t="n">
        <f aca="false">LST_S4_gel</f>
        <v>47118</v>
      </c>
      <c r="G19" s="9"/>
    </row>
    <row r="20" customFormat="false" ht="15" hidden="false" customHeight="false" outlineLevel="0" collapsed="false">
      <c r="B20" s="7" t="s">
        <v>697</v>
      </c>
      <c r="C20" s="56" t="str">
        <f aca="false">MST_S1_verdict</f>
        <v>Vert</v>
      </c>
      <c r="D20" s="56" t="str">
        <f aca="false">MST_S2_verdict</f>
        <v>Vert</v>
      </c>
      <c r="E20" s="56" t="str">
        <f aca="false">MST_S3_verdict</f>
        <v>Vert</v>
      </c>
      <c r="F20" s="56" t="str">
        <f aca="false">MST_S4_verdict</f>
        <v>Orange</v>
      </c>
      <c r="G20" s="9"/>
    </row>
    <row r="21" customFormat="false" ht="15" hidden="false" customHeight="false" outlineLevel="0" collapsed="false">
      <c r="B21" s="7" t="s">
        <v>712</v>
      </c>
      <c r="C21" s="56" t="str">
        <f aca="false">LST_S1_verdict</f>
        <v>Vert</v>
      </c>
      <c r="D21" s="56" t="str">
        <f aca="false">LST_S2_verdict</f>
        <v>Rouge</v>
      </c>
      <c r="E21" s="56" t="str">
        <f aca="false">LST_S3_verdict</f>
        <v>Rouge</v>
      </c>
      <c r="F21" s="56" t="str">
        <f aca="false">LST_S4_verdict</f>
        <v>Rouge</v>
      </c>
      <c r="G21" s="9"/>
    </row>
    <row r="22" customFormat="false" ht="15" hidden="false" customHeight="false" outlineLevel="0" collapsed="false">
      <c r="B22" s="7" t="s">
        <v>32</v>
      </c>
      <c r="C22" s="18" t="str">
        <f aca="false">IF(OR(MST_S1_verdict="Rouge",LST_S1_verdict="Rouge"),"Rouge",IF(OR(MST_S1_verdict="Orange",LST_S1_verdict="Orange"),"Orange","Vert"))</f>
        <v>Vert</v>
      </c>
      <c r="D22" s="18" t="str">
        <f aca="false">IF(OR(MST_S2_verdict="Rouge",LST_S2_verdict="Rouge"),"Rouge",IF(OR(MST_S2_verdict="Orange",LST_S2_verdict="Orange"),"Orange","Vert"))</f>
        <v>Rouge</v>
      </c>
      <c r="E22" s="18" t="str">
        <f aca="false">IF(OR(MST_S3_verdict="Rouge",LST_S3_verdict="Rouge"),"Rouge",IF(OR(MST_S3_verdict="Orange",LST_S3_verdict="Orange"),"Orange","Vert"))</f>
        <v>Rouge</v>
      </c>
      <c r="F22" s="18" t="str">
        <f aca="false">IF(OR(MST_S4_verdict="Rouge",LST_S4_verdict="Rouge"),"Rouge",IF(OR(MST_S4_verdict="Orange",LST_S4_verdict="Orange"),"Orange","Vert"))</f>
        <v>Rouge</v>
      </c>
      <c r="G22" s="9" t="s">
        <v>713</v>
      </c>
    </row>
    <row r="24" customFormat="false" ht="18" hidden="false" customHeight="true" outlineLevel="0" collapsed="false">
      <c r="B24" s="3" t="s">
        <v>714</v>
      </c>
      <c r="C24" s="4"/>
      <c r="D24" s="4"/>
      <c r="E24" s="4"/>
      <c r="F24" s="4"/>
      <c r="G24" s="4"/>
    </row>
    <row r="25" customFormat="false" ht="15.75" hidden="false" customHeight="true" outlineLevel="0" collapsed="false">
      <c r="B25" s="5" t="s">
        <v>715</v>
      </c>
      <c r="C25" s="6" t="s">
        <v>277</v>
      </c>
      <c r="D25" s="6" t="s">
        <v>716</v>
      </c>
      <c r="E25" s="6" t="s">
        <v>717</v>
      </c>
      <c r="F25" s="6"/>
      <c r="G25" s="6" t="s">
        <v>718</v>
      </c>
    </row>
    <row r="26" customFormat="false" ht="22.35" hidden="false" customHeight="false" outlineLevel="0" collapsed="false">
      <c r="B26" s="7" t="s">
        <v>719</v>
      </c>
      <c r="C26" s="16" t="n">
        <f aca="false">0.3</f>
        <v>0.3</v>
      </c>
      <c r="D26" s="16" t="n">
        <f aca="false">LST_S3_file8</f>
        <v>0.466690404941236</v>
      </c>
      <c r="E26" s="23" t="str">
        <f aca="false">IF(D26&gt;C26,"Rouge","Vert")</f>
        <v>Rouge</v>
      </c>
      <c r="G26" s="9" t="s">
        <v>720</v>
      </c>
    </row>
    <row r="27" customFormat="false" ht="22.35" hidden="false" customHeight="false" outlineLevel="0" collapsed="false">
      <c r="B27" s="7" t="s">
        <v>721</v>
      </c>
      <c r="C27" s="32" t="n">
        <f aca="false">0.8</f>
        <v>0.8</v>
      </c>
      <c r="D27" s="32" t="n">
        <f aca="false">IFERROR(C177/C174,1)</f>
        <v>1</v>
      </c>
      <c r="E27" s="23" t="str">
        <f aca="false">IF(D27&lt;C27,"Orange","Vert")</f>
        <v>Vert</v>
      </c>
      <c r="G27" s="9" t="s">
        <v>722</v>
      </c>
    </row>
    <row r="28" customFormat="false" ht="22.35" hidden="false" customHeight="false" outlineLevel="0" collapsed="false">
      <c r="B28" s="7" t="s">
        <v>723</v>
      </c>
      <c r="C28" s="16" t="n">
        <f aca="false">S_poche_orange</f>
        <v>0.15</v>
      </c>
      <c r="D28" s="16" t="n">
        <f aca="false">LST_S3_poche</f>
        <v>0.0100197564155146</v>
      </c>
      <c r="E28" s="23" t="str">
        <f aca="false">IF(D28&lt;C28,"Orange","Vert")</f>
        <v>Orange</v>
      </c>
      <c r="G28" s="9" t="s">
        <v>724</v>
      </c>
    </row>
    <row r="29" customFormat="false" ht="22.35" hidden="false" customHeight="false" outlineLevel="0" collapsed="false">
      <c r="B29" s="7" t="s">
        <v>725</v>
      </c>
      <c r="C29" s="32" t="n">
        <f aca="false">S_mst_orange</f>
        <v>0.1</v>
      </c>
      <c r="D29" s="16" t="n">
        <f aca="false">-MST_S3_creux</f>
        <v>0.0871963605354427</v>
      </c>
      <c r="E29" s="23" t="str">
        <f aca="false">IF(D29&gt;C29,"Orange","Vert")</f>
        <v>Vert</v>
      </c>
      <c r="G29" s="9" t="s">
        <v>726</v>
      </c>
    </row>
    <row r="30" customFormat="false" ht="22.35" hidden="false" customHeight="false" outlineLevel="0" collapsed="false">
      <c r="B30" s="7" t="s">
        <v>727</v>
      </c>
      <c r="C30" s="32" t="n">
        <f aca="false">0.2</f>
        <v>0.2</v>
      </c>
      <c r="D30" s="32" t="n">
        <f aca="false">Top1</f>
        <v>0.15</v>
      </c>
      <c r="E30" s="23" t="str">
        <f aca="false">IF(D30&gt;C30,"Rouge",IF(D30&gt;0.1,"Orange","Vert"))</f>
        <v>Orange</v>
      </c>
      <c r="G30" s="9" t="s">
        <v>728</v>
      </c>
    </row>
    <row r="31" customFormat="false" ht="22.35" hidden="false" customHeight="false" outlineLevel="0" collapsed="false">
      <c r="B31" s="7" t="s">
        <v>125</v>
      </c>
      <c r="C31" s="32" t="n">
        <f aca="false">Surengagement_max</f>
        <v>1.3</v>
      </c>
      <c r="D31" s="32" t="n">
        <f aca="false">LST_S3_sureng</f>
        <v>1.12940465715628</v>
      </c>
      <c r="E31" s="23" t="str">
        <f aca="false">IF(D31&gt;C31,"Rouge","Vert")</f>
        <v>Vert</v>
      </c>
      <c r="G31" s="9" t="s">
        <v>729</v>
      </c>
    </row>
  </sheetData>
  <mergeCells count="1">
    <mergeCell ref="B3:G3"/>
  </mergeCells>
  <conditionalFormatting sqref="C20:F22">
    <cfRule type="expression" priority="2" aboveAverage="0" equalAverage="0" bottom="0" percent="0" rank="0" text="" dxfId="0">
      <formula>LEFT(C20,4)="Vert"</formula>
    </cfRule>
    <cfRule type="expression" priority="3" aboveAverage="0" equalAverage="0" bottom="0" percent="0" rank="0" text="" dxfId="1">
      <formula>LEFT(C20,6)="Orange"</formula>
    </cfRule>
    <cfRule type="expression" priority="4" aboveAverage="0" equalAverage="0" bottom="0" percent="0" rank="0" text="" dxfId="2">
      <formula>LEFT(C20,5)="Rouge"</formula>
    </cfRule>
  </conditionalFormatting>
  <conditionalFormatting sqref="E26:E31">
    <cfRule type="expression" priority="5" aboveAverage="0" equalAverage="0" bottom="0" percent="0" rank="0" text="" dxfId="0">
      <formula>LEFT(E26,4)="Vert"</formula>
    </cfRule>
    <cfRule type="expression" priority="6" aboveAverage="0" equalAverage="0" bottom="0" percent="0" rank="0" text="" dxfId="1">
      <formula>LEFT(E26,6)="Orange"</formula>
    </cfRule>
    <cfRule type="expression" priority="7" aboveAverage="0" equalAverage="0" bottom="0" percent="0" rank="0" text="" dxfId="2">
      <formula>LEFT(E26,5)="Rouge"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6"/>
    <col collapsed="false" customWidth="true" hidden="false" outlineLevel="0" max="4" min="4" style="0" width="70"/>
  </cols>
  <sheetData>
    <row r="2" customFormat="false" ht="15" hidden="false" customHeight="false" outlineLevel="0" collapsed="false">
      <c r="B2" s="1" t="s">
        <v>730</v>
      </c>
    </row>
    <row r="3" customFormat="false" ht="42" hidden="false" customHeight="true" outlineLevel="0" collapsed="false">
      <c r="B3" s="20" t="s">
        <v>731</v>
      </c>
      <c r="C3" s="20"/>
      <c r="D3" s="20"/>
    </row>
    <row r="5" customFormat="false" ht="15.75" hidden="false" customHeight="true" outlineLevel="0" collapsed="false">
      <c r="B5" s="5" t="s">
        <v>732</v>
      </c>
      <c r="C5" s="6" t="s">
        <v>733</v>
      </c>
      <c r="D5" s="6" t="s">
        <v>734</v>
      </c>
    </row>
    <row r="6" customFormat="false" ht="25.5" hidden="false" customHeight="true" outlineLevel="0" collapsed="false">
      <c r="B6" s="7" t="s">
        <v>735</v>
      </c>
      <c r="C6" s="17" t="n">
        <v>46295</v>
      </c>
      <c r="D6" s="9" t="s">
        <v>736</v>
      </c>
    </row>
    <row r="7" customFormat="false" ht="25.5" hidden="false" customHeight="true" outlineLevel="0" collapsed="false">
      <c r="B7" s="7" t="s">
        <v>737</v>
      </c>
      <c r="C7" s="17" t="n">
        <v>46294</v>
      </c>
      <c r="D7" s="9" t="s">
        <v>738</v>
      </c>
    </row>
    <row r="8" customFormat="false" ht="25.5" hidden="false" customHeight="true" outlineLevel="0" collapsed="false">
      <c r="B8" s="7" t="s">
        <v>739</v>
      </c>
      <c r="C8" s="17" t="n">
        <v>46287</v>
      </c>
      <c r="D8" s="9" t="s">
        <v>740</v>
      </c>
    </row>
    <row r="9" customFormat="false" ht="25.5" hidden="false" customHeight="true" outlineLevel="0" collapsed="false">
      <c r="B9" s="7" t="s">
        <v>741</v>
      </c>
      <c r="C9" s="17" t="n">
        <v>46293</v>
      </c>
      <c r="D9" s="9" t="s">
        <v>742</v>
      </c>
    </row>
    <row r="10" customFormat="false" ht="25.5" hidden="false" customHeight="true" outlineLevel="0" collapsed="false">
      <c r="B10" s="7" t="s">
        <v>743</v>
      </c>
      <c r="C10" s="17" t="n">
        <v>46295</v>
      </c>
      <c r="D10" s="9" t="s">
        <v>744</v>
      </c>
    </row>
    <row r="11" customFormat="false" ht="25.5" hidden="false" customHeight="true" outlineLevel="0" collapsed="false">
      <c r="B11" s="7" t="s">
        <v>745</v>
      </c>
      <c r="C11" s="17" t="n">
        <v>46142</v>
      </c>
      <c r="D11" s="9" t="s">
        <v>746</v>
      </c>
    </row>
    <row r="12" customFormat="false" ht="25.5" hidden="false" customHeight="true" outlineLevel="0" collapsed="false">
      <c r="B12" s="7" t="s">
        <v>747</v>
      </c>
      <c r="C12" s="17" t="n">
        <v>46081</v>
      </c>
      <c r="D12" s="9" t="s">
        <v>748</v>
      </c>
    </row>
    <row r="13" customFormat="false" ht="25.5" hidden="false" customHeight="true" outlineLevel="0" collapsed="false">
      <c r="B13" s="7" t="s">
        <v>749</v>
      </c>
      <c r="C13" s="17" t="n">
        <v>46182</v>
      </c>
      <c r="D13" s="9" t="s">
        <v>750</v>
      </c>
    </row>
    <row r="14" customFormat="false" ht="25.5" hidden="false" customHeight="true" outlineLevel="0" collapsed="false">
      <c r="B14" s="7" t="s">
        <v>751</v>
      </c>
      <c r="C14" s="17" t="n">
        <v>46245</v>
      </c>
      <c r="D14" s="9" t="s">
        <v>752</v>
      </c>
    </row>
    <row r="15" customFormat="false" ht="25.5" hidden="false" customHeight="true" outlineLevel="0" collapsed="false">
      <c r="B15" s="7" t="s">
        <v>753</v>
      </c>
      <c r="C15" s="17" t="n">
        <v>46301</v>
      </c>
      <c r="D15" s="9" t="s">
        <v>754</v>
      </c>
    </row>
    <row r="16" customFormat="false" ht="25.5" hidden="false" customHeight="true" outlineLevel="0" collapsed="false">
      <c r="B16" s="7" t="s">
        <v>755</v>
      </c>
      <c r="C16" s="17" t="n">
        <v>44028</v>
      </c>
      <c r="D16" s="9" t="s">
        <v>756</v>
      </c>
    </row>
    <row r="17" customFormat="false" ht="25.5" hidden="false" customHeight="true" outlineLevel="0" collapsed="false">
      <c r="B17" s="7" t="s">
        <v>757</v>
      </c>
      <c r="C17" s="17" t="n">
        <v>41477</v>
      </c>
      <c r="D17" s="9" t="s">
        <v>758</v>
      </c>
    </row>
    <row r="19" customFormat="false" ht="30" hidden="false" customHeight="true" outlineLevel="0" collapsed="false">
      <c r="B19" s="20" t="s">
        <v>759</v>
      </c>
      <c r="C19" s="20"/>
      <c r="D19" s="20"/>
    </row>
  </sheetData>
  <mergeCells count="2">
    <mergeCell ref="B3:D3"/>
    <mergeCell ref="B19:D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2026-10-06T20:03:16Z</dcterms:created>
  <dc:creator>openpyxl</dc:creator>
  <dc:description/>
  <dc:language>en-US</dc:language>
  <cp:lastModifiedBy/>
  <dcterms:modified xsi:type="dcterms:W3CDTF">2026-10-06T20:03:17Z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