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Paramètres" sheetId="2" state="visible" r:id="rId2"/>
    <sheet xmlns:r="http://schemas.openxmlformats.org/officeDocument/2006/relationships" name="Historique cours" sheetId="3" state="visible" r:id="rId3"/>
    <sheet xmlns:r="http://schemas.openxmlformats.org/officeDocument/2006/relationships" name="Brut ajusté" sheetId="4" state="visible" r:id="rId4"/>
    <sheet xmlns:r="http://schemas.openxmlformats.org/officeDocument/2006/relationships" name="Historique ajusté" sheetId="5" state="visible" r:id="rId5"/>
    <sheet xmlns:r="http://schemas.openxmlformats.org/officeDocument/2006/relationships" name="Rendements" sheetId="6" state="visible" r:id="rId6"/>
    <sheet xmlns:r="http://schemas.openxmlformats.org/officeDocument/2006/relationships" name="Composites" sheetId="7" state="visible" r:id="rId7"/>
    <sheet xmlns:r="http://schemas.openxmlformats.org/officeDocument/2006/relationships" name="Aide calcul" sheetId="8" state="visible" r:id="rId8"/>
  </sheets>
  <definedNames>
    <definedName name="BIP_date">'Paramètres'!$C$6</definedName>
    <definedName name="BIP_facteur">'Paramètres'!$C$7</definedName>
    <definedName name="BIP_inclus">'Paramètres'!$C$8</definedName>
    <definedName name="INFR_debut">'Paramètres'!$C$9</definedName>
    <definedName name="Seuil_aberrant">'Paramètres'!$C$10</definedName>
    <definedName name="Fenetre">'Paramètres'!$C$11</definedName>
    <definedName name="Wc_C1">'Paramètres'!$D$37</definedName>
    <definedName name="Wc_C2">'Paramètres'!$E$37</definedName>
    <definedName name="Wc_C3">'Paramètres'!$F$37</definedName>
    <definedName name="Wc_C4">'Paramètres'!$G$37</definedName>
  </definedNames>
  <calcPr calcId="124519" fullCalcOnLoad="1"/>
</workbook>
</file>

<file path=xl/styles.xml><?xml version="1.0" encoding="utf-8"?>
<styleSheet xmlns="http://schemas.openxmlformats.org/spreadsheetml/2006/main">
  <numFmts count="7">
    <numFmt numFmtId="164" formatCode="yyyy-mm-dd"/>
    <numFmt numFmtId="165" formatCode="dd/mm/yyyy"/>
    <numFmt numFmtId="166" formatCode="0 %"/>
    <numFmt numFmtId="167" formatCode="0.0 %"/>
    <numFmt numFmtId="168" formatCode="mm/yyyy"/>
    <numFmt numFmtId="169" formatCode="0.0"/>
    <numFmt numFmtId="170" formatCode="0.000"/>
  </numFmts>
  <fonts count="7">
    <font>
      <name val="Calibri"/>
      <family val="2"/>
      <color theme="1"/>
      <sz val="11"/>
      <scheme val="minor"/>
    </font>
    <font>
      <name val="Calibri"/>
      <b val="1"/>
      <color rgb="0001313E"/>
      <sz val="10"/>
    </font>
    <font>
      <name val="Calibri"/>
      <color rgb="006A7A85"/>
      <sz val="9"/>
    </font>
    <font>
      <name val="Calibri"/>
      <b val="1"/>
      <color rgb="00FFFFFF"/>
      <sz val="9"/>
    </font>
    <font>
      <name val="Calibri"/>
      <color rgb="00000000"/>
      <sz val="9"/>
    </font>
    <font>
      <name val="Calibri"/>
      <b val="1"/>
      <color rgb="000287AA"/>
      <sz val="9"/>
    </font>
    <font>
      <name val="Calibri"/>
      <b val="1"/>
      <color rgb="00000000"/>
      <sz val="9"/>
    </font>
  </fonts>
  <fills count="4">
    <fill>
      <patternFill/>
    </fill>
    <fill>
      <patternFill patternType="gray125"/>
    </fill>
    <fill>
      <patternFill patternType="solid">
        <fgColor rgb="0001313E"/>
      </patternFill>
    </fill>
    <fill>
      <patternFill patternType="solid">
        <fgColor rgb="00FFF8E7"/>
      </patternFill>
    </fill>
  </fills>
  <borders count="4">
    <border>
      <left/>
      <right/>
      <top/>
      <bottom/>
      <diagonal/>
    </border>
    <border>
      <bottom style="thin">
        <color rgb="00DCE5EA"/>
      </bottom>
    </border>
    <border>
      <top style="medium">
        <color rgb="0001313E"/>
      </top>
    </border>
    <border>
      <left/>
      <right/>
      <top/>
      <bottom style="thin">
        <color rgb="00DCE5EA"/>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horizontal="left" vertical="center" wrapText="1"/>
    </xf>
    <xf numFmtId="0" fontId="3" fillId="2" borderId="0" applyAlignment="1" pivotButton="0" quotePrefix="0" xfId="0">
      <alignment horizontal="center" vertical="center" wrapText="1"/>
    </xf>
    <xf numFmtId="0" fontId="6" fillId="0" borderId="1" applyAlignment="1" pivotButton="0" quotePrefix="0" xfId="0">
      <alignment horizontal="left" vertical="center"/>
    </xf>
    <xf numFmtId="0" fontId="4" fillId="0" borderId="1" applyAlignment="1" pivotButton="0" quotePrefix="0" xfId="0">
      <alignment horizontal="left" vertical="center"/>
    </xf>
    <xf numFmtId="0" fontId="4" fillId="0" borderId="1" applyAlignment="1" pivotButton="0" quotePrefix="0" xfId="0">
      <alignment horizontal="left" vertical="center" wrapText="1"/>
    </xf>
    <xf numFmtId="165" fontId="4" fillId="0" borderId="1" applyAlignment="1" pivotButton="0" quotePrefix="0" xfId="0">
      <alignment horizontal="right" vertical="center"/>
    </xf>
    <xf numFmtId="4" fontId="4" fillId="0" borderId="1" applyAlignment="1" pivotButton="0" quotePrefix="0" xfId="0">
      <alignment horizontal="right" vertical="center"/>
    </xf>
    <xf numFmtId="167" fontId="4" fillId="0" borderId="1" applyAlignment="1" pivotButton="0" quotePrefix="0" xfId="0">
      <alignment horizontal="right" vertical="center"/>
    </xf>
    <xf numFmtId="1" fontId="4" fillId="0" borderId="1" applyAlignment="1" pivotButton="0" quotePrefix="0" xfId="0">
      <alignment horizontal="right" vertical="center"/>
    </xf>
    <xf numFmtId="0" fontId="5" fillId="0" borderId="0" pivotButton="0" quotePrefix="0" xfId="0"/>
    <xf numFmtId="0" fontId="0" fillId="0" borderId="3" pivotButton="0" quotePrefix="0" xfId="0"/>
    <xf numFmtId="0" fontId="4" fillId="0" borderId="0" pivotButton="0" quotePrefix="0" xfId="0"/>
    <xf numFmtId="170" fontId="6" fillId="0" borderId="0" pivotButton="0" quotePrefix="0" xfId="0"/>
    <xf numFmtId="0" fontId="2" fillId="0" borderId="0" pivotButton="0" quotePrefix="0" xfId="0"/>
    <xf numFmtId="0" fontId="4" fillId="0" borderId="1" pivotButton="0" quotePrefix="0" xfId="0"/>
    <xf numFmtId="165" fontId="4" fillId="3" borderId="1" applyAlignment="1" pivotButton="0" quotePrefix="0" xfId="0">
      <alignment horizontal="right"/>
    </xf>
    <xf numFmtId="0" fontId="2" fillId="0" borderId="1" pivotButton="0" quotePrefix="0" xfId="0"/>
    <xf numFmtId="0" fontId="2" fillId="0" borderId="1" applyAlignment="1" pivotButton="0" quotePrefix="0" xfId="0">
      <alignment vertical="top" wrapText="1"/>
    </xf>
    <xf numFmtId="0" fontId="0" fillId="0" borderId="1" pivotButton="0" quotePrefix="0" xfId="0"/>
    <xf numFmtId="2" fontId="4" fillId="3" borderId="1" applyAlignment="1" pivotButton="0" quotePrefix="0" xfId="0">
      <alignment horizontal="right"/>
    </xf>
    <xf numFmtId="1" fontId="4" fillId="3" borderId="1" applyAlignment="1" pivotButton="0" quotePrefix="0" xfId="0">
      <alignment horizontal="right"/>
    </xf>
    <xf numFmtId="0" fontId="6" fillId="0" borderId="1" pivotButton="0" quotePrefix="0" xfId="0"/>
    <xf numFmtId="1" fontId="4" fillId="3" borderId="1" applyAlignment="1" pivotButton="0" quotePrefix="0" xfId="0">
      <alignment horizontal="center"/>
    </xf>
    <xf numFmtId="166" fontId="4" fillId="3" borderId="1" pivotButton="0" quotePrefix="0" xfId="0"/>
    <xf numFmtId="166" fontId="4" fillId="3" borderId="1" applyAlignment="1" pivotButton="0" quotePrefix="0" xfId="0">
      <alignment horizontal="center"/>
    </xf>
    <xf numFmtId="0" fontId="6" fillId="0" borderId="2" pivotButton="0" quotePrefix="0" xfId="0"/>
    <xf numFmtId="166" fontId="6" fillId="0" borderId="2" pivotButton="0" quotePrefix="0" xfId="0"/>
    <xf numFmtId="167" fontId="6" fillId="0" borderId="2" applyAlignment="1" pivotButton="0" quotePrefix="0" xfId="0">
      <alignment horizontal="center"/>
    </xf>
    <xf numFmtId="0" fontId="0" fillId="0" borderId="2" pivotButton="0" quotePrefix="0" xfId="0"/>
    <xf numFmtId="168" fontId="4" fillId="0" borderId="0" pivotButton="0" quotePrefix="0" xfId="0"/>
    <xf numFmtId="4" fontId="4" fillId="0" borderId="0" pivotButton="0" quotePrefix="0" xfId="0"/>
    <xf numFmtId="167" fontId="4" fillId="0" borderId="0" pivotButton="0" quotePrefix="0" xfId="0"/>
    <xf numFmtId="167" fontId="6" fillId="0" borderId="0" pivotButton="0" quotePrefix="0" xfId="0"/>
    <xf numFmtId="1" fontId="2" fillId="0" borderId="0" pivotButton="0" quotePrefix="0" xfId="0"/>
    <xf numFmtId="169"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4"/>
  <sheetViews>
    <sheetView showGridLines="0" workbookViewId="0">
      <selection activeCell="A1" sqref="A1"/>
    </sheetView>
  </sheetViews>
  <sheetFormatPr baseColWidth="8" defaultRowHeight="15"/>
  <cols>
    <col width="2" customWidth="1" min="1" max="1"/>
    <col width="16" customWidth="1" min="2" max="2"/>
    <col width="10" customWidth="1" min="3" max="3"/>
    <col width="34" customWidth="1" min="4" max="4"/>
    <col width="34" customWidth="1" min="5" max="5"/>
    <col width="10" customWidth="1" min="6" max="6"/>
    <col width="8" customWidth="1" min="7" max="7"/>
    <col width="11" customWidth="1" min="8" max="8"/>
    <col width="11" customWidth="1" min="9" max="9"/>
    <col width="11" customWidth="1" min="10" max="10"/>
    <col width="10" customWidth="1" min="11" max="11"/>
    <col width="11" customWidth="1" min="12" max="12"/>
    <col width="11" customWidth="1" min="13" max="13"/>
    <col width="10" customWidth="1" min="14" max="14"/>
    <col width="10" customWidth="1" min="15" max="15"/>
    <col width="11" customWidth="1" min="16" max="16"/>
    <col width="14" customWidth="1" min="17" max="17"/>
    <col width="12" customWidth="1" min="18" max="18"/>
    <col width="13" customWidth="1" min="19" max="19"/>
    <col width="13" customWidth="1" min="20" max="20"/>
    <col width="12" customWidth="1" min="21" max="21"/>
    <col width="10" customWidth="1" min="22" max="22"/>
    <col width="10" customWidth="1" min="23" max="23"/>
    <col width="7" customWidth="1" min="24" max="24"/>
  </cols>
  <sheetData>
    <row r="1"/>
    <row r="2">
      <c r="B2" s="1" t="inlineStr">
        <is>
          <t>COURS DES PROXIES COTÉS - OPENSTONE INFRAWORLD</t>
        </is>
      </c>
    </row>
    <row r="3" ht="42" customHeight="1">
      <c r="B3" s="2" t="inlineStr">
        <is>
          <t>Source : Yahoo Finance, extraction du 06/10/2026 (séance américaine en cours). Cours en devise de cotation, LSE converti de pence en livres. Colonnes de cours et performances à un an : valeurs extraites. Colonnes de statistiques mensuelles : formules sur l'onglet Rendements (devise locale, dividendes réinvestis, paramètres de l'onglet Paramètres).</t>
        </is>
      </c>
    </row>
    <row r="4"/>
    <row r="5" ht="30" customHeight="1">
      <c r="B5" s="3" t="inlineStr">
        <is>
          <t>Ticker</t>
        </is>
      </c>
      <c r="C5" s="3" t="inlineStr">
        <is>
          <t>Yahoo</t>
        </is>
      </c>
      <c r="D5" s="3" t="inlineStr">
        <is>
          <t>Nom</t>
        </is>
      </c>
      <c r="E5" s="3" t="inlineStr">
        <is>
          <t>Stratégie / usage proxy</t>
        </is>
      </c>
      <c r="F5" s="3" t="inlineStr">
        <is>
          <t>Composite</t>
        </is>
      </c>
      <c r="G5" s="3" t="inlineStr">
        <is>
          <t>Devise</t>
        </is>
      </c>
      <c r="H5" s="4" t="inlineStr">
        <is>
          <t>Date</t>
        </is>
      </c>
      <c r="I5" s="4" t="inlineStr">
        <is>
          <t>Dernier cours</t>
        </is>
      </c>
      <c r="J5" s="4" t="inlineStr">
        <is>
          <t>Veille</t>
        </is>
      </c>
      <c r="K5" s="4" t="inlineStr">
        <is>
          <t>Var. jour</t>
        </is>
      </c>
      <c r="L5" s="4" t="inlineStr">
        <is>
          <t>Plus haut 1 an</t>
        </is>
      </c>
      <c r="M5" s="4" t="inlineStr">
        <is>
          <t>Plus bas 1 an</t>
        </is>
      </c>
      <c r="N5" s="4" t="inlineStr">
        <is>
          <t>Perf. 1 mois</t>
        </is>
      </c>
      <c r="O5" s="4" t="inlineStr">
        <is>
          <t>Perf. 3 mois</t>
        </is>
      </c>
      <c r="P5" s="4" t="inlineStr">
        <is>
          <t>Perf. 1 an (prix)</t>
        </is>
      </c>
      <c r="Q5" s="4" t="inlineStr">
        <is>
          <t>Perf. 1 an (dividendes réinvestis)</t>
        </is>
      </c>
      <c r="R5" s="4" t="inlineStr">
        <is>
          <t>Vol. quotidienne 1 an</t>
        </is>
      </c>
      <c r="S5" s="4" t="inlineStr">
        <is>
          <t>Vol. mensuelle annualisée</t>
        </is>
      </c>
      <c r="T5" s="4" t="inlineStr">
        <is>
          <t>Rendement annualisé</t>
        </is>
      </c>
      <c r="U5" s="4" t="inlineStr">
        <is>
          <t>Pire fenêtre glissante</t>
        </is>
      </c>
      <c r="V5" s="4" t="inlineStr">
        <is>
          <t>Perte maximale</t>
        </is>
      </c>
      <c r="W5" s="4" t="inlineStr">
        <is>
          <t>Mois disponibles</t>
        </is>
      </c>
      <c r="X5" s="4" t="inlineStr">
        <is>
          <t>Inclus</t>
        </is>
      </c>
    </row>
    <row r="6" ht="24" customHeight="1">
      <c r="B6" s="5" t="inlineStr">
        <is>
          <t>NasdaqGM:IGF</t>
        </is>
      </c>
      <c r="C6" s="6" t="inlineStr">
        <is>
          <t>IGF</t>
        </is>
      </c>
      <c r="D6" s="7" t="inlineStr">
        <is>
          <t>iShares Global Infrastructure ETF</t>
        </is>
      </c>
      <c r="E6" s="7" t="inlineStr">
        <is>
          <t>Infrastructure cotée monde</t>
        </is>
      </c>
      <c r="F6" s="6" t="inlineStr">
        <is>
          <t>C1</t>
        </is>
      </c>
      <c r="G6" s="6" t="inlineStr">
        <is>
          <t>USD</t>
        </is>
      </c>
      <c r="H6" s="8" t="n">
        <v>46301</v>
      </c>
      <c r="I6" s="9" t="n">
        <v>62.7599983215332</v>
      </c>
      <c r="J6" s="9" t="n">
        <v>62.0099983215332</v>
      </c>
      <c r="K6" s="10" t="n">
        <v>0.01209482374295701</v>
      </c>
      <c r="L6" s="9" t="n">
        <v>69.37000274658203</v>
      </c>
      <c r="M6" s="9" t="n">
        <v>60.72000122070312</v>
      </c>
      <c r="N6" s="10" t="n">
        <v>-0.03564848562149903</v>
      </c>
      <c r="O6" s="10" t="n">
        <v>-0.06565430947787321</v>
      </c>
      <c r="P6" s="10" t="n">
        <v>0.01817000231951416</v>
      </c>
      <c r="Q6" s="10" t="n">
        <v>0.04928231483807011</v>
      </c>
      <c r="R6" s="10" t="n">
        <v>0.1089084030303519</v>
      </c>
      <c r="S6" s="10">
        <f t="array" ref="S6">IF(COUNT(Rendements!C$7:C$184)&lt;24,"",STDEVP(IF(ISNUMBER(Rendements!C$7:C$184),LN(1+Rendements!C$7:C$184)))*SQRT(12))</f>
        <v/>
      </c>
      <c r="T6" s="10">
        <f t="array" ref="T6">IF(COUNT(Rendements!C$7:C$184)&lt;24,"",EXP(SUMPRODUCT(ISNUMBER(Rendements!C$7:C$184)*N(+IF(ISNUMBER(Rendements!C$7:C$184),LN(1+Rendements!C$7:C$184),0)))*12/COUNT(Rendements!C$7:C$184))-1)</f>
        <v/>
      </c>
      <c r="U6" s="10">
        <f>IF(COUNT('Aide calcul'!C$6:C$184)=0,"",MIN('Aide calcul'!C$6:C$184))</f>
        <v/>
      </c>
      <c r="V6" s="10">
        <f>IF(COUNT('Aide calcul'!V$6:V$184)=0,"",MIN('Aide calcul'!V$6:V$184))</f>
        <v/>
      </c>
      <c r="W6" s="11">
        <f>COUNT(Rendements!C$7:C$184)</f>
        <v/>
      </c>
      <c r="X6" s="11">
        <f>SUM(Paramètres!D15:G15)</f>
        <v/>
      </c>
    </row>
    <row r="7" ht="24" customHeight="1">
      <c r="B7" s="5" t="inlineStr">
        <is>
          <t>LSE:INFR</t>
        </is>
      </c>
      <c r="C7" s="6" t="inlineStr">
        <is>
          <t>INFR.L</t>
        </is>
      </c>
      <c r="D7" s="7" t="inlineStr">
        <is>
          <t>iShares Global Infrastructure UCITS ETF</t>
        </is>
      </c>
      <c r="E7" s="7" t="inlineStr">
        <is>
          <t>Infrastructure cotée monde (UCITS)</t>
        </is>
      </c>
      <c r="F7" s="6" t="inlineStr">
        <is>
          <t>C1</t>
        </is>
      </c>
      <c r="G7" s="6" t="inlineStr">
        <is>
          <t>GBP</t>
        </is>
      </c>
      <c r="H7" s="8" t="n">
        <v>46301</v>
      </c>
      <c r="I7" s="9" t="n">
        <v>27.705</v>
      </c>
      <c r="J7" s="9" t="n">
        <v>27.525</v>
      </c>
      <c r="K7" s="10" t="n">
        <v>0.006539509536784838</v>
      </c>
      <c r="L7" s="9" t="n">
        <v>30.37</v>
      </c>
      <c r="M7" s="9" t="n">
        <v>26.055</v>
      </c>
      <c r="N7" s="10" t="n">
        <v>-0.02652846099789175</v>
      </c>
      <c r="O7" s="10" t="n">
        <v>-0.06858295511850732</v>
      </c>
      <c r="P7" s="10" t="n">
        <v>0.03919729932483129</v>
      </c>
      <c r="Q7" s="10" t="n">
        <v>0.03941194105231682</v>
      </c>
      <c r="R7" s="10" t="n">
        <v>0.1181219711837861</v>
      </c>
      <c r="S7" s="10">
        <f t="array" ref="S7">IF(COUNT(Rendements!D$7:D$184)&lt;24,"",STDEVP(IF(ISNUMBER(Rendements!D$7:D$184),LN(1+Rendements!D$7:D$184)))*SQRT(12))</f>
        <v/>
      </c>
      <c r="T7" s="10">
        <f t="array" ref="T7">IF(COUNT(Rendements!D$7:D$184)&lt;24,"",EXP(SUMPRODUCT(ISNUMBER(Rendements!D$7:D$184)*N(+IF(ISNUMBER(Rendements!D$7:D$184),LN(1+Rendements!D$7:D$184),0)))*12/COUNT(Rendements!D$7:D$184))-1)</f>
        <v/>
      </c>
      <c r="U7" s="10">
        <f>IF(COUNT('Aide calcul'!D$6:D$184)=0,"",MIN('Aide calcul'!D$6:D$184))</f>
        <v/>
      </c>
      <c r="V7" s="10">
        <f>IF(COUNT('Aide calcul'!W$6:W$184)=0,"",MIN('Aide calcul'!W$6:W$184))</f>
        <v/>
      </c>
      <c r="W7" s="11">
        <f>COUNT(Rendements!D$7:D$184)</f>
        <v/>
      </c>
      <c r="X7" s="11">
        <f>SUM(Paramètres!D16:G16)</f>
        <v/>
      </c>
    </row>
    <row r="8" ht="24" customHeight="1">
      <c r="B8" s="5" t="inlineStr">
        <is>
          <t>LSE:3IN</t>
        </is>
      </c>
      <c r="C8" s="6" t="inlineStr">
        <is>
          <t>3IN.L</t>
        </is>
      </c>
      <c r="D8" s="7" t="inlineStr">
        <is>
          <t>3i Infrastructure plc</t>
        </is>
      </c>
      <c r="E8" s="7" t="inlineStr">
        <is>
          <t>Infrastructure core-plus, trust coté</t>
        </is>
      </c>
      <c r="F8" s="6" t="inlineStr">
        <is>
          <t>C1</t>
        </is>
      </c>
      <c r="G8" s="6" t="inlineStr">
        <is>
          <t>GBP</t>
        </is>
      </c>
      <c r="H8" s="8" t="n">
        <v>46301</v>
      </c>
      <c r="I8" s="9" t="n">
        <v>3.865</v>
      </c>
      <c r="J8" s="9" t="n">
        <v>3.87</v>
      </c>
      <c r="K8" s="10" t="n">
        <v>-0.001291989664082616</v>
      </c>
      <c r="L8" s="9" t="n">
        <v>3.96</v>
      </c>
      <c r="M8" s="9" t="n">
        <v>3.26</v>
      </c>
      <c r="N8" s="10" t="n">
        <v>-0.01024327784891166</v>
      </c>
      <c r="O8" s="10" t="n">
        <v>0.01710526315789473</v>
      </c>
      <c r="P8" s="10" t="n">
        <v>0.07510431154381081</v>
      </c>
      <c r="Q8" s="10" t="n">
        <v>0.07549899272005334</v>
      </c>
      <c r="R8" s="10" t="n">
        <v>0.1511718659573889</v>
      </c>
      <c r="S8" s="10">
        <f t="array" ref="S8">IF(COUNT(Rendements!E$7:E$184)&lt;24,"",STDEVP(IF(ISNUMBER(Rendements!E$7:E$184),LN(1+Rendements!E$7:E$184)))*SQRT(12))</f>
        <v/>
      </c>
      <c r="T8" s="10">
        <f t="array" ref="T8">IF(COUNT(Rendements!E$7:E$184)&lt;24,"",EXP(SUMPRODUCT(ISNUMBER(Rendements!E$7:E$184)*N(+IF(ISNUMBER(Rendements!E$7:E$184),LN(1+Rendements!E$7:E$184),0)))*12/COUNT(Rendements!E$7:E$184))-1)</f>
        <v/>
      </c>
      <c r="U8" s="10">
        <f>IF(COUNT('Aide calcul'!E$6:E$184)=0,"",MIN('Aide calcul'!E$6:E$184))</f>
        <v/>
      </c>
      <c r="V8" s="10">
        <f>IF(COUNT('Aide calcul'!X$6:X$184)=0,"",MIN('Aide calcul'!X$6:X$184))</f>
        <v/>
      </c>
      <c r="W8" s="11">
        <f>COUNT(Rendements!E$7:E$184)</f>
        <v/>
      </c>
      <c r="X8" s="11">
        <f>SUM(Paramètres!D17:G17)</f>
        <v/>
      </c>
    </row>
    <row r="9" ht="24" customHeight="1">
      <c r="B9" s="5" t="inlineStr">
        <is>
          <t>LSE:HICL</t>
        </is>
      </c>
      <c r="C9" s="6" t="inlineStr">
        <is>
          <t>HICL.L</t>
        </is>
      </c>
      <c r="D9" s="7" t="inlineStr">
        <is>
          <t>HICL Infrastructure plc</t>
        </is>
      </c>
      <c r="E9" s="7" t="inlineStr">
        <is>
          <t>Infrastructure core (PPP, régulé), trust coté</t>
        </is>
      </c>
      <c r="F9" s="6" t="inlineStr">
        <is>
          <t>C1</t>
        </is>
      </c>
      <c r="G9" s="6" t="inlineStr">
        <is>
          <t>GBP</t>
        </is>
      </c>
      <c r="H9" s="8" t="n">
        <v>46301</v>
      </c>
      <c r="I9" s="9" t="n">
        <v>1.318000030517578</v>
      </c>
      <c r="J9" s="9" t="n">
        <v>1.313999938964844</v>
      </c>
      <c r="K9" s="10" t="n">
        <v>0.003044209846680523</v>
      </c>
      <c r="L9" s="9" t="n">
        <v>1.403999938964844</v>
      </c>
      <c r="M9" s="9" t="n">
        <v>1.09</v>
      </c>
      <c r="N9" s="10" t="n">
        <v>-0.02514788441737892</v>
      </c>
      <c r="O9" s="10" t="n">
        <v>-0.02370368109809029</v>
      </c>
      <c r="P9" s="10" t="n">
        <v>0.08566722730775189</v>
      </c>
      <c r="Q9" s="10" t="n">
        <v>0.08639086699893639</v>
      </c>
      <c r="R9" s="10" t="n">
        <v>0.1678983156414139</v>
      </c>
      <c r="S9" s="10">
        <f t="array" ref="S9">IF(COUNT(Rendements!F$7:F$184)&lt;24,"",STDEVP(IF(ISNUMBER(Rendements!F$7:F$184),LN(1+Rendements!F$7:F$184)))*SQRT(12))</f>
        <v/>
      </c>
      <c r="T9" s="10">
        <f t="array" ref="T9">IF(COUNT(Rendements!F$7:F$184)&lt;24,"",EXP(SUMPRODUCT(ISNUMBER(Rendements!F$7:F$184)*N(+IF(ISNUMBER(Rendements!F$7:F$184),LN(1+Rendements!F$7:F$184),0)))*12/COUNT(Rendements!F$7:F$184))-1)</f>
        <v/>
      </c>
      <c r="U9" s="10">
        <f>IF(COUNT('Aide calcul'!F$6:F$184)=0,"",MIN('Aide calcul'!F$6:F$184))</f>
        <v/>
      </c>
      <c r="V9" s="10">
        <f>IF(COUNT('Aide calcul'!Y$6:Y$184)=0,"",MIN('Aide calcul'!Y$6:Y$184))</f>
        <v/>
      </c>
      <c r="W9" s="11">
        <f>COUNT(Rendements!F$7:F$184)</f>
        <v/>
      </c>
      <c r="X9" s="11">
        <f>SUM(Paramètres!D18:G18)</f>
        <v/>
      </c>
    </row>
    <row r="10" ht="24" customHeight="1">
      <c r="B10" s="5" t="inlineStr">
        <is>
          <t>LSE:INPP</t>
        </is>
      </c>
      <c r="C10" s="6" t="inlineStr">
        <is>
          <t>INPP.L</t>
        </is>
      </c>
      <c r="D10" s="7" t="inlineStr">
        <is>
          <t>International Public Partnerships Ltd</t>
        </is>
      </c>
      <c r="E10" s="7" t="inlineStr">
        <is>
          <t>Infrastructure core (PPP, régulé), trust coté</t>
        </is>
      </c>
      <c r="F10" s="6" t="inlineStr">
        <is>
          <t>C1</t>
        </is>
      </c>
      <c r="G10" s="6" t="inlineStr">
        <is>
          <t>GBP</t>
        </is>
      </c>
      <c r="H10" s="8" t="n">
        <v>46301</v>
      </c>
      <c r="I10" s="9" t="n">
        <v>1.366000061035156</v>
      </c>
      <c r="J10" s="9" t="n">
        <v>1.348000030517578</v>
      </c>
      <c r="K10" s="10" t="n">
        <v>0.0133531380638523</v>
      </c>
      <c r="L10" s="9" t="n">
        <v>1.446000061035156</v>
      </c>
      <c r="M10" s="9" t="n">
        <v>1.171999969482422</v>
      </c>
      <c r="N10" s="10" t="n">
        <v>-0.01867809555838784</v>
      </c>
      <c r="O10" s="10" t="n">
        <v>-0.02567753868108558</v>
      </c>
      <c r="P10" s="10" t="n">
        <v>0.1087663107727426</v>
      </c>
      <c r="Q10" s="10" t="n">
        <v>0.1094886295366764</v>
      </c>
      <c r="R10" s="10" t="n">
        <v>0.1412787022346381</v>
      </c>
      <c r="S10" s="10">
        <f t="array" ref="S10">IF(COUNT(Rendements!G$7:G$184)&lt;24,"",STDEVP(IF(ISNUMBER(Rendements!G$7:G$184),LN(1+Rendements!G$7:G$184)))*SQRT(12))</f>
        <v/>
      </c>
      <c r="T10" s="10">
        <f t="array" ref="T10">IF(COUNT(Rendements!G$7:G$184)&lt;24,"",EXP(SUMPRODUCT(ISNUMBER(Rendements!G$7:G$184)*N(+IF(ISNUMBER(Rendements!G$7:G$184),LN(1+Rendements!G$7:G$184),0)))*12/COUNT(Rendements!G$7:G$184))-1)</f>
        <v/>
      </c>
      <c r="U10" s="10">
        <f>IF(COUNT('Aide calcul'!G$6:G$184)=0,"",MIN('Aide calcul'!G$6:G$184))</f>
        <v/>
      </c>
      <c r="V10" s="10">
        <f>IF(COUNT('Aide calcul'!Z$6:Z$184)=0,"",MIN('Aide calcul'!Z$6:Z$184))</f>
        <v/>
      </c>
      <c r="W10" s="11">
        <f>COUNT(Rendements!G$7:G$184)</f>
        <v/>
      </c>
      <c r="X10" s="11">
        <f>SUM(Paramètres!D19:G19)</f>
        <v/>
      </c>
    </row>
    <row r="11" ht="24" customHeight="1">
      <c r="B11" s="5" t="inlineStr">
        <is>
          <t>LSE:SEQI</t>
        </is>
      </c>
      <c r="C11" s="6" t="inlineStr">
        <is>
          <t>SEQI.L</t>
        </is>
      </c>
      <c r="D11" s="7" t="inlineStr">
        <is>
          <t>Sequoia Economic Infrastructure Income Fund</t>
        </is>
      </c>
      <c r="E11" s="7" t="inlineStr">
        <is>
          <t>Dette d'infrastructure, trust coté</t>
        </is>
      </c>
      <c r="F11" s="6" t="inlineStr">
        <is>
          <t>C2</t>
        </is>
      </c>
      <c r="G11" s="6" t="inlineStr">
        <is>
          <t>GBP</t>
        </is>
      </c>
      <c r="H11" s="8" t="n">
        <v>46301</v>
      </c>
      <c r="I11" s="9" t="n">
        <v>0.835999984741211</v>
      </c>
      <c r="J11" s="9" t="n">
        <v>0.830999984741211</v>
      </c>
      <c r="K11" s="10" t="n">
        <v>0.00601684728256302</v>
      </c>
      <c r="L11" s="9" t="n">
        <v>0.875</v>
      </c>
      <c r="M11" s="9" t="n">
        <v>0.7580000305175781</v>
      </c>
      <c r="N11" s="10" t="n">
        <v>-0.0141509968685295</v>
      </c>
      <c r="O11" s="10" t="n">
        <v>0.002398044899077467</v>
      </c>
      <c r="P11" s="10" t="n">
        <v>0.08571426589767661</v>
      </c>
      <c r="Q11" s="10" t="n">
        <v>0.08662867730438895</v>
      </c>
      <c r="R11" s="10" t="n">
        <v>0.1386003279050121</v>
      </c>
      <c r="S11" s="10">
        <f t="array" ref="S11">IF(COUNT(Rendements!H$7:H$184)&lt;24,"",STDEVP(IF(ISNUMBER(Rendements!H$7:H$184),LN(1+Rendements!H$7:H$184)))*SQRT(12))</f>
        <v/>
      </c>
      <c r="T11" s="10">
        <f t="array" ref="T11">IF(COUNT(Rendements!H$7:H$184)&lt;24,"",EXP(SUMPRODUCT(ISNUMBER(Rendements!H$7:H$184)*N(+IF(ISNUMBER(Rendements!H$7:H$184),LN(1+Rendements!H$7:H$184),0)))*12/COUNT(Rendements!H$7:H$184))-1)</f>
        <v/>
      </c>
      <c r="U11" s="10">
        <f>IF(COUNT('Aide calcul'!H$6:H$184)=0,"",MIN('Aide calcul'!H$6:H$184))</f>
        <v/>
      </c>
      <c r="V11" s="10">
        <f>IF(COUNT('Aide calcul'!AA$6:AA$184)=0,"",MIN('Aide calcul'!AA$6:AA$184))</f>
        <v/>
      </c>
      <c r="W11" s="11">
        <f>COUNT(Rendements!H$7:H$184)</f>
        <v/>
      </c>
      <c r="X11" s="11">
        <f>SUM(Paramètres!D20:G20)</f>
        <v/>
      </c>
    </row>
    <row r="12" ht="24" customHeight="1">
      <c r="B12" s="5" t="inlineStr">
        <is>
          <t>LSE:GCP</t>
        </is>
      </c>
      <c r="C12" s="6" t="inlineStr">
        <is>
          <t>GCP.L</t>
        </is>
      </c>
      <c r="D12" s="7" t="inlineStr">
        <is>
          <t>GCP Infrastructure Investments Ltd</t>
        </is>
      </c>
      <c r="E12" s="7" t="inlineStr">
        <is>
          <t>Dette d'infrastructure (UK), trust coté</t>
        </is>
      </c>
      <c r="F12" s="6" t="inlineStr">
        <is>
          <t>C2</t>
        </is>
      </c>
      <c r="G12" s="6" t="inlineStr">
        <is>
          <t>GBP</t>
        </is>
      </c>
      <c r="H12" s="8" t="n">
        <v>46301</v>
      </c>
      <c r="I12" s="9" t="n">
        <v>0.8190000152587891</v>
      </c>
      <c r="J12" s="9" t="n">
        <v>0.8159999847412109</v>
      </c>
      <c r="K12" s="10" t="n">
        <v>0.003676508055976857</v>
      </c>
      <c r="L12" s="9" t="n">
        <v>0.855999984741211</v>
      </c>
      <c r="M12" s="9" t="n">
        <v>0.7000000000000001</v>
      </c>
      <c r="N12" s="10" t="n">
        <v>-0.02383790183106371</v>
      </c>
      <c r="O12" s="10" t="n">
        <v>-0.006067961052682369</v>
      </c>
      <c r="P12" s="10" t="n">
        <v>0.1173260315971414</v>
      </c>
      <c r="Q12" s="10" t="n">
        <v>0.1183444355556287</v>
      </c>
      <c r="R12" s="10" t="n">
        <v>0.1451964790100289</v>
      </c>
      <c r="S12" s="10">
        <f t="array" ref="S12">IF(COUNT(Rendements!I$7:I$184)&lt;24,"",STDEVP(IF(ISNUMBER(Rendements!I$7:I$184),LN(1+Rendements!I$7:I$184)))*SQRT(12))</f>
        <v/>
      </c>
      <c r="T12" s="10">
        <f t="array" ref="T12">IF(COUNT(Rendements!I$7:I$184)&lt;24,"",EXP(SUMPRODUCT(ISNUMBER(Rendements!I$7:I$184)*N(+IF(ISNUMBER(Rendements!I$7:I$184),LN(1+Rendements!I$7:I$184),0)))*12/COUNT(Rendements!I$7:I$184))-1)</f>
        <v/>
      </c>
      <c r="U12" s="10">
        <f>IF(COUNT('Aide calcul'!I$6:I$184)=0,"",MIN('Aide calcul'!I$6:I$184))</f>
        <v/>
      </c>
      <c r="V12" s="10">
        <f>IF(COUNT('Aide calcul'!AB$6:AB$184)=0,"",MIN('Aide calcul'!AB$6:AB$184))</f>
        <v/>
      </c>
      <c r="W12" s="11">
        <f>COUNT(Rendements!I$7:I$184)</f>
        <v/>
      </c>
      <c r="X12" s="11">
        <f>SUM(Paramètres!D21:G21)</f>
        <v/>
      </c>
    </row>
    <row r="13" ht="24" customHeight="1">
      <c r="B13" s="5" t="inlineStr">
        <is>
          <t>NYSE:BIP</t>
        </is>
      </c>
      <c r="C13" s="6" t="inlineStr">
        <is>
          <t>BIP</t>
        </is>
      </c>
      <c r="D13" s="7" t="inlineStr">
        <is>
          <t>Brookfield Infrastructure Partners L.P.</t>
        </is>
      </c>
      <c r="E13" s="7" t="inlineStr">
        <is>
          <t>Infrastructure value add, gérant coté</t>
        </is>
      </c>
      <c r="F13" s="6" t="inlineStr">
        <is>
          <t>C1</t>
        </is>
      </c>
      <c r="G13" s="6" t="inlineStr">
        <is>
          <t>USD</t>
        </is>
      </c>
      <c r="H13" s="8" t="n">
        <v>46301</v>
      </c>
      <c r="I13" s="9" t="n">
        <v>37.41999816894531</v>
      </c>
      <c r="J13" s="9" t="n">
        <v>36.16999816894531</v>
      </c>
      <c r="K13" s="10" t="n">
        <v>0.0345590285673063</v>
      </c>
      <c r="L13" s="9" t="n">
        <v>42.61999893188477</v>
      </c>
      <c r="M13" s="9" t="n">
        <v>33.40999984741211</v>
      </c>
      <c r="N13" s="10" t="n">
        <v>0.00781031759999351</v>
      </c>
      <c r="O13" s="10" t="n">
        <v>0.01519255424093746</v>
      </c>
      <c r="P13" s="10" t="n">
        <v>0.0893740853332825</v>
      </c>
      <c r="Q13" s="10" t="n">
        <v>0.1281767474159392</v>
      </c>
      <c r="R13" s="10" t="n">
        <v>0.2167454809071398</v>
      </c>
      <c r="S13" s="10">
        <f t="array" ref="S13">IF(COUNT(Rendements!J$7:J$184)&lt;24,"",STDEVP(IF(ISNUMBER(Rendements!J$7:J$184),LN(1+Rendements!J$7:J$184)))*SQRT(12))</f>
        <v/>
      </c>
      <c r="T13" s="10">
        <f t="array" ref="T13">IF(COUNT(Rendements!J$7:J$184)&lt;24,"",EXP(SUMPRODUCT(ISNUMBER(Rendements!J$7:J$184)*N(+IF(ISNUMBER(Rendements!J$7:J$184),LN(1+Rendements!J$7:J$184),0)))*12/COUNT(Rendements!J$7:J$184))-1)</f>
        <v/>
      </c>
      <c r="U13" s="10">
        <f>IF(COUNT('Aide calcul'!J$6:J$184)=0,"",MIN('Aide calcul'!J$6:J$184))</f>
        <v/>
      </c>
      <c r="V13" s="10">
        <f>IF(COUNT('Aide calcul'!AC$6:AC$184)=0,"",MIN('Aide calcul'!AC$6:AC$184))</f>
        <v/>
      </c>
      <c r="W13" s="11">
        <f>COUNT(Rendements!J$7:J$184)</f>
        <v/>
      </c>
      <c r="X13" s="11">
        <f>SUM(Paramètres!D22:G22)</f>
        <v/>
      </c>
    </row>
    <row r="14" ht="24" customHeight="1">
      <c r="B14" s="5" t="inlineStr">
        <is>
          <t>KOSE:A088980</t>
        </is>
      </c>
      <c r="C14" s="6" t="inlineStr">
        <is>
          <t>088980.KS</t>
        </is>
      </c>
      <c r="D14" s="7" t="inlineStr">
        <is>
          <t>Macquarie Korea Infrastructure Fund</t>
        </is>
      </c>
      <c r="E14" s="7" t="inlineStr">
        <is>
          <t>Infrastructure core Corée, fonds Macquarie coté</t>
        </is>
      </c>
      <c r="F14" s="6" t="inlineStr">
        <is>
          <t>C1</t>
        </is>
      </c>
      <c r="G14" s="6" t="inlineStr">
        <is>
          <t>KRW</t>
        </is>
      </c>
      <c r="H14" s="8" t="n">
        <v>46301</v>
      </c>
      <c r="I14" s="9" t="n">
        <v>9730</v>
      </c>
      <c r="J14" s="9" t="n">
        <v>9790</v>
      </c>
      <c r="K14" s="10" t="n">
        <v>-0.006128702757916216</v>
      </c>
      <c r="L14" s="9" t="n">
        <v>11830</v>
      </c>
      <c r="M14" s="9" t="n">
        <v>9430</v>
      </c>
      <c r="N14" s="10" t="n">
        <v>-0.01915322580645162</v>
      </c>
      <c r="O14" s="10" t="n">
        <v>-0.03567888999008917</v>
      </c>
      <c r="P14" s="10" t="n">
        <v>-0.147239263803681</v>
      </c>
      <c r="Q14" s="10" t="n">
        <v>-0.08790070930945426</v>
      </c>
      <c r="R14" s="10" t="n">
        <v>0.1293041416613914</v>
      </c>
      <c r="S14" s="10">
        <f t="array" ref="S14">IF(COUNT(Rendements!K$7:K$184)&lt;24,"",STDEVP(IF(ISNUMBER(Rendements!K$7:K$184),LN(1+Rendements!K$7:K$184)))*SQRT(12))</f>
        <v/>
      </c>
      <c r="T14" s="10">
        <f t="array" ref="T14">IF(COUNT(Rendements!K$7:K$184)&lt;24,"",EXP(SUMPRODUCT(ISNUMBER(Rendements!K$7:K$184)*N(+IF(ISNUMBER(Rendements!K$7:K$184),LN(1+Rendements!K$7:K$184),0)))*12/COUNT(Rendements!K$7:K$184))-1)</f>
        <v/>
      </c>
      <c r="U14" s="10">
        <f>IF(COUNT('Aide calcul'!K$6:K$184)=0,"",MIN('Aide calcul'!K$6:K$184))</f>
        <v/>
      </c>
      <c r="V14" s="10">
        <f>IF(COUNT('Aide calcul'!AD$6:AD$184)=0,"",MIN('Aide calcul'!AD$6:AD$184))</f>
        <v/>
      </c>
      <c r="W14" s="11">
        <f>COUNT(Rendements!K$7:K$184)</f>
        <v/>
      </c>
      <c r="X14" s="11">
        <f>SUM(Paramètres!D23:G23)</f>
        <v/>
      </c>
    </row>
    <row r="15" ht="24" customHeight="1">
      <c r="B15" s="5" t="inlineStr">
        <is>
          <t>ARCA:BKLN</t>
        </is>
      </c>
      <c r="C15" s="6" t="inlineStr">
        <is>
          <t>BKLN</t>
        </is>
      </c>
      <c r="D15" s="7" t="inlineStr">
        <is>
          <t>Invesco Senior Loan ETF</t>
        </is>
      </c>
      <c r="E15" s="7" t="inlineStr">
        <is>
          <t>Prêts seniors à taux variable (leveraged loans)</t>
        </is>
      </c>
      <c r="F15" s="6" t="inlineStr">
        <is>
          <t>C4</t>
        </is>
      </c>
      <c r="G15" s="6" t="inlineStr">
        <is>
          <t>USD</t>
        </is>
      </c>
      <c r="H15" s="8" t="n">
        <v>46301</v>
      </c>
      <c r="I15" s="9" t="n">
        <v>20.5049991607666</v>
      </c>
      <c r="J15" s="9" t="n">
        <v>20.48999977111816</v>
      </c>
      <c r="K15" s="10" t="n">
        <v>0.000732034642068724</v>
      </c>
      <c r="L15" s="9" t="n">
        <v>21.05999946594238</v>
      </c>
      <c r="M15" s="9" t="n">
        <v>20.20999908447266</v>
      </c>
      <c r="N15" s="10" t="n">
        <v>-0.005094684448103459</v>
      </c>
      <c r="O15" s="10" t="n">
        <v>0.004162540849905971</v>
      </c>
      <c r="P15" s="10" t="n">
        <v>-0.02077370402085299</v>
      </c>
      <c r="Q15" s="10" t="n">
        <v>0.0434587600102847</v>
      </c>
      <c r="R15" s="10" t="n">
        <v>0.02839394809130621</v>
      </c>
      <c r="S15" s="10">
        <f t="array" ref="S15">IF(COUNT(Rendements!L$7:L$184)&lt;24,"",STDEVP(IF(ISNUMBER(Rendements!L$7:L$184),LN(1+Rendements!L$7:L$184)))*SQRT(12))</f>
        <v/>
      </c>
      <c r="T15" s="10">
        <f t="array" ref="T15">IF(COUNT(Rendements!L$7:L$184)&lt;24,"",EXP(SUMPRODUCT(ISNUMBER(Rendements!L$7:L$184)*N(+IF(ISNUMBER(Rendements!L$7:L$184),LN(1+Rendements!L$7:L$184),0)))*12/COUNT(Rendements!L$7:L$184))-1)</f>
        <v/>
      </c>
      <c r="U15" s="10">
        <f>IF(COUNT('Aide calcul'!L$6:L$184)=0,"",MIN('Aide calcul'!L$6:L$184))</f>
        <v/>
      </c>
      <c r="V15" s="10">
        <f>IF(COUNT('Aide calcul'!AE$6:AE$184)=0,"",MIN('Aide calcul'!AE$6:AE$184))</f>
        <v/>
      </c>
      <c r="W15" s="11">
        <f>COUNT(Rendements!L$7:L$184)</f>
        <v/>
      </c>
      <c r="X15" s="11">
        <f>SUM(Paramètres!D24:G24)</f>
        <v/>
      </c>
    </row>
    <row r="16" ht="24" customHeight="1">
      <c r="B16" s="5" t="inlineStr">
        <is>
          <t>ARCA:HYG</t>
        </is>
      </c>
      <c r="C16" s="6" t="inlineStr">
        <is>
          <t>HYG</t>
        </is>
      </c>
      <c r="D16" s="7" t="inlineStr">
        <is>
          <t>iShares iBoxx $ High Yield Corporate Bond ETF</t>
        </is>
      </c>
      <c r="E16" s="7" t="inlineStr">
        <is>
          <t>Haut rendement USD</t>
        </is>
      </c>
      <c r="F16" s="6" t="inlineStr">
        <is>
          <t>C4</t>
        </is>
      </c>
      <c r="G16" s="6" t="inlineStr">
        <is>
          <t>USD</t>
        </is>
      </c>
      <c r="H16" s="8" t="n">
        <v>46301</v>
      </c>
      <c r="I16" s="9" t="n">
        <v>77.25499725341797</v>
      </c>
      <c r="J16" s="9" t="n">
        <v>76.98000335693359</v>
      </c>
      <c r="K16" s="10" t="n">
        <v>0.003572277013412339</v>
      </c>
      <c r="L16" s="9" t="n">
        <v>81.27999877929688</v>
      </c>
      <c r="M16" s="9" t="n">
        <v>76.90000152587891</v>
      </c>
      <c r="N16" s="10" t="n">
        <v>-0.02406526428198308</v>
      </c>
      <c r="O16" s="10" t="n">
        <v>-0.03140678053811907</v>
      </c>
      <c r="P16" s="10" t="n">
        <v>-0.04458327145340246</v>
      </c>
      <c r="Q16" s="10" t="n">
        <v>0.01330266796877377</v>
      </c>
      <c r="R16" s="10" t="n">
        <v>0.03915050852478061</v>
      </c>
      <c r="S16" s="10">
        <f t="array" ref="S16">IF(COUNT(Rendements!M$7:M$184)&lt;24,"",STDEVP(IF(ISNUMBER(Rendements!M$7:M$184),LN(1+Rendements!M$7:M$184)))*SQRT(12))</f>
        <v/>
      </c>
      <c r="T16" s="10">
        <f t="array" ref="T16">IF(COUNT(Rendements!M$7:M$184)&lt;24,"",EXP(SUMPRODUCT(ISNUMBER(Rendements!M$7:M$184)*N(+IF(ISNUMBER(Rendements!M$7:M$184),LN(1+Rendements!M$7:M$184),0)))*12/COUNT(Rendements!M$7:M$184))-1)</f>
        <v/>
      </c>
      <c r="U16" s="10">
        <f>IF(COUNT('Aide calcul'!M$6:M$184)=0,"",MIN('Aide calcul'!M$6:M$184))</f>
        <v/>
      </c>
      <c r="V16" s="10">
        <f>IF(COUNT('Aide calcul'!AF$6:AF$184)=0,"",MIN('Aide calcul'!AF$6:AF$184))</f>
        <v/>
      </c>
      <c r="W16" s="11">
        <f>COUNT(Rendements!M$7:M$184)</f>
        <v/>
      </c>
      <c r="X16" s="11">
        <f>SUM(Paramètres!D25:G25)</f>
        <v/>
      </c>
    </row>
    <row r="17" ht="24" customHeight="1">
      <c r="B17" s="5" t="inlineStr">
        <is>
          <t>LSE:IHYG</t>
        </is>
      </c>
      <c r="C17" s="6" t="inlineStr">
        <is>
          <t>IHYG.L</t>
        </is>
      </c>
      <c r="D17" s="7" t="inlineStr">
        <is>
          <t>iShares € High Yield Corp Bond UCITS ETF</t>
        </is>
      </c>
      <c r="E17" s="7" t="inlineStr">
        <is>
          <t>Haut rendement EUR</t>
        </is>
      </c>
      <c r="F17" s="6" t="inlineStr">
        <is>
          <t>C4</t>
        </is>
      </c>
      <c r="G17" s="6" t="inlineStr">
        <is>
          <t>EUR</t>
        </is>
      </c>
      <c r="H17" s="8" t="n">
        <v>46301</v>
      </c>
      <c r="I17" s="9" t="n">
        <v>88.80000305175781</v>
      </c>
      <c r="J17" s="9" t="n">
        <v>88.26999664306641</v>
      </c>
      <c r="K17" s="10" t="n">
        <v>0.006004377805004069</v>
      </c>
      <c r="L17" s="9" t="n">
        <v>93.76000213623047</v>
      </c>
      <c r="M17" s="9" t="n">
        <v>88.15000152587891</v>
      </c>
      <c r="N17" s="10" t="n">
        <v>-0.0244438169384541</v>
      </c>
      <c r="O17" s="10" t="n">
        <v>-0.02663597737323875</v>
      </c>
      <c r="P17" s="10" t="n">
        <v>-0.04031120476328842</v>
      </c>
      <c r="Q17" s="10" t="n">
        <v>0.01068043649135531</v>
      </c>
      <c r="R17" s="10" t="n">
        <v>0.03850310586200303</v>
      </c>
      <c r="S17" s="10">
        <f t="array" ref="S17">IF(COUNT(Rendements!N$7:N$184)&lt;24,"",STDEVP(IF(ISNUMBER(Rendements!N$7:N$184),LN(1+Rendements!N$7:N$184)))*SQRT(12))</f>
        <v/>
      </c>
      <c r="T17" s="10">
        <f t="array" ref="T17">IF(COUNT(Rendements!N$7:N$184)&lt;24,"",EXP(SUMPRODUCT(ISNUMBER(Rendements!N$7:N$184)*N(+IF(ISNUMBER(Rendements!N$7:N$184),LN(1+Rendements!N$7:N$184),0)))*12/COUNT(Rendements!N$7:N$184))-1)</f>
        <v/>
      </c>
      <c r="U17" s="10">
        <f>IF(COUNT('Aide calcul'!N$6:N$184)=0,"",MIN('Aide calcul'!N$6:N$184))</f>
        <v/>
      </c>
      <c r="V17" s="10">
        <f>IF(COUNT('Aide calcul'!AG$6:AG$184)=0,"",MIN('Aide calcul'!AG$6:AG$184))</f>
        <v/>
      </c>
      <c r="W17" s="11">
        <f>COUNT(Rendements!N$7:N$184)</f>
        <v/>
      </c>
      <c r="X17" s="11">
        <f>SUM(Paramètres!D26:G26)</f>
        <v/>
      </c>
    </row>
    <row r="18" ht="24" customHeight="1">
      <c r="B18" s="5" t="inlineStr">
        <is>
          <t>NasdaqGS:ARCC</t>
        </is>
      </c>
      <c r="C18" s="6" t="inlineStr">
        <is>
          <t>ARCC</t>
        </is>
      </c>
      <c r="D18" s="7" t="inlineStr">
        <is>
          <t>Ares Capital Corporation</t>
        </is>
      </c>
      <c r="E18" s="7" t="inlineStr">
        <is>
          <t>Direct lending, BDC cotée (Ares)</t>
        </is>
      </c>
      <c r="F18" s="6" t="inlineStr">
        <is>
          <t>C3</t>
        </is>
      </c>
      <c r="G18" s="6" t="inlineStr">
        <is>
          <t>USD</t>
        </is>
      </c>
      <c r="H18" s="8" t="n">
        <v>46301</v>
      </c>
      <c r="I18" s="9" t="n">
        <v>18.625</v>
      </c>
      <c r="J18" s="9" t="n">
        <v>18.81999969482422</v>
      </c>
      <c r="K18" s="10" t="n">
        <v>-0.01036130169958749</v>
      </c>
      <c r="L18" s="9" t="n">
        <v>21.03000068664551</v>
      </c>
      <c r="M18" s="9" t="n">
        <v>17.45000076293945</v>
      </c>
      <c r="N18" s="10" t="n">
        <v>-0.07060882489436293</v>
      </c>
      <c r="O18" s="10" t="n">
        <v>0.008392024494198846</v>
      </c>
      <c r="P18" s="10" t="n">
        <v>-0.07430421356236683</v>
      </c>
      <c r="Q18" s="10" t="n">
        <v>0.02304411461187161</v>
      </c>
      <c r="R18" s="10" t="n">
        <v>0.1916090960512126</v>
      </c>
      <c r="S18" s="10">
        <f t="array" ref="S18">IF(COUNT(Rendements!O$7:O$184)&lt;24,"",STDEVP(IF(ISNUMBER(Rendements!O$7:O$184),LN(1+Rendements!O$7:O$184)))*SQRT(12))</f>
        <v/>
      </c>
      <c r="T18" s="10">
        <f t="array" ref="T18">IF(COUNT(Rendements!O$7:O$184)&lt;24,"",EXP(SUMPRODUCT(ISNUMBER(Rendements!O$7:O$184)*N(+IF(ISNUMBER(Rendements!O$7:O$184),LN(1+Rendements!O$7:O$184),0)))*12/COUNT(Rendements!O$7:O$184))-1)</f>
        <v/>
      </c>
      <c r="U18" s="10">
        <f>IF(COUNT('Aide calcul'!O$6:O$184)=0,"",MIN('Aide calcul'!O$6:O$184))</f>
        <v/>
      </c>
      <c r="V18" s="10">
        <f>IF(COUNT('Aide calcul'!AH$6:AH$184)=0,"",MIN('Aide calcul'!AH$6:AH$184))</f>
        <v/>
      </c>
      <c r="W18" s="11">
        <f>COUNT(Rendements!O$7:O$184)</f>
        <v/>
      </c>
      <c r="X18" s="11">
        <f>SUM(Paramètres!D27:G27)</f>
        <v/>
      </c>
    </row>
    <row r="19" ht="24" customHeight="1">
      <c r="B19" s="5" t="inlineStr">
        <is>
          <t>ARCA:BIZD</t>
        </is>
      </c>
      <c r="C19" s="6" t="inlineStr">
        <is>
          <t>BIZD</t>
        </is>
      </c>
      <c r="D19" s="7" t="inlineStr">
        <is>
          <t>VanEck BDC Income ETF</t>
        </is>
      </c>
      <c r="E19" s="7" t="inlineStr">
        <is>
          <t>Direct lending, panier de BDC</t>
        </is>
      </c>
      <c r="F19" s="6" t="inlineStr">
        <is>
          <t>C3</t>
        </is>
      </c>
      <c r="G19" s="6" t="inlineStr">
        <is>
          <t>USD</t>
        </is>
      </c>
      <c r="H19" s="8" t="n">
        <v>46301</v>
      </c>
      <c r="I19" s="9" t="n">
        <v>12.13329982757568</v>
      </c>
      <c r="J19" s="9" t="n">
        <v>12.25</v>
      </c>
      <c r="K19" s="10" t="n">
        <v>-0.009526544687699312</v>
      </c>
      <c r="L19" s="9" t="n">
        <v>15.05000019073486</v>
      </c>
      <c r="M19" s="9" t="n">
        <v>12.10999965667725</v>
      </c>
      <c r="N19" s="10" t="n">
        <v>-0.08977495146133951</v>
      </c>
      <c r="O19" s="10" t="n">
        <v>-0.01913500890648556</v>
      </c>
      <c r="P19" s="10" t="n">
        <v>-0.152702507950394</v>
      </c>
      <c r="Q19" s="10" t="n">
        <v>-0.04466616557274505</v>
      </c>
      <c r="R19" s="10" t="n">
        <v>0.1945714834854484</v>
      </c>
      <c r="S19" s="10">
        <f t="array" ref="S19">IF(COUNT(Rendements!P$7:P$184)&lt;24,"",STDEVP(IF(ISNUMBER(Rendements!P$7:P$184),LN(1+Rendements!P$7:P$184)))*SQRT(12))</f>
        <v/>
      </c>
      <c r="T19" s="10">
        <f t="array" ref="T19">IF(COUNT(Rendements!P$7:P$184)&lt;24,"",EXP(SUMPRODUCT(ISNUMBER(Rendements!P$7:P$184)*N(+IF(ISNUMBER(Rendements!P$7:P$184),LN(1+Rendements!P$7:P$184),0)))*12/COUNT(Rendements!P$7:P$184))-1)</f>
        <v/>
      </c>
      <c r="U19" s="10">
        <f>IF(COUNT('Aide calcul'!P$6:P$184)=0,"",MIN('Aide calcul'!P$6:P$184))</f>
        <v/>
      </c>
      <c r="V19" s="10">
        <f>IF(COUNT('Aide calcul'!AI$6:AI$184)=0,"",MIN('Aide calcul'!AI$6:AI$184))</f>
        <v/>
      </c>
      <c r="W19" s="11">
        <f>COUNT(Rendements!P$7:P$184)</f>
        <v/>
      </c>
      <c r="X19" s="11">
        <f>SUM(Paramètres!D28:G28)</f>
        <v/>
      </c>
    </row>
    <row r="20"/>
    <row r="21">
      <c r="B21" s="12" t="inlineStr">
        <is>
          <t>COMPOSITES COTÉS   équipondérés, devise locale, dividendes réinvestis ; contrôle coté du portefeuille pondéré par l'allocation cible</t>
        </is>
      </c>
    </row>
    <row r="22" ht="30" customHeight="1">
      <c r="B22" s="3" t="inlineStr">
        <is>
          <t>Composite</t>
        </is>
      </c>
      <c r="C22" s="3" t="inlineStr">
        <is>
          <t>Titres inclus</t>
        </is>
      </c>
      <c r="D22" s="4" t="inlineStr">
        <is>
          <t>Poids dans le contrôle coté</t>
        </is>
      </c>
      <c r="E22" s="4" t="inlineStr">
        <is>
          <t>Vol. mensuelle annualisée</t>
        </is>
      </c>
      <c r="F22" s="4" t="inlineStr">
        <is>
          <t>Rendement annualisé</t>
        </is>
      </c>
      <c r="G22" s="4" t="inlineStr">
        <is>
          <t>Pire fenêtre glissante</t>
        </is>
      </c>
      <c r="H22" s="4" t="inlineStr">
        <is>
          <t>Perte maximale</t>
        </is>
      </c>
      <c r="I22" s="4" t="inlineStr">
        <is>
          <t>Mois</t>
        </is>
      </c>
      <c r="J22" s="4" t="inlineStr">
        <is>
          <t>Perf. 12 derniers mois</t>
        </is>
      </c>
      <c r="K22" s="4" t="inlineStr">
        <is>
          <t>Référence DIC</t>
        </is>
      </c>
    </row>
    <row r="23" ht="24" customHeight="1">
      <c r="B23" s="5" t="inlineStr">
        <is>
          <t>Infrastructure cotée, capital</t>
        </is>
      </c>
      <c r="C23" s="7" t="inlineStr">
        <is>
          <t>IGF, INFR, 3IN, HICL, INPP, A088980 ; BIP exclu</t>
        </is>
      </c>
      <c r="D23" s="10">
        <f>Wc_C1</f>
        <v/>
      </c>
      <c r="E23" s="10">
        <f t="array" ref="E23">IF(COUNT(Composites!C$7:C$184)&lt;24,"",STDEVP(IF(ISNUMBER(Composites!C$7:C$184),LN(1+Composites!C$7:C$184)))*SQRT(12))</f>
        <v/>
      </c>
      <c r="F23" s="10">
        <f t="array" ref="F23">IF(COUNT(Composites!C$7:C$184)&lt;24,"",EXP(SUMPRODUCT(ISNUMBER(Composites!C$7:C$184)*N(+IF(ISNUMBER(Composites!C$7:C$184),LN(1+Composites!C$7:C$184),0)))*12/COUNT(Composites!C$7:C$184))-1)</f>
        <v/>
      </c>
      <c r="G23" s="10">
        <f>IF(COUNT('Aide calcul'!Q$6:Q$184)=0,"",MIN('Aide calcul'!Q$6:Q$184))</f>
        <v/>
      </c>
      <c r="H23" s="10">
        <f>IF(COUNT('Aide calcul'!AJ$6:AJ$184)=0,"",MIN('Aide calcul'!AJ$6:AJ$184))</f>
        <v/>
      </c>
      <c r="I23" s="11">
        <f>COUNT(Composites!C$7:C$184)</f>
        <v/>
      </c>
      <c r="J23" s="10">
        <f t="array" ref="J23">IF(COUNT(Composites!C173:C184)&lt;12,"",PRODUCT(1+Composites!C173:C184)-1)</f>
        <v/>
      </c>
      <c r="K23" s="7" t="inlineStr">
        <is>
          <t>Preqin Infrastructure désmoothé : vol. 3,34 % ; value add 4,27 %</t>
        </is>
      </c>
      <c r="L23" s="13" t="n"/>
      <c r="M23" s="13" t="n"/>
      <c r="N23" s="13" t="n"/>
      <c r="O23" s="13" t="n"/>
      <c r="P23" s="13" t="n"/>
      <c r="Q23" s="13" t="n"/>
      <c r="R23" s="13" t="n"/>
      <c r="S23" s="13" t="n"/>
      <c r="T23" s="13" t="n"/>
      <c r="U23" s="13" t="n"/>
      <c r="V23" s="13" t="n"/>
      <c r="W23" s="13" t="n"/>
      <c r="X23" s="13" t="n"/>
    </row>
    <row r="24" ht="24" customHeight="1">
      <c r="B24" s="5" t="inlineStr">
        <is>
          <t>Dette d'infrastructure cotée</t>
        </is>
      </c>
      <c r="C24" s="7" t="inlineStr">
        <is>
          <t>SEQI, GCP</t>
        </is>
      </c>
      <c r="D24" s="10">
        <f>Wc_C2</f>
        <v/>
      </c>
      <c r="E24" s="10">
        <f t="array" ref="E24">IF(COUNT(Composites!D$7:D$184)&lt;24,"",STDEVP(IF(ISNUMBER(Composites!D$7:D$184),LN(1+Composites!D$7:D$184)))*SQRT(12))</f>
        <v/>
      </c>
      <c r="F24" s="10">
        <f t="array" ref="F24">IF(COUNT(Composites!D$7:D$184)&lt;24,"",EXP(SUMPRODUCT(ISNUMBER(Composites!D$7:D$184)*N(+IF(ISNUMBER(Composites!D$7:D$184),LN(1+Composites!D$7:D$184),0)))*12/COUNT(Composites!D$7:D$184))-1)</f>
        <v/>
      </c>
      <c r="G24" s="10">
        <f>IF(COUNT('Aide calcul'!R$6:R$184)=0,"",MIN('Aide calcul'!R$6:R$184))</f>
        <v/>
      </c>
      <c r="H24" s="10">
        <f>IF(COUNT('Aide calcul'!AK$6:AK$184)=0,"",MIN('Aide calcul'!AK$6:AK$184))</f>
        <v/>
      </c>
      <c r="I24" s="11">
        <f>COUNT(Composites!D$7:D$184)</f>
        <v/>
      </c>
      <c r="J24" s="10">
        <f t="array" ref="J24">IF(COUNT(Composites!D173:D184)&lt;12,"",PRODUCT(1+Composites!D173:D184)-1)</f>
        <v/>
      </c>
      <c r="K24" s="7" t="inlineStr">
        <is>
          <t>Pas d'indice Preqin dédié ; dette d'infra traitée en direct lending (6,09 %)</t>
        </is>
      </c>
      <c r="L24" s="13" t="n"/>
      <c r="M24" s="13" t="n"/>
      <c r="N24" s="13" t="n"/>
      <c r="O24" s="13" t="n"/>
      <c r="P24" s="13" t="n"/>
      <c r="Q24" s="13" t="n"/>
      <c r="R24" s="13" t="n"/>
      <c r="S24" s="13" t="n"/>
      <c r="T24" s="13" t="n"/>
      <c r="U24" s="13" t="n"/>
      <c r="V24" s="13" t="n"/>
      <c r="W24" s="13" t="n"/>
      <c r="X24" s="13" t="n"/>
    </row>
    <row r="25" ht="24" customHeight="1">
      <c r="B25" s="5" t="inlineStr">
        <is>
          <t>Direct lending coté</t>
        </is>
      </c>
      <c r="C25" s="7" t="inlineStr">
        <is>
          <t>ARCC, BIZD</t>
        </is>
      </c>
      <c r="D25" s="10">
        <f>Wc_C3</f>
        <v/>
      </c>
      <c r="E25" s="10">
        <f t="array" ref="E25">IF(COUNT(Composites!E$7:E$184)&lt;24,"",STDEVP(IF(ISNUMBER(Composites!E$7:E$184),LN(1+Composites!E$7:E$184)))*SQRT(12))</f>
        <v/>
      </c>
      <c r="F25" s="10">
        <f t="array" ref="F25">IF(COUNT(Composites!E$7:E$184)&lt;24,"",EXP(SUMPRODUCT(ISNUMBER(Composites!E$7:E$184)*N(+IF(ISNUMBER(Composites!E$7:E$184),LN(1+Composites!E$7:E$184),0)))*12/COUNT(Composites!E$7:E$184))-1)</f>
        <v/>
      </c>
      <c r="G25" s="10">
        <f>IF(COUNT('Aide calcul'!S$6:S$184)=0,"",MIN('Aide calcul'!S$6:S$184))</f>
        <v/>
      </c>
      <c r="H25" s="10">
        <f>IF(COUNT('Aide calcul'!AL$6:AL$184)=0,"",MIN('Aide calcul'!AL$6:AL$184))</f>
        <v/>
      </c>
      <c r="I25" s="11">
        <f>COUNT(Composites!E$7:E$184)</f>
        <v/>
      </c>
      <c r="J25" s="10">
        <f t="array" ref="J25">IF(COUNT(Composites!E173:E184)&lt;12,"",PRODUCT(1+Composites!E173:E184)-1)</f>
        <v/>
      </c>
      <c r="K25" s="7" t="inlineStr">
        <is>
          <t>Preqin Private Debt Direct Lending désmoothé : vol. 6,09 %</t>
        </is>
      </c>
      <c r="L25" s="13" t="n"/>
      <c r="M25" s="13" t="n"/>
      <c r="N25" s="13" t="n"/>
      <c r="O25" s="13" t="n"/>
      <c r="P25" s="13" t="n"/>
      <c r="Q25" s="13" t="n"/>
      <c r="R25" s="13" t="n"/>
      <c r="S25" s="13" t="n"/>
      <c r="T25" s="13" t="n"/>
      <c r="U25" s="13" t="n"/>
      <c r="V25" s="13" t="n"/>
      <c r="W25" s="13" t="n"/>
      <c r="X25" s="13" t="n"/>
    </row>
    <row r="26" ht="24" customHeight="1">
      <c r="B26" s="5" t="inlineStr">
        <is>
          <t>Poche liquide : haut rendement et prêts seniors</t>
        </is>
      </c>
      <c r="C26" s="7" t="inlineStr">
        <is>
          <t>BKLN, HYG, IHYG</t>
        </is>
      </c>
      <c r="D26" s="10">
        <f>Wc_C4</f>
        <v/>
      </c>
      <c r="E26" s="10">
        <f t="array" ref="E26">IF(COUNT(Composites!F$7:F$184)&lt;24,"",STDEVP(IF(ISNUMBER(Composites!F$7:F$184),LN(1+Composites!F$7:F$184)))*SQRT(12))</f>
        <v/>
      </c>
      <c r="F26" s="10">
        <f t="array" ref="F26">IF(COUNT(Composites!F$7:F$184)&lt;24,"",EXP(SUMPRODUCT(ISNUMBER(Composites!F$7:F$184)*N(+IF(ISNUMBER(Composites!F$7:F$184),LN(1+Composites!F$7:F$184),0)))*12/COUNT(Composites!F$7:F$184))-1)</f>
        <v/>
      </c>
      <c r="G26" s="10">
        <f>IF(COUNT('Aide calcul'!T$6:T$184)=0,"",MIN('Aide calcul'!T$6:T$184))</f>
        <v/>
      </c>
      <c r="H26" s="10">
        <f>IF(COUNT('Aide calcul'!AM$6:AM$184)=0,"",MIN('Aide calcul'!AM$6:AM$184))</f>
        <v/>
      </c>
      <c r="I26" s="11">
        <f>COUNT(Composites!F$7:F$184)</f>
        <v/>
      </c>
      <c r="J26" s="10">
        <f t="array" ref="J26">IF(COUNT(Composites!F173:F184)&lt;12,"",PRODUCT(1+Composites!F173:F184)-1)</f>
        <v/>
      </c>
      <c r="K26" s="7" t="inlineStr">
        <is>
          <t>Morningstar LSTA : vol. 5,68 % (coté)</t>
        </is>
      </c>
      <c r="L26" s="13" t="n"/>
      <c r="M26" s="13" t="n"/>
      <c r="N26" s="13" t="n"/>
      <c r="O26" s="13" t="n"/>
      <c r="P26" s="13" t="n"/>
      <c r="Q26" s="13" t="n"/>
      <c r="R26" s="13" t="n"/>
      <c r="S26" s="13" t="n"/>
      <c r="T26" s="13" t="n"/>
      <c r="U26" s="13" t="n"/>
      <c r="V26" s="13" t="n"/>
      <c r="W26" s="13" t="n"/>
      <c r="X26" s="13" t="n"/>
    </row>
    <row r="27" ht="24" customHeight="1">
      <c r="B27" s="5" t="inlineStr">
        <is>
          <t>Portefeuille (contrôle coté)</t>
        </is>
      </c>
      <c r="C27" s="7" t="inlineStr">
        <is>
          <t>Pondération de l'onglet Paramètres</t>
        </is>
      </c>
      <c r="D27" s="10">
        <f>Wc_C1+Wc_C2+Wc_C3+Wc_C4</f>
        <v/>
      </c>
      <c r="E27" s="10">
        <f t="array" ref="E27">IF(COUNT(Composites!G$7:G$184)&lt;24,"",STDEVP(IF(ISNUMBER(Composites!G$7:G$184),LN(1+Composites!G$7:G$184)))*SQRT(12))</f>
        <v/>
      </c>
      <c r="F27" s="10">
        <f t="array" ref="F27">IF(COUNT(Composites!G$7:G$184)&lt;24,"",EXP(SUMPRODUCT(ISNUMBER(Composites!G$7:G$184)*N(+IF(ISNUMBER(Composites!G$7:G$184),LN(1+Composites!G$7:G$184),0)))*12/COUNT(Composites!G$7:G$184))-1)</f>
        <v/>
      </c>
      <c r="G27" s="10">
        <f>IF(COUNT('Aide calcul'!U$6:U$184)=0,"",MIN('Aide calcul'!U$6:U$184))</f>
        <v/>
      </c>
      <c r="H27" s="10">
        <f>IF(COUNT('Aide calcul'!AN$6:AN$184)=0,"",MIN('Aide calcul'!AN$6:AN$184))</f>
        <v/>
      </c>
      <c r="I27" s="11">
        <f>COUNT(Composites!G$7:G$184)</f>
        <v/>
      </c>
      <c r="J27" s="10">
        <f t="array" ref="J27">IF(COUNT(Composites!G173:G184)&lt;12,"",PRODUCT(1+Composites!G173:G184)-1)</f>
        <v/>
      </c>
      <c r="K27" s="7" t="inlineStr">
        <is>
          <t>VEV de contrôle coté retenue au DIC : 10,88 %</t>
        </is>
      </c>
      <c r="L27" s="13" t="n"/>
      <c r="M27" s="13" t="n"/>
      <c r="N27" s="13" t="n"/>
      <c r="O27" s="13" t="n"/>
      <c r="P27" s="13" t="n"/>
      <c r="Q27" s="13" t="n"/>
      <c r="R27" s="13" t="n"/>
      <c r="S27" s="13" t="n"/>
      <c r="T27" s="13" t="n"/>
      <c r="U27" s="13" t="n"/>
      <c r="V27" s="13" t="n"/>
      <c r="W27" s="13" t="n"/>
      <c r="X27" s="13" t="n"/>
    </row>
    <row r="28"/>
    <row r="29">
      <c r="B29" s="12" t="inlineStr">
        <is>
          <t>CONTRÔLE BROOKFIELD   rapport des cours de fin de mois septembre / août 2016 dans la série brute</t>
        </is>
      </c>
    </row>
    <row r="30">
      <c r="B30" s="14" t="inlineStr">
        <is>
          <t>Rapport septembre 2016 / août 2016, série Brut ajusté</t>
        </is>
      </c>
      <c r="D30" s="15">
        <f>INDEX('Brut ajusté'!J$6:J$184,MATCH(DATE(2016,9,1),'Brut ajusté'!$B$6:$B$184,0))/INDEX('Brut ajusté'!J$6:J$184,MATCH(DATE(2016,8,1),'Brut ajusté'!$B$6:$B$184,0))</f>
        <v/>
      </c>
      <c r="E30" s="16">
        <f>"Facteur appliqué : "&amp;SUBSTITUTE(ROUND(BIP_facteur,2)&amp;"",".",",")&amp;" - un rapport proche de 1 signifie que la source a déjà ajusté le regroupement 3 pour 2 ; un rapport proche de 1,5 appelle le facteur 1,5."</f>
        <v/>
      </c>
    </row>
    <row r="31"/>
    <row r="32" ht="30" customHeight="1">
      <c r="B32" s="2" t="inlineStr">
        <is>
          <t>Lecture risque : les trusts d'infrastructure cotés à Londres (3IN, HICL, INPP, SEQI, GCP) traitent avec une décote sur l'actif net ; leur cours intègre un risque de taux et de liquidité que les VL des fonds cibles ne montrent pas. Ils constituent le contrôle coté le plus proche des fonds non cotés du portefeuille.</t>
        </is>
      </c>
    </row>
    <row r="33" ht="30" customHeight="1">
      <c r="B33" s="2" t="inlineStr">
        <is>
          <t>Brookfield (BIP) est conservé en information mais exclu des composites : les distributions d'actions BIPC de mars 2020 et de juin 2022 ne sont pas reflétées dans la série de cours, dont le rendement total est donc sous-estimé. Le facteur de regroupement de septembre 2016 est paramétré (onglet Paramètres).</t>
        </is>
      </c>
    </row>
    <row r="34" ht="30" customHeight="1">
      <c r="B34" s="2" t="inlineStr">
        <is>
          <t>Les composites sont équipondérés en devise locale : ils mesurent le risque de marché des actifs, non le risque de change du Fonds (51 % de l'actif en dollars non couverts). Les volatilités mensuelles sont comparables aux volatilités désmoothées Preqin du DIC et à la VEV de contrôle coté de 10,88 %.</t>
        </is>
      </c>
    </row>
  </sheetData>
  <mergeCells count="10">
    <mergeCell ref="K23:X23"/>
    <mergeCell ref="B32:X32"/>
    <mergeCell ref="K26:X26"/>
    <mergeCell ref="B34:X34"/>
    <mergeCell ref="K25:X25"/>
    <mergeCell ref="E30:X30"/>
    <mergeCell ref="K24:X24"/>
    <mergeCell ref="B33:X33"/>
    <mergeCell ref="B3:X3"/>
    <mergeCell ref="K27:X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7"/>
  <sheetViews>
    <sheetView showGridLines="0" workbookViewId="0">
      <selection activeCell="A1" sqref="A1"/>
    </sheetView>
  </sheetViews>
  <sheetFormatPr baseColWidth="8" defaultRowHeight="15"/>
  <cols>
    <col width="2" customWidth="1" min="1" max="1"/>
    <col width="44" customWidth="1" min="2" max="2"/>
    <col width="14" customWidth="1" min="3" max="3"/>
    <col width="16" customWidth="1" min="4" max="4"/>
    <col width="16" customWidth="1" min="5" max="5"/>
    <col width="16" customWidth="1" min="6" max="6"/>
    <col width="16" customWidth="1" min="7" max="7"/>
    <col width="44" customWidth="1" min="8" max="8"/>
  </cols>
  <sheetData>
    <row r="2">
      <c r="B2" s="1" t="inlineStr">
        <is>
          <t>PARAMÈTRES - PROXIES COTÉS</t>
        </is>
      </c>
    </row>
    <row r="3" ht="42" customHeight="1">
      <c r="B3" s="2" t="inlineStr">
        <is>
          <t>Cellules crème : saisies. Les onglets Historique ajusté, Rendements, Composites et Synthèse sont en formules et se recalculent à partir de cet onglet.</t>
        </is>
      </c>
    </row>
    <row r="5" ht="30" customHeight="1">
      <c r="B5" s="3" t="inlineStr">
        <is>
          <t>Paramètre</t>
        </is>
      </c>
      <c r="C5" s="4" t="inlineStr">
        <is>
          <t>Valeur</t>
        </is>
      </c>
      <c r="D5" s="4" t="inlineStr">
        <is>
          <t>Unité</t>
        </is>
      </c>
      <c r="E5" s="4" t="inlineStr">
        <is>
          <t>Commentaire</t>
        </is>
      </c>
    </row>
    <row r="6" ht="30" customHeight="1">
      <c r="B6" s="17" t="inlineStr">
        <is>
          <t>Brookfield (NYSE:BIP) - date du regroupement 3 pour 2</t>
        </is>
      </c>
      <c r="C6" s="18" t="n">
        <v>42627</v>
      </c>
      <c r="D6" s="19" t="inlineStr">
        <is>
          <t>date</t>
        </is>
      </c>
      <c r="E6" s="20" t="inlineStr">
        <is>
          <t>Les cours de fin de mois antérieurs à cette date sont divisés par le facteur ci-dessous.</t>
        </is>
      </c>
      <c r="F6" s="21" t="n"/>
      <c r="G6" s="21" t="n"/>
      <c r="H6" s="21" t="n"/>
    </row>
    <row r="7" ht="30" customHeight="1">
      <c r="B7" s="17" t="inlineStr">
        <is>
          <t>Brookfield (NYSE:BIP) - facteur appliqué avant cette date</t>
        </is>
      </c>
      <c r="C7" s="22" t="n">
        <v>1</v>
      </c>
      <c r="D7" s="19" t="inlineStr">
        <is>
          <t>x</t>
        </is>
      </c>
      <c r="E7" s="20" t="inlineStr">
        <is>
          <t>1,5 pour une source brute (CapIQ). Mis à 1,0 ici : la série Yahoo est déjà ajustée du regroupement (contrôle en Synthèse : rapport septembre / août 2016).</t>
        </is>
      </c>
      <c r="F7" s="21" t="n"/>
      <c r="G7" s="21" t="n"/>
      <c r="H7" s="21" t="n"/>
    </row>
    <row r="8" ht="30" customHeight="1">
      <c r="B8" s="17" t="inlineStr">
        <is>
          <t>Brookfield (NYSE:BIP) - inclusion dans les composites</t>
        </is>
      </c>
      <c r="C8" s="23" t="n">
        <v>0</v>
      </c>
      <c r="D8" s="19" t="inlineStr">
        <is>
          <t>1/0</t>
        </is>
      </c>
      <c r="E8" s="20" t="inlineStr">
        <is>
          <t>Exclu : les distributions d'actions BIPC de mars 2020 et juin 2022 ne sont probablement pas ajustées dans la série de cours (rendement total sous-estimé).</t>
        </is>
      </c>
      <c r="F8" s="21" t="n"/>
      <c r="G8" s="21" t="n"/>
      <c r="H8" s="21" t="n"/>
    </row>
    <row r="9" ht="30" customHeight="1">
      <c r="B9" s="17" t="inlineStr">
        <is>
          <t>INFR (LSE) - début des statistiques</t>
        </is>
      </c>
      <c r="C9" s="18" t="n">
        <v>42370</v>
      </c>
      <c r="D9" s="19" t="inlineStr">
        <is>
          <t>date</t>
        </is>
      </c>
      <c r="E9" s="20" t="inlineStr">
        <is>
          <t>Quatre points aberrants de la source (pence et livres mélangés) avant cette date ; mois antérieurs ignorés dans les rendements.</t>
        </is>
      </c>
      <c r="F9" s="21" t="n"/>
      <c r="G9" s="21" t="n"/>
      <c r="H9" s="21" t="n"/>
    </row>
    <row r="10" ht="30" customHeight="1">
      <c r="B10" s="17" t="inlineStr">
        <is>
          <t>Seuil d'exclusion d'un rendement mensuel aberrant</t>
        </is>
      </c>
      <c r="C10" s="22" t="n">
        <v>0.6</v>
      </c>
      <c r="D10" s="19" t="inlineStr">
        <is>
          <t>log</t>
        </is>
      </c>
      <c r="E10" s="20" t="inlineStr">
        <is>
          <t>Un rendement mensuel dont la valeur absolue en logarithme dépasse ce seuil est ignoré (erreur de source). Mars 2020 reste en deçà pour toutes les séries.</t>
        </is>
      </c>
      <c r="F10" s="21" t="n"/>
      <c r="G10" s="21" t="n"/>
      <c r="H10" s="21" t="n"/>
    </row>
    <row r="11" ht="30" customHeight="1">
      <c r="B11" s="17" t="inlineStr">
        <is>
          <t>Fenêtre glissante des pires performances</t>
        </is>
      </c>
      <c r="C11" s="23" t="n">
        <v>12</v>
      </c>
      <c r="D11" s="19" t="inlineStr">
        <is>
          <t>mois</t>
        </is>
      </c>
      <c r="E11" s="20" t="inlineStr"/>
      <c r="F11" s="21" t="n"/>
      <c r="G11" s="21" t="n"/>
      <c r="H11" s="21" t="n"/>
    </row>
    <row r="13">
      <c r="B13" s="12" t="inlineStr">
        <is>
          <t>INCLUSION DANS LES COMPOSITES   1 = inclus, 0 = exclu</t>
        </is>
      </c>
    </row>
    <row r="14" ht="30" customHeight="1">
      <c r="B14" s="3" t="inlineStr">
        <is>
          <t>Ticker</t>
        </is>
      </c>
      <c r="C14" s="3" t="inlineStr">
        <is>
          <t>Composite</t>
        </is>
      </c>
      <c r="D14" s="4" t="inlineStr">
        <is>
          <t>C1 Infrastructure capital</t>
        </is>
      </c>
      <c r="E14" s="4" t="inlineStr">
        <is>
          <t>C2 Dette d'infrastructure</t>
        </is>
      </c>
      <c r="F14" s="4" t="inlineStr">
        <is>
          <t>C3 Direct lending</t>
        </is>
      </c>
      <c r="G14" s="4" t="inlineStr">
        <is>
          <t>C4 Poche liquide</t>
        </is>
      </c>
      <c r="H14" s="4" t="inlineStr">
        <is>
          <t>Commentaire</t>
        </is>
      </c>
    </row>
    <row r="15">
      <c r="B15" s="24" t="inlineStr">
        <is>
          <t>NasdaqGM:IGF</t>
        </is>
      </c>
      <c r="C15" s="17" t="inlineStr">
        <is>
          <t>C1</t>
        </is>
      </c>
      <c r="D15" s="25" t="n">
        <v>1</v>
      </c>
      <c r="E15" s="25" t="n">
        <v>0</v>
      </c>
      <c r="F15" s="25" t="n">
        <v>0</v>
      </c>
      <c r="G15" s="25" t="n">
        <v>0</v>
      </c>
      <c r="H15" s="19" t="inlineStr"/>
    </row>
    <row r="16">
      <c r="B16" s="24" t="inlineStr">
        <is>
          <t>LSE:INFR</t>
        </is>
      </c>
      <c r="C16" s="17" t="inlineStr">
        <is>
          <t>C1</t>
        </is>
      </c>
      <c r="D16" s="25" t="n">
        <v>1</v>
      </c>
      <c r="E16" s="25" t="n">
        <v>0</v>
      </c>
      <c r="F16" s="25" t="n">
        <v>0</v>
      </c>
      <c r="G16" s="25" t="n">
        <v>0</v>
      </c>
      <c r="H16" s="19" t="inlineStr"/>
    </row>
    <row r="17">
      <c r="B17" s="24" t="inlineStr">
        <is>
          <t>LSE:3IN</t>
        </is>
      </c>
      <c r="C17" s="17" t="inlineStr">
        <is>
          <t>C1</t>
        </is>
      </c>
      <c r="D17" s="25" t="n">
        <v>1</v>
      </c>
      <c r="E17" s="25" t="n">
        <v>0</v>
      </c>
      <c r="F17" s="25" t="n">
        <v>0</v>
      </c>
      <c r="G17" s="25" t="n">
        <v>0</v>
      </c>
      <c r="H17" s="19" t="inlineStr"/>
    </row>
    <row r="18">
      <c r="B18" s="24" t="inlineStr">
        <is>
          <t>LSE:HICL</t>
        </is>
      </c>
      <c r="C18" s="17" t="inlineStr">
        <is>
          <t>C1</t>
        </is>
      </c>
      <c r="D18" s="25" t="n">
        <v>1</v>
      </c>
      <c r="E18" s="25" t="n">
        <v>0</v>
      </c>
      <c r="F18" s="25" t="n">
        <v>0</v>
      </c>
      <c r="G18" s="25" t="n">
        <v>0</v>
      </c>
      <c r="H18" s="19" t="inlineStr"/>
    </row>
    <row r="19">
      <c r="B19" s="24" t="inlineStr">
        <is>
          <t>LSE:INPP</t>
        </is>
      </c>
      <c r="C19" s="17" t="inlineStr">
        <is>
          <t>C1</t>
        </is>
      </c>
      <c r="D19" s="25" t="n">
        <v>1</v>
      </c>
      <c r="E19" s="25" t="n">
        <v>0</v>
      </c>
      <c r="F19" s="25" t="n">
        <v>0</v>
      </c>
      <c r="G19" s="25" t="n">
        <v>0</v>
      </c>
      <c r="H19" s="19" t="inlineStr"/>
    </row>
    <row r="20">
      <c r="B20" s="24" t="inlineStr">
        <is>
          <t>LSE:SEQI</t>
        </is>
      </c>
      <c r="C20" s="17" t="inlineStr">
        <is>
          <t>C2</t>
        </is>
      </c>
      <c r="D20" s="25" t="n">
        <v>0</v>
      </c>
      <c r="E20" s="25" t="n">
        <v>1</v>
      </c>
      <c r="F20" s="25" t="n">
        <v>0</v>
      </c>
      <c r="G20" s="25" t="n">
        <v>0</v>
      </c>
      <c r="H20" s="19" t="inlineStr"/>
    </row>
    <row r="21">
      <c r="B21" s="24" t="inlineStr">
        <is>
          <t>LSE:GCP</t>
        </is>
      </c>
      <c r="C21" s="17" t="inlineStr">
        <is>
          <t>C2</t>
        </is>
      </c>
      <c r="D21" s="25" t="n">
        <v>0</v>
      </c>
      <c r="E21" s="25" t="n">
        <v>1</v>
      </c>
      <c r="F21" s="25" t="n">
        <v>0</v>
      </c>
      <c r="G21" s="25" t="n">
        <v>0</v>
      </c>
      <c r="H21" s="19" t="inlineStr"/>
    </row>
    <row r="22">
      <c r="B22" s="24" t="inlineStr">
        <is>
          <t>NYSE:BIP</t>
        </is>
      </c>
      <c r="C22" s="17" t="inlineStr">
        <is>
          <t>C1</t>
        </is>
      </c>
      <c r="D22" s="25">
        <f>BIP_inclus</f>
        <v/>
      </c>
      <c r="E22" s="25" t="n">
        <v>0</v>
      </c>
      <c r="F22" s="25" t="n">
        <v>0</v>
      </c>
      <c r="G22" s="25" t="n">
        <v>0</v>
      </c>
      <c r="H22" s="19" t="inlineStr">
        <is>
          <t>Exclu par défaut (voir paramètre BIP)</t>
        </is>
      </c>
    </row>
    <row r="23">
      <c r="B23" s="24" t="inlineStr">
        <is>
          <t>KOSE:A088980</t>
        </is>
      </c>
      <c r="C23" s="17" t="inlineStr">
        <is>
          <t>C1</t>
        </is>
      </c>
      <c r="D23" s="25" t="n">
        <v>1</v>
      </c>
      <c r="E23" s="25" t="n">
        <v>0</v>
      </c>
      <c r="F23" s="25" t="n">
        <v>0</v>
      </c>
      <c r="G23" s="25" t="n">
        <v>0</v>
      </c>
      <c r="H23" s="19" t="inlineStr"/>
    </row>
    <row r="24">
      <c r="B24" s="24" t="inlineStr">
        <is>
          <t>ARCA:BKLN</t>
        </is>
      </c>
      <c r="C24" s="17" t="inlineStr">
        <is>
          <t>C4</t>
        </is>
      </c>
      <c r="D24" s="25" t="n">
        <v>0</v>
      </c>
      <c r="E24" s="25" t="n">
        <v>0</v>
      </c>
      <c r="F24" s="25" t="n">
        <v>0</v>
      </c>
      <c r="G24" s="25" t="n">
        <v>1</v>
      </c>
      <c r="H24" s="19" t="inlineStr"/>
    </row>
    <row r="25">
      <c r="B25" s="24" t="inlineStr">
        <is>
          <t>ARCA:HYG</t>
        </is>
      </c>
      <c r="C25" s="17" t="inlineStr">
        <is>
          <t>C4</t>
        </is>
      </c>
      <c r="D25" s="25" t="n">
        <v>0</v>
      </c>
      <c r="E25" s="25" t="n">
        <v>0</v>
      </c>
      <c r="F25" s="25" t="n">
        <v>0</v>
      </c>
      <c r="G25" s="25" t="n">
        <v>1</v>
      </c>
      <c r="H25" s="19" t="inlineStr"/>
    </row>
    <row r="26">
      <c r="B26" s="24" t="inlineStr">
        <is>
          <t>LSE:IHYG</t>
        </is>
      </c>
      <c r="C26" s="17" t="inlineStr">
        <is>
          <t>C4</t>
        </is>
      </c>
      <c r="D26" s="25" t="n">
        <v>0</v>
      </c>
      <c r="E26" s="25" t="n">
        <v>0</v>
      </c>
      <c r="F26" s="25" t="n">
        <v>0</v>
      </c>
      <c r="G26" s="25" t="n">
        <v>1</v>
      </c>
      <c r="H26" s="19" t="inlineStr"/>
    </row>
    <row r="27">
      <c r="B27" s="24" t="inlineStr">
        <is>
          <t>NasdaqGS:ARCC</t>
        </is>
      </c>
      <c r="C27" s="17" t="inlineStr">
        <is>
          <t>C3</t>
        </is>
      </c>
      <c r="D27" s="25" t="n">
        <v>0</v>
      </c>
      <c r="E27" s="25" t="n">
        <v>0</v>
      </c>
      <c r="F27" s="25" t="n">
        <v>1</v>
      </c>
      <c r="G27" s="25" t="n">
        <v>0</v>
      </c>
      <c r="H27" s="19" t="inlineStr"/>
    </row>
    <row r="28">
      <c r="B28" s="24" t="inlineStr">
        <is>
          <t>ARCA:BIZD</t>
        </is>
      </c>
      <c r="C28" s="17" t="inlineStr">
        <is>
          <t>C3</t>
        </is>
      </c>
      <c r="D28" s="25" t="n">
        <v>0</v>
      </c>
      <c r="E28" s="25" t="n">
        <v>0</v>
      </c>
      <c r="F28" s="25" t="n">
        <v>1</v>
      </c>
      <c r="G28" s="25" t="n">
        <v>0</v>
      </c>
      <c r="H28" s="19" t="inlineStr"/>
    </row>
    <row r="30">
      <c r="B30" s="12" t="inlineStr">
        <is>
          <t>PONDÉRATION DU CONTRÔLE COTÉ DU PORTEFEUILLE   allocation cible du Fonds projetée sur les composites</t>
        </is>
      </c>
    </row>
    <row r="31" ht="30" customHeight="1">
      <c r="B31" s="3" t="inlineStr">
        <is>
          <t>Ligne du Fonds</t>
        </is>
      </c>
      <c r="C31" s="4" t="inlineStr">
        <is>
          <t>Poids</t>
        </is>
      </c>
      <c r="D31" s="4" t="inlineStr">
        <is>
          <t>C1</t>
        </is>
      </c>
      <c r="E31" s="4" t="inlineStr">
        <is>
          <t>C2</t>
        </is>
      </c>
      <c r="F31" s="4" t="inlineStr">
        <is>
          <t>C3</t>
        </is>
      </c>
      <c r="G31" s="4" t="inlineStr">
        <is>
          <t>C4</t>
        </is>
      </c>
      <c r="H31" s="4" t="inlineStr">
        <is>
          <t>Commentaire</t>
        </is>
      </c>
    </row>
    <row r="32">
      <c r="B32" s="24" t="inlineStr">
        <is>
          <t>MAPIF II</t>
        </is>
      </c>
      <c r="C32" s="26" t="n">
        <v>0.34</v>
      </c>
      <c r="D32" s="27" t="n">
        <v>1</v>
      </c>
      <c r="E32" s="27" t="n">
        <v>0</v>
      </c>
      <c r="F32" s="27" t="n">
        <v>0</v>
      </c>
      <c r="G32" s="27" t="n">
        <v>0</v>
      </c>
      <c r="H32" s="19" t="inlineStr">
        <is>
          <t>Secondaires d'infrastructure : capital</t>
        </is>
      </c>
    </row>
    <row r="33">
      <c r="B33" s="24" t="inlineStr">
        <is>
          <t>MSIG 3</t>
        </is>
      </c>
      <c r="C33" s="26" t="n">
        <v>0.17</v>
      </c>
      <c r="D33" s="27" t="n">
        <v>0</v>
      </c>
      <c r="E33" s="27" t="n">
        <v>0</v>
      </c>
      <c r="F33" s="27" t="n">
        <v>1</v>
      </c>
      <c r="G33" s="27" t="n">
        <v>0</v>
      </c>
      <c r="H33" s="19" t="inlineStr">
        <is>
          <t>Dette privée d'infrastructure : direct lending</t>
        </is>
      </c>
    </row>
    <row r="34">
      <c r="B34" s="24" t="inlineStr">
        <is>
          <t>PG NGI</t>
        </is>
      </c>
      <c r="C34" s="26" t="n">
        <v>0.17</v>
      </c>
      <c r="D34" s="27" t="n">
        <v>1</v>
      </c>
      <c r="E34" s="27" t="n">
        <v>0</v>
      </c>
      <c r="F34" s="27" t="n">
        <v>0</v>
      </c>
      <c r="G34" s="27" t="n">
        <v>0</v>
      </c>
      <c r="H34" s="19" t="inlineStr">
        <is>
          <t>Value add : capital (BIP serait le proxy le plus proche, exclu)</t>
        </is>
      </c>
    </row>
    <row r="35">
      <c r="B35" s="24" t="inlineStr">
        <is>
          <t>Ares AGI</t>
        </is>
      </c>
      <c r="C35" s="26" t="n">
        <v>0.17</v>
      </c>
      <c r="D35" s="27" t="n">
        <v>0.6</v>
      </c>
      <c r="E35" s="27" t="n">
        <v>0</v>
      </c>
      <c r="F35" s="27" t="n">
        <v>0.2</v>
      </c>
      <c r="G35" s="27" t="n">
        <v>0.2</v>
      </c>
      <c r="H35" s="19" t="inlineStr">
        <is>
          <t>60 % infrastructure, 20 % dette privée, 20 % liquide et HY</t>
        </is>
      </c>
    </row>
    <row r="36">
      <c r="B36" s="24" t="inlineStr">
        <is>
          <t>Actifs liquides</t>
        </is>
      </c>
      <c r="C36" s="26" t="n">
        <v>0.15</v>
      </c>
      <c r="D36" s="27" t="n">
        <v>0</v>
      </c>
      <c r="E36" s="27" t="n">
        <v>0</v>
      </c>
      <c r="F36" s="27" t="n">
        <v>0</v>
      </c>
      <c r="G36" s="27" t="n">
        <v>1</v>
      </c>
      <c r="H36" s="19" t="inlineStr">
        <is>
          <t>Monétaire et haut rendement</t>
        </is>
      </c>
    </row>
    <row r="37">
      <c r="B37" s="28" t="inlineStr">
        <is>
          <t>Poids des composites dans le contrôle coté</t>
        </is>
      </c>
      <c r="C37" s="29">
        <f>SUM(C32:C36)</f>
        <v/>
      </c>
      <c r="D37" s="30">
        <f>SUMPRODUCT($C$32:$C$36,D32:D36)</f>
        <v/>
      </c>
      <c r="E37" s="30">
        <f>SUMPRODUCT($C$32:$C$36,E32:E36)</f>
        <v/>
      </c>
      <c r="F37" s="30">
        <f>SUMPRODUCT($C$32:$C$36,F32:F36)</f>
        <v/>
      </c>
      <c r="G37" s="30">
        <f>SUMPRODUCT($C$32:$C$36,G32:G36)</f>
        <v/>
      </c>
      <c r="H37" s="31" t="n"/>
    </row>
  </sheetData>
  <mergeCells count="7">
    <mergeCell ref="E9:H9"/>
    <mergeCell ref="E8:H8"/>
    <mergeCell ref="E6:H6"/>
    <mergeCell ref="E7:H7"/>
    <mergeCell ref="B3:H3"/>
    <mergeCell ref="E10:H10"/>
    <mergeCell ref="E11:H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P184"/>
  <sheetViews>
    <sheetView showGridLines="0" workbookViewId="0">
      <selection activeCell="A1" sqref="A1"/>
    </sheetView>
  </sheetViews>
  <sheetFormatPr baseColWidth="8" defaultRowHeight="15"/>
  <cols>
    <col width="2" customWidth="1" min="1" max="1"/>
    <col width="1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2">
      <c r="B2" s="1" t="inlineStr">
        <is>
          <t>HISTORIQUE COURS - clôture de fin de mois, devise de cotation (LSE en livres)</t>
        </is>
      </c>
    </row>
    <row r="3" ht="42" customHeight="1">
      <c r="B3" s="2" t="inlineStr">
        <is>
          <t>Clôture non ajustée, telle que publiée par la source. Mois en cours exclu. Information seulement : les calculs utilisent l'onglet Brut ajusté puis Historique ajusté.</t>
        </is>
      </c>
    </row>
    <row r="5" ht="30" customHeight="1">
      <c r="B5" s="3" t="inlineStr">
        <is>
          <t>Mois</t>
        </is>
      </c>
      <c r="C5" s="4" t="inlineStr">
        <is>
          <t>NasdaqGM:IGF</t>
        </is>
      </c>
      <c r="D5" s="4" t="inlineStr">
        <is>
          <t>LSE:INFR</t>
        </is>
      </c>
      <c r="E5" s="4" t="inlineStr">
        <is>
          <t>LSE:3IN</t>
        </is>
      </c>
      <c r="F5" s="4" t="inlineStr">
        <is>
          <t>LSE:HICL</t>
        </is>
      </c>
      <c r="G5" s="4" t="inlineStr">
        <is>
          <t>LSE:INPP</t>
        </is>
      </c>
      <c r="H5" s="4" t="inlineStr">
        <is>
          <t>LSE:SEQI</t>
        </is>
      </c>
      <c r="I5" s="4" t="inlineStr">
        <is>
          <t>LSE:GCP</t>
        </is>
      </c>
      <c r="J5" s="4" t="inlineStr">
        <is>
          <t>NYSE:BIP</t>
        </is>
      </c>
      <c r="K5" s="4" t="inlineStr">
        <is>
          <t>KOSE:A088980</t>
        </is>
      </c>
      <c r="L5" s="4" t="inlineStr">
        <is>
          <t>ARCA:BKLN</t>
        </is>
      </c>
      <c r="M5" s="4" t="inlineStr">
        <is>
          <t>ARCA:HYG</t>
        </is>
      </c>
      <c r="N5" s="4" t="inlineStr">
        <is>
          <t>LSE:IHYG</t>
        </is>
      </c>
      <c r="O5" s="4" t="inlineStr">
        <is>
          <t>NasdaqGS:ARCC</t>
        </is>
      </c>
      <c r="P5" s="4" t="inlineStr">
        <is>
          <t>ARCA:BIZD</t>
        </is>
      </c>
    </row>
    <row r="6">
      <c r="B6" s="32" t="n">
        <v>40848</v>
      </c>
      <c r="C6" s="33" t="n">
        <v>34.15999984741211</v>
      </c>
      <c r="D6" s="33" t="n">
        <v>13.65</v>
      </c>
      <c r="E6" s="33" t="n">
        <v>1.702962036132813</v>
      </c>
      <c r="F6" s="33" t="n">
        <v>1.173000030517578</v>
      </c>
      <c r="G6" s="33" t="n">
        <v>1.184347991943359</v>
      </c>
      <c r="I6" s="33" t="n">
        <v>1.003343963623047</v>
      </c>
      <c r="J6" s="33" t="n">
        <v>10.17857074737549</v>
      </c>
      <c r="K6" s="33" t="n">
        <v>5050</v>
      </c>
      <c r="L6" s="33" t="n">
        <v>23.90999984741211</v>
      </c>
      <c r="M6" s="33" t="n">
        <v>86.59999847412109</v>
      </c>
      <c r="N6" s="33" t="n">
        <v>93.54000091552734</v>
      </c>
      <c r="O6" s="33" t="n">
        <v>15.5600004196167</v>
      </c>
    </row>
    <row r="7">
      <c r="B7" s="32" t="n">
        <v>40878</v>
      </c>
      <c r="C7" s="33" t="n">
        <v>33.20000076293945</v>
      </c>
      <c r="D7" s="33" t="n">
        <v>14.0125</v>
      </c>
      <c r="E7" s="33" t="n">
        <v>1.688887939453125</v>
      </c>
      <c r="F7" s="33" t="n">
        <v>1.178000030517578</v>
      </c>
      <c r="G7" s="33" t="n">
        <v>1.209000015258789</v>
      </c>
      <c r="I7" s="33" t="n">
        <v>1.04125</v>
      </c>
      <c r="J7" s="33" t="n">
        <v>10.99206256866455</v>
      </c>
      <c r="K7" s="33" t="n">
        <v>5000</v>
      </c>
      <c r="L7" s="33" t="n">
        <v>23.80999946594238</v>
      </c>
      <c r="M7" s="33" t="n">
        <v>89.43000030517578</v>
      </c>
      <c r="N7" s="33" t="n">
        <v>95.72499847412109</v>
      </c>
      <c r="O7" s="33" t="n">
        <v>15.44999980926514</v>
      </c>
    </row>
    <row r="8">
      <c r="B8" s="32" t="n">
        <v>40909</v>
      </c>
      <c r="C8" s="33" t="n">
        <v>34.13000106811523</v>
      </c>
      <c r="D8" s="33" t="n">
        <v>13.455</v>
      </c>
      <c r="E8" s="33" t="n">
        <v>1.690294952392578</v>
      </c>
      <c r="F8" s="33" t="n">
        <v>1.176999969482422</v>
      </c>
      <c r="G8" s="33" t="n">
        <v>1.205336990356445</v>
      </c>
      <c r="I8" s="33" t="n">
        <v>1.07625</v>
      </c>
      <c r="J8" s="33" t="n">
        <v>11.57539653778076</v>
      </c>
      <c r="K8" s="33" t="n">
        <v>5080</v>
      </c>
      <c r="L8" s="33" t="n">
        <v>24.42000007629395</v>
      </c>
      <c r="M8" s="33" t="n">
        <v>90.73999786376953</v>
      </c>
      <c r="N8" s="33" t="n">
        <v>101.5999984741211</v>
      </c>
      <c r="O8" s="33" t="n">
        <v>15.85000038146973</v>
      </c>
    </row>
    <row r="9">
      <c r="B9" s="32" t="n">
        <v>40940</v>
      </c>
      <c r="C9" s="33" t="n">
        <v>35.34000015258789</v>
      </c>
      <c r="D9" s="33" t="n">
        <v>13.665</v>
      </c>
      <c r="E9" s="33" t="n">
        <v>1.708591003417969</v>
      </c>
      <c r="F9" s="33" t="n">
        <v>1.19</v>
      </c>
      <c r="G9" s="33" t="n">
        <v>1.178350982666016</v>
      </c>
      <c r="I9" s="33" t="n">
        <v>1.0575</v>
      </c>
      <c r="J9" s="33" t="n">
        <v>11.78968334197998</v>
      </c>
      <c r="K9" s="33" t="n">
        <v>5380</v>
      </c>
      <c r="L9" s="33" t="n">
        <v>24.45999908447266</v>
      </c>
      <c r="M9" s="33" t="n">
        <v>92.12999725341797</v>
      </c>
      <c r="N9" s="33" t="n">
        <v>101.3399963378906</v>
      </c>
      <c r="O9" s="33" t="n">
        <v>16.67000007629395</v>
      </c>
    </row>
    <row r="10">
      <c r="B10" s="32" t="n">
        <v>40969</v>
      </c>
      <c r="C10" s="33" t="n">
        <v>35.40999984741211</v>
      </c>
      <c r="D10" s="33" t="n">
        <v>13.8125</v>
      </c>
      <c r="E10" s="33" t="n">
        <v>1.752221069335937</v>
      </c>
      <c r="F10" s="33" t="n">
        <v>1.204000015258789</v>
      </c>
      <c r="G10" s="33" t="n">
        <v>1.195999984741211</v>
      </c>
      <c r="I10" s="33" t="n">
        <v>1.05625</v>
      </c>
      <c r="J10" s="33" t="n">
        <v>12.53968334197998</v>
      </c>
      <c r="K10" s="33" t="n">
        <v>5580</v>
      </c>
      <c r="L10" s="33" t="n">
        <v>24.57999992370605</v>
      </c>
      <c r="M10" s="33" t="n">
        <v>90.72000122070312</v>
      </c>
      <c r="N10" s="33" t="n">
        <v>102.629997253418</v>
      </c>
      <c r="O10" s="33" t="n">
        <v>16.35000038146973</v>
      </c>
    </row>
    <row r="11">
      <c r="B11" s="32" t="n">
        <v>41000</v>
      </c>
      <c r="C11" s="33" t="n">
        <v>35.52000045776367</v>
      </c>
      <c r="D11" s="33" t="n">
        <v>13.45</v>
      </c>
      <c r="E11" s="33" t="n">
        <v>1.776147003173828</v>
      </c>
      <c r="F11" s="33" t="n">
        <v>1.2</v>
      </c>
      <c r="G11" s="33" t="n">
        <v>1.176352996826172</v>
      </c>
      <c r="I11" s="33" t="n">
        <v>1.05375</v>
      </c>
      <c r="J11" s="33" t="n">
        <v>12.51587295532227</v>
      </c>
      <c r="K11" s="33" t="n">
        <v>5540</v>
      </c>
      <c r="L11" s="33" t="n">
        <v>24.59000015258789</v>
      </c>
      <c r="M11" s="33" t="n">
        <v>91.19999694824219</v>
      </c>
      <c r="N11" s="33" t="n">
        <v>101.6600036621094</v>
      </c>
      <c r="O11" s="33" t="n">
        <v>16.04000091552734</v>
      </c>
    </row>
    <row r="12">
      <c r="B12" s="32" t="n">
        <v>41030</v>
      </c>
      <c r="C12" s="33" t="n">
        <v>32.7400016784668</v>
      </c>
      <c r="D12" s="33" t="n">
        <v>13.39</v>
      </c>
      <c r="E12" s="33" t="n">
        <v>1.745184020996094</v>
      </c>
      <c r="F12" s="33" t="n">
        <v>1.206999969482422</v>
      </c>
      <c r="G12" s="33" t="n">
        <v>1.165</v>
      </c>
      <c r="I12" s="33" t="n">
        <v>1.04125</v>
      </c>
      <c r="J12" s="33" t="n">
        <v>12.42063522338867</v>
      </c>
      <c r="K12" s="33" t="n">
        <v>5880</v>
      </c>
      <c r="L12" s="33" t="n">
        <v>24.13999938964844</v>
      </c>
      <c r="M12" s="33" t="n">
        <v>87.76999664306641</v>
      </c>
      <c r="N12" s="33" t="n">
        <v>99.31999969482422</v>
      </c>
      <c r="O12" s="33" t="n">
        <v>15.09000015258789</v>
      </c>
    </row>
    <row r="13">
      <c r="B13" s="32" t="n">
        <v>41061</v>
      </c>
      <c r="C13" s="33" t="n">
        <v>33.95999908447266</v>
      </c>
      <c r="D13" s="33" t="n">
        <v>13.9325</v>
      </c>
      <c r="E13" s="33" t="n">
        <v>1.708591003417969</v>
      </c>
      <c r="F13" s="33" t="n">
        <v>1.185</v>
      </c>
      <c r="G13" s="33" t="n">
        <v>1.184000015258789</v>
      </c>
      <c r="I13" s="33" t="n">
        <v>1.045</v>
      </c>
      <c r="J13" s="33" t="n">
        <v>13.32142925262451</v>
      </c>
      <c r="K13" s="33" t="n">
        <v>6040</v>
      </c>
      <c r="L13" s="33" t="n">
        <v>24.3799991607666</v>
      </c>
      <c r="M13" s="33" t="n">
        <v>91.29000091552734</v>
      </c>
      <c r="N13" s="33" t="n">
        <v>102.7399978637695</v>
      </c>
      <c r="O13" s="33" t="n">
        <v>15.96000003814697</v>
      </c>
    </row>
    <row r="14">
      <c r="B14" s="32" t="n">
        <v>41091</v>
      </c>
      <c r="C14" s="33" t="n">
        <v>34.27000045776367</v>
      </c>
      <c r="D14" s="33" t="n">
        <v>13.7875</v>
      </c>
      <c r="E14" s="33" t="n">
        <v>1.73533203125</v>
      </c>
      <c r="F14" s="33" t="n">
        <v>1.213000030517578</v>
      </c>
      <c r="G14" s="33" t="n">
        <v>1.216999969482422</v>
      </c>
      <c r="I14" s="33" t="n">
        <v>1.0675</v>
      </c>
      <c r="J14" s="33" t="n">
        <v>13.2023811340332</v>
      </c>
      <c r="K14" s="33" t="n">
        <v>6160</v>
      </c>
      <c r="L14" s="33" t="n">
        <v>24.56999969482422</v>
      </c>
      <c r="M14" s="33" t="n">
        <v>91.69999694824219</v>
      </c>
      <c r="N14" s="33" t="n">
        <v>104.3850021362305</v>
      </c>
      <c r="O14" s="33" t="n">
        <v>16.6299991607666</v>
      </c>
    </row>
    <row r="15">
      <c r="B15" s="32" t="n">
        <v>41122</v>
      </c>
      <c r="C15" s="33" t="n">
        <v>34.45000076293945</v>
      </c>
      <c r="D15" s="33" t="n">
        <v>13.575</v>
      </c>
      <c r="E15" s="33" t="n">
        <v>1.770516967773438</v>
      </c>
      <c r="F15" s="33" t="n">
        <v>1.23</v>
      </c>
      <c r="G15" s="33" t="n">
        <v>1.243000030517578</v>
      </c>
      <c r="I15" s="33" t="n">
        <v>1.06625</v>
      </c>
      <c r="J15" s="33" t="n">
        <v>13.56349182128906</v>
      </c>
      <c r="K15" s="33" t="n">
        <v>6690</v>
      </c>
      <c r="L15" s="33" t="n">
        <v>24.77000045776367</v>
      </c>
      <c r="M15" s="33" t="n">
        <v>92.33000183105469</v>
      </c>
      <c r="N15" s="33" t="n">
        <v>102.629997253418</v>
      </c>
      <c r="O15" s="33" t="n">
        <v>17.27000045776367</v>
      </c>
    </row>
    <row r="16">
      <c r="B16" s="32" t="n">
        <v>41153</v>
      </c>
      <c r="C16" s="33" t="n">
        <v>35.25</v>
      </c>
      <c r="D16" s="33" t="n">
        <v>13.5375</v>
      </c>
      <c r="E16" s="33" t="n">
        <v>1.780368957519531</v>
      </c>
      <c r="F16" s="33" t="n">
        <v>1.214000015258789</v>
      </c>
      <c r="G16" s="33" t="n">
        <v>1.216999969482422</v>
      </c>
      <c r="I16" s="33" t="n">
        <v>1.06625</v>
      </c>
      <c r="J16" s="33" t="n">
        <v>14.10714340209961</v>
      </c>
      <c r="K16" s="33" t="n">
        <v>6500</v>
      </c>
      <c r="L16" s="33" t="n">
        <v>24.95000076293945</v>
      </c>
      <c r="M16" s="33" t="n">
        <v>92.30000305175781</v>
      </c>
      <c r="N16" s="33" t="n">
        <v>103.7949981689453</v>
      </c>
      <c r="O16" s="33" t="n">
        <v>17.13999938964844</v>
      </c>
    </row>
    <row r="17">
      <c r="B17" s="32" t="n">
        <v>41183</v>
      </c>
      <c r="C17" s="33" t="n">
        <v>35.81000137329102</v>
      </c>
      <c r="D17" s="33" t="n">
        <v>13.5575</v>
      </c>
      <c r="E17" s="33" t="n">
        <v>1.767702026367187</v>
      </c>
      <c r="F17" s="33" t="n">
        <v>1.249000015258789</v>
      </c>
      <c r="G17" s="33" t="n">
        <v>1.241999969482422</v>
      </c>
      <c r="I17" s="33" t="n">
        <v>1.1075</v>
      </c>
      <c r="J17" s="33" t="n">
        <v>13.63095188140869</v>
      </c>
      <c r="K17" s="33" t="n">
        <v>6700</v>
      </c>
      <c r="L17" s="33" t="n">
        <v>24.84000015258789</v>
      </c>
      <c r="M17" s="33" t="n">
        <v>92.58999633789062</v>
      </c>
      <c r="N17" s="33" t="n">
        <v>106.3850021362305</v>
      </c>
      <c r="O17" s="33" t="n">
        <v>17.44000053405762</v>
      </c>
    </row>
    <row r="18">
      <c r="B18" s="32" t="n">
        <v>41214</v>
      </c>
      <c r="C18" s="33" t="n">
        <v>35.25</v>
      </c>
      <c r="D18" s="33" t="n">
        <v>13.285</v>
      </c>
      <c r="E18" s="33" t="n">
        <v>1.777554016113281</v>
      </c>
      <c r="F18" s="33" t="n">
        <v>1.249000015258789</v>
      </c>
      <c r="G18" s="33" t="n">
        <v>1.251999969482422</v>
      </c>
      <c r="I18" s="33" t="n">
        <v>1.075</v>
      </c>
      <c r="J18" s="33" t="n">
        <v>13.48015880584717</v>
      </c>
      <c r="K18" s="33" t="n">
        <v>6590</v>
      </c>
      <c r="L18" s="33" t="n">
        <v>24.71999931335449</v>
      </c>
      <c r="M18" s="33" t="n">
        <v>93.05000305175781</v>
      </c>
      <c r="N18" s="33" t="n">
        <v>107.8499984741211</v>
      </c>
      <c r="O18" s="33" t="n">
        <v>17.73999977111816</v>
      </c>
    </row>
    <row r="19">
      <c r="B19" s="32" t="n">
        <v>41244</v>
      </c>
      <c r="C19" s="33" t="n">
        <v>35.70999908447266</v>
      </c>
      <c r="D19" s="33" t="n">
        <v>13.235</v>
      </c>
      <c r="E19" s="33" t="n">
        <v>1.715628051757813</v>
      </c>
      <c r="F19" s="33" t="n">
        <v>1.24</v>
      </c>
      <c r="G19" s="33" t="n">
        <v>1.255999984741211</v>
      </c>
      <c r="I19" s="33" t="n">
        <v>1.07875</v>
      </c>
      <c r="J19" s="33" t="n">
        <v>13.9880952835083</v>
      </c>
      <c r="K19" s="33" t="n">
        <v>6840</v>
      </c>
      <c r="L19" s="33" t="n">
        <v>24.97999954223633</v>
      </c>
      <c r="M19" s="33" t="n">
        <v>93.34999847412109</v>
      </c>
      <c r="N19" s="33" t="n">
        <v>110.2050018310547</v>
      </c>
      <c r="O19" s="33" t="n">
        <v>17.5</v>
      </c>
    </row>
    <row r="20">
      <c r="B20" s="32" t="n">
        <v>41275</v>
      </c>
      <c r="C20" s="33" t="n">
        <v>36.54999923706055</v>
      </c>
      <c r="D20" s="33" t="n">
        <v>13.9475</v>
      </c>
      <c r="E20" s="33" t="n">
        <v>1.760664978027344</v>
      </c>
      <c r="F20" s="33" t="n">
        <v>1.235</v>
      </c>
      <c r="G20" s="33" t="n">
        <v>1.256999969482422</v>
      </c>
      <c r="I20" s="33" t="n">
        <v>1.09</v>
      </c>
      <c r="J20" s="33" t="n">
        <v>14.81746006011963</v>
      </c>
      <c r="K20" s="33" t="n">
        <v>6650</v>
      </c>
      <c r="L20" s="33" t="n">
        <v>25.13999938964844</v>
      </c>
      <c r="M20" s="33" t="n">
        <v>93.66999816894531</v>
      </c>
      <c r="N20" s="33" t="n">
        <v>108.6900024414062</v>
      </c>
      <c r="O20" s="33" t="n">
        <v>17.90999984741211</v>
      </c>
    </row>
    <row r="21">
      <c r="B21" s="32" t="n">
        <v>41306</v>
      </c>
      <c r="C21" s="33" t="n">
        <v>36.34999847412109</v>
      </c>
      <c r="D21" s="33" t="n">
        <v>14.55</v>
      </c>
      <c r="E21" s="33" t="n">
        <v>1.8239990234375</v>
      </c>
      <c r="F21" s="33" t="n">
        <v>1.230999984741211</v>
      </c>
      <c r="G21" s="33" t="n">
        <v>1.263000030517578</v>
      </c>
      <c r="I21" s="33" t="n">
        <v>1.1175</v>
      </c>
      <c r="J21" s="33" t="n">
        <v>15.73412704467773</v>
      </c>
      <c r="K21" s="33" t="n">
        <v>6730</v>
      </c>
      <c r="L21" s="33" t="n">
        <v>25</v>
      </c>
      <c r="M21" s="33" t="n">
        <v>94.04000091552734</v>
      </c>
      <c r="N21" s="33" t="n">
        <v>106.2799987792969</v>
      </c>
      <c r="O21" s="33" t="n">
        <v>18.52000045776367</v>
      </c>
    </row>
    <row r="22">
      <c r="B22" s="32" t="n">
        <v>41334</v>
      </c>
      <c r="C22" s="33" t="n">
        <v>37.16999816894531</v>
      </c>
      <c r="D22" s="33" t="n">
        <v>22.8735791015625</v>
      </c>
      <c r="E22" s="33" t="n">
        <v>1.866221008300781</v>
      </c>
      <c r="F22" s="33" t="n">
        <v>1.164000015258789</v>
      </c>
      <c r="G22" s="33" t="n">
        <v>1.291999969482422</v>
      </c>
      <c r="I22" s="33" t="n">
        <v>1.1425</v>
      </c>
      <c r="J22" s="33" t="n">
        <v>15.10317516326904</v>
      </c>
      <c r="K22" s="33" t="n">
        <v>6740</v>
      </c>
      <c r="L22" s="33" t="n">
        <v>25.10000038146973</v>
      </c>
      <c r="M22" s="33" t="n">
        <v>94.34999847412109</v>
      </c>
      <c r="N22" s="33" t="n">
        <v>106.7200012207031</v>
      </c>
      <c r="O22" s="33" t="n">
        <v>18.10000038146973</v>
      </c>
      <c r="P22" s="33" t="n">
        <v>20.44000053405762</v>
      </c>
    </row>
    <row r="23">
      <c r="B23" s="32" t="n">
        <v>41365</v>
      </c>
      <c r="C23" s="33" t="n">
        <v>38.88000106811523</v>
      </c>
      <c r="D23" s="33" t="n">
        <v>15.4675</v>
      </c>
      <c r="E23" s="33" t="n">
        <v>1.864813995361328</v>
      </c>
      <c r="F23" s="33" t="n">
        <v>1.303999938964844</v>
      </c>
      <c r="G23" s="33" t="n">
        <v>1.285</v>
      </c>
      <c r="I23" s="33" t="n">
        <v>1.1225</v>
      </c>
      <c r="J23" s="33" t="n">
        <v>15.33730220794678</v>
      </c>
      <c r="K23" s="33" t="n">
        <v>6980</v>
      </c>
      <c r="L23" s="33" t="n">
        <v>25.19000053405762</v>
      </c>
      <c r="M23" s="33" t="n">
        <v>95.84999847412109</v>
      </c>
      <c r="N23" s="33" t="n">
        <v>109.0599975585938</v>
      </c>
      <c r="O23" s="33" t="n">
        <v>18.15999984741211</v>
      </c>
      <c r="P23" s="33" t="n">
        <v>20.76000022888184</v>
      </c>
    </row>
    <row r="24">
      <c r="B24" s="32" t="n">
        <v>41395</v>
      </c>
      <c r="C24" s="33" t="n">
        <v>36.61000061035156</v>
      </c>
      <c r="D24" s="33" t="n">
        <v>15.075</v>
      </c>
      <c r="E24" s="33" t="n">
        <v>1.845110015869141</v>
      </c>
      <c r="F24" s="33" t="n">
        <v>1.281000061035156</v>
      </c>
      <c r="G24" s="33" t="n">
        <v>1.291000061035156</v>
      </c>
      <c r="I24" s="33" t="n">
        <v>1.0675</v>
      </c>
      <c r="J24" s="33" t="n">
        <v>14.41269779205322</v>
      </c>
      <c r="K24" s="33" t="n">
        <v>7400</v>
      </c>
      <c r="L24" s="33" t="n">
        <v>25.07999992370605</v>
      </c>
      <c r="M24" s="33" t="n">
        <v>92.91999816894531</v>
      </c>
      <c r="N24" s="33" t="n">
        <v>108.3850021362305</v>
      </c>
      <c r="O24" s="33" t="n">
        <v>17.14999961853027</v>
      </c>
      <c r="P24" s="33" t="n">
        <v>19.97999954223633</v>
      </c>
    </row>
    <row r="25">
      <c r="B25" s="32" t="n">
        <v>41426</v>
      </c>
      <c r="C25" s="33" t="n">
        <v>35.18999862670898</v>
      </c>
      <c r="D25" s="33" t="n">
        <v>14.7525</v>
      </c>
      <c r="E25" s="33" t="n">
        <v>1.890146942138672</v>
      </c>
      <c r="F25" s="33" t="n">
        <v>1.326999969482422</v>
      </c>
      <c r="G25" s="33" t="n">
        <v>1.286999969482422</v>
      </c>
      <c r="I25" s="33" t="n">
        <v>1.085</v>
      </c>
      <c r="J25" s="33" t="n">
        <v>14.49206256866455</v>
      </c>
      <c r="K25" s="33" t="n">
        <v>6840</v>
      </c>
      <c r="L25" s="33" t="n">
        <v>24.75</v>
      </c>
      <c r="M25" s="33" t="n">
        <v>90.87999725341797</v>
      </c>
      <c r="N25" s="33" t="n">
        <v>106.2900009155273</v>
      </c>
      <c r="O25" s="33" t="n">
        <v>17.20000076293945</v>
      </c>
      <c r="P25" s="33" t="n">
        <v>19.93000030517578</v>
      </c>
    </row>
    <row r="26">
      <c r="B26" s="32" t="n">
        <v>41456</v>
      </c>
      <c r="C26" s="33" t="n">
        <v>36.65000152587891</v>
      </c>
      <c r="D26" s="33" t="n">
        <v>15.1825</v>
      </c>
      <c r="E26" s="33" t="n">
        <v>1.914073028564453</v>
      </c>
      <c r="F26" s="33" t="n">
        <v>1.303999938964844</v>
      </c>
      <c r="G26" s="33" t="n">
        <v>1.315</v>
      </c>
      <c r="I26" s="33" t="n">
        <v>1.1</v>
      </c>
      <c r="J26" s="33" t="n">
        <v>14.79365062713623</v>
      </c>
      <c r="K26" s="33" t="n">
        <v>6810</v>
      </c>
      <c r="L26" s="33" t="n">
        <v>24.95000076293945</v>
      </c>
      <c r="M26" s="33" t="n">
        <v>92.98000335693359</v>
      </c>
      <c r="N26" s="33" t="n">
        <v>108.620002746582</v>
      </c>
      <c r="O26" s="33" t="n">
        <v>17.78000068664551</v>
      </c>
      <c r="P26" s="33" t="n">
        <v>20.42000007629395</v>
      </c>
    </row>
    <row r="27">
      <c r="B27" s="32" t="n">
        <v>41487</v>
      </c>
      <c r="C27" s="33" t="n">
        <v>35.40000152587891</v>
      </c>
      <c r="D27" s="33" t="n">
        <v>14.2375</v>
      </c>
      <c r="E27" s="33" t="n">
        <v>1.887332000732422</v>
      </c>
      <c r="F27" s="33" t="n">
        <v>1.321000061035156</v>
      </c>
      <c r="G27" s="33" t="n">
        <v>1.328000030517578</v>
      </c>
      <c r="I27" s="33" t="n">
        <v>1.1075</v>
      </c>
      <c r="J27" s="33" t="n">
        <v>14.04365062713623</v>
      </c>
      <c r="K27" s="33" t="n">
        <v>6840</v>
      </c>
      <c r="L27" s="33" t="n">
        <v>24.71999931335449</v>
      </c>
      <c r="M27" s="33" t="n">
        <v>91.34999847412109</v>
      </c>
      <c r="N27" s="33" t="n">
        <v>104.9800033569336</v>
      </c>
      <c r="O27" s="33" t="n">
        <v>17.57999992370605</v>
      </c>
      <c r="P27" s="33" t="n">
        <v>19.79000091552734</v>
      </c>
    </row>
    <row r="28">
      <c r="B28" s="32" t="n">
        <v>41518</v>
      </c>
      <c r="C28" s="33" t="n">
        <v>37.77000045776367</v>
      </c>
      <c r="D28" s="33" t="n">
        <v>14.205</v>
      </c>
      <c r="E28" s="33" t="n">
        <v>1.874665069580078</v>
      </c>
      <c r="F28" s="33" t="n">
        <v>1.298999938964844</v>
      </c>
      <c r="G28" s="33" t="n">
        <v>1.24</v>
      </c>
      <c r="I28" s="33" t="n">
        <v>1.0925</v>
      </c>
      <c r="J28" s="33" t="n">
        <v>15.08730220794678</v>
      </c>
      <c r="K28" s="33" t="n">
        <v>6610</v>
      </c>
      <c r="L28" s="33" t="n">
        <v>24.68000030517578</v>
      </c>
      <c r="M28" s="33" t="n">
        <v>91.58000183105469</v>
      </c>
      <c r="N28" s="33" t="n">
        <v>106.5699996948242</v>
      </c>
      <c r="O28" s="33" t="n">
        <v>17.29000091552734</v>
      </c>
      <c r="P28" s="33" t="n">
        <v>20.54999923706055</v>
      </c>
    </row>
    <row r="29">
      <c r="B29" s="32" t="n">
        <v>41548</v>
      </c>
      <c r="C29" s="33" t="n">
        <v>39.18999862670898</v>
      </c>
      <c r="D29" s="33" t="n">
        <v>14.625</v>
      </c>
      <c r="E29" s="33" t="n">
        <v>1.914073028564453</v>
      </c>
      <c r="F29" s="33" t="n">
        <v>1.328999938964844</v>
      </c>
      <c r="G29" s="33" t="n">
        <v>1.255999984741211</v>
      </c>
      <c r="I29" s="33" t="n">
        <v>1.1075</v>
      </c>
      <c r="J29" s="33" t="n">
        <v>15.62301635742188</v>
      </c>
      <c r="K29" s="33" t="n">
        <v>6600</v>
      </c>
      <c r="L29" s="33" t="n">
        <v>24.82999992370605</v>
      </c>
      <c r="M29" s="33" t="n">
        <v>93.43000030517578</v>
      </c>
      <c r="N29" s="33" t="n">
        <v>108.3949966430664</v>
      </c>
      <c r="O29" s="33" t="n">
        <v>17.3700008392334</v>
      </c>
      <c r="P29" s="33" t="n">
        <v>20.54000091552734</v>
      </c>
    </row>
    <row r="30">
      <c r="B30" s="32" t="n">
        <v>41579</v>
      </c>
      <c r="C30" s="33" t="n">
        <v>38.77000045776367</v>
      </c>
      <c r="D30" s="33" t="n">
        <v>14.15</v>
      </c>
      <c r="E30" s="33" t="n">
        <v>1.787406005859375</v>
      </c>
      <c r="F30" s="33" t="n">
        <v>1.293000030517578</v>
      </c>
      <c r="G30" s="33" t="n">
        <v>1.245</v>
      </c>
      <c r="I30" s="33" t="n">
        <v>1.085</v>
      </c>
      <c r="J30" s="33" t="n">
        <v>15.1904764175415</v>
      </c>
      <c r="K30" s="33" t="n">
        <v>6610</v>
      </c>
      <c r="L30" s="33" t="n">
        <v>24.81999969482422</v>
      </c>
      <c r="M30" s="33" t="n">
        <v>93.41999816894531</v>
      </c>
      <c r="N30" s="33" t="n">
        <v>109.1350021362305</v>
      </c>
      <c r="O30" s="33" t="n">
        <v>18.3799991607666</v>
      </c>
      <c r="P30" s="33" t="n">
        <v>21.56999969482422</v>
      </c>
    </row>
    <row r="31">
      <c r="B31" s="32" t="n">
        <v>41609</v>
      </c>
      <c r="C31" s="33" t="n">
        <v>38.93999862670898</v>
      </c>
      <c r="D31" s="33" t="n">
        <v>14.125</v>
      </c>
      <c r="E31" s="33" t="n">
        <v>1.878887939453125</v>
      </c>
      <c r="F31" s="33" t="n">
        <v>1.345</v>
      </c>
      <c r="G31" s="33" t="n">
        <v>1.275999984741211</v>
      </c>
      <c r="I31" s="33" t="n">
        <v>1.1275</v>
      </c>
      <c r="J31" s="33" t="n">
        <v>15.56349182128906</v>
      </c>
      <c r="K31" s="33" t="n">
        <v>6110</v>
      </c>
      <c r="L31" s="33" t="n">
        <v>24.8799991607666</v>
      </c>
      <c r="M31" s="33" t="n">
        <v>92.87999725341797</v>
      </c>
      <c r="N31" s="33" t="n">
        <v>110.0849990844727</v>
      </c>
      <c r="O31" s="33" t="n">
        <v>17.77000045776367</v>
      </c>
      <c r="P31" s="33" t="n">
        <v>20.97999954223633</v>
      </c>
    </row>
    <row r="32">
      <c r="B32" s="32" t="n">
        <v>41640</v>
      </c>
      <c r="C32" s="33" t="n">
        <v>38.43000030517578</v>
      </c>
      <c r="D32" s="33" t="n">
        <v>14.1075</v>
      </c>
      <c r="E32" s="33" t="n">
        <v>1.908442993164063</v>
      </c>
      <c r="F32" s="33" t="n">
        <v>1.348000030517578</v>
      </c>
      <c r="G32" s="33" t="n">
        <v>1.281999969482422</v>
      </c>
      <c r="I32" s="33" t="n">
        <v>1.0875</v>
      </c>
      <c r="J32" s="33" t="n">
        <v>14.59920597076416</v>
      </c>
      <c r="K32" s="33" t="n">
        <v>6010</v>
      </c>
      <c r="L32" s="33" t="n">
        <v>24.90999984741211</v>
      </c>
      <c r="M32" s="33" t="n">
        <v>93.25</v>
      </c>
      <c r="N32" s="33" t="n">
        <v>109.9499969482422</v>
      </c>
      <c r="O32" s="33" t="n">
        <v>17.70999908447266</v>
      </c>
      <c r="P32" s="33" t="n">
        <v>20.86000061035156</v>
      </c>
    </row>
    <row r="33">
      <c r="B33" s="32" t="n">
        <v>41671</v>
      </c>
      <c r="C33" s="33" t="n">
        <v>40.20000076293945</v>
      </c>
      <c r="D33" s="33" t="n">
        <v>14.51</v>
      </c>
      <c r="E33" s="33" t="n">
        <v>1.904221038818359</v>
      </c>
      <c r="F33" s="33" t="n">
        <v>1.381999969482422</v>
      </c>
      <c r="G33" s="33" t="n">
        <v>1.303000030517578</v>
      </c>
      <c r="I33" s="33" t="n">
        <v>1.1075</v>
      </c>
      <c r="J33" s="33" t="n">
        <v>14.84127044677734</v>
      </c>
      <c r="K33" s="33" t="n">
        <v>6210</v>
      </c>
      <c r="L33" s="33" t="n">
        <v>24.8700008392334</v>
      </c>
      <c r="M33" s="33" t="n">
        <v>94.93000030517578</v>
      </c>
      <c r="N33" s="33" t="n">
        <v>108.6399993896484</v>
      </c>
      <c r="O33" s="33" t="n">
        <v>18.03000068664551</v>
      </c>
      <c r="P33" s="33" t="n">
        <v>21.20999908447266</v>
      </c>
    </row>
    <row r="34">
      <c r="B34" s="32" t="n">
        <v>41699</v>
      </c>
      <c r="C34" s="33" t="n">
        <v>41.65000152587891</v>
      </c>
      <c r="D34" s="33" t="n">
        <v>14.91</v>
      </c>
      <c r="E34" s="33" t="n">
        <v>1.892962036132813</v>
      </c>
      <c r="F34" s="33" t="n">
        <v>1.358999938964844</v>
      </c>
      <c r="G34" s="33" t="n">
        <v>1.283999938964844</v>
      </c>
      <c r="I34" s="33" t="n">
        <v>1.1025</v>
      </c>
      <c r="J34" s="33" t="n">
        <v>15.65476226806641</v>
      </c>
      <c r="K34" s="33" t="n">
        <v>6470</v>
      </c>
      <c r="L34" s="33" t="n">
        <v>24.80999946594238</v>
      </c>
      <c r="M34" s="33" t="n">
        <v>94.38999938964844</v>
      </c>
      <c r="N34" s="33" t="n">
        <v>109.0800018310547</v>
      </c>
      <c r="O34" s="33" t="n">
        <v>17.6200008392334</v>
      </c>
      <c r="P34" s="33" t="n">
        <v>20.77000045776367</v>
      </c>
    </row>
    <row r="35">
      <c r="B35" s="32" t="n">
        <v>41730</v>
      </c>
      <c r="C35" s="33" t="n">
        <v>42.2599983215332</v>
      </c>
      <c r="D35" s="33" t="n">
        <v>15.0625</v>
      </c>
      <c r="E35" s="33" t="n">
        <v>1.881701965332031</v>
      </c>
      <c r="F35" s="33" t="n">
        <v>1.361999969482422</v>
      </c>
      <c r="G35" s="33" t="n">
        <v>1.275</v>
      </c>
      <c r="I35" s="33" t="n">
        <v>1.1325</v>
      </c>
      <c r="J35" s="33" t="n">
        <v>15.47222232818604</v>
      </c>
      <c r="K35" s="33" t="n">
        <v>6400</v>
      </c>
      <c r="L35" s="33" t="n">
        <v>24.73999977111816</v>
      </c>
      <c r="M35" s="33" t="n">
        <v>94.33999633789062</v>
      </c>
      <c r="N35" s="33" t="n">
        <v>109.9300003051758</v>
      </c>
      <c r="O35" s="33" t="n">
        <v>17.17000007629395</v>
      </c>
      <c r="P35" s="33" t="n">
        <v>19.8799991607666</v>
      </c>
    </row>
    <row r="36">
      <c r="B36" s="32" t="n">
        <v>41760</v>
      </c>
      <c r="C36" s="33" t="n">
        <v>43.40000152587891</v>
      </c>
      <c r="D36" s="33" t="n">
        <v>15.37</v>
      </c>
      <c r="E36" s="33" t="n">
        <v>1.950664978027344</v>
      </c>
      <c r="F36" s="33" t="n">
        <v>1.368999938964844</v>
      </c>
      <c r="G36" s="33" t="n">
        <v>1.296000061035156</v>
      </c>
      <c r="I36" s="33" t="n">
        <v>1.16</v>
      </c>
      <c r="J36" s="33" t="n">
        <v>16.14285659790039</v>
      </c>
      <c r="K36" s="33" t="n">
        <v>6370</v>
      </c>
      <c r="L36" s="33" t="n">
        <v>24.82999992370605</v>
      </c>
      <c r="M36" s="33" t="n">
        <v>95.05000305175781</v>
      </c>
      <c r="N36" s="33" t="n">
        <v>110.1800003051758</v>
      </c>
      <c r="O36" s="33" t="n">
        <v>17.23999977111816</v>
      </c>
      <c r="P36" s="33" t="n">
        <v>19.8799991607666</v>
      </c>
    </row>
    <row r="37">
      <c r="B37" s="32" t="n">
        <v>41791</v>
      </c>
      <c r="C37" s="33" t="n">
        <v>44.33000183105469</v>
      </c>
      <c r="D37" s="33" t="n">
        <v>15.6825</v>
      </c>
      <c r="E37" s="33" t="n">
        <v>1.918294982910156</v>
      </c>
      <c r="F37" s="33" t="n">
        <v>1.398999938964844</v>
      </c>
      <c r="G37" s="33" t="n">
        <v>1.333000030517578</v>
      </c>
      <c r="I37" s="33" t="n">
        <v>1.145</v>
      </c>
      <c r="J37" s="33" t="n">
        <v>16.55555534362793</v>
      </c>
      <c r="K37" s="33" t="n">
        <v>6290</v>
      </c>
      <c r="L37" s="33" t="n">
        <v>24.8700008392334</v>
      </c>
      <c r="M37" s="33" t="n">
        <v>95.19999694824219</v>
      </c>
      <c r="N37" s="33" t="n">
        <v>110.7699966430664</v>
      </c>
      <c r="O37" s="33" t="n">
        <v>17.86000061035156</v>
      </c>
      <c r="P37" s="33" t="n">
        <v>21.06999969482422</v>
      </c>
    </row>
    <row r="38">
      <c r="B38" s="32" t="n">
        <v>41821</v>
      </c>
      <c r="C38" s="33" t="n">
        <v>43.18000030517578</v>
      </c>
      <c r="D38" s="33" t="n">
        <v>15.1525</v>
      </c>
      <c r="E38" s="33" t="n">
        <v>1.922516937255859</v>
      </c>
      <c r="F38" s="33" t="n">
        <v>1.441999969482422</v>
      </c>
      <c r="G38" s="33" t="n">
        <v>1.318999938964844</v>
      </c>
      <c r="I38" s="33" t="n">
        <v>1.14</v>
      </c>
      <c r="J38" s="33" t="n">
        <v>15.73412704467773</v>
      </c>
      <c r="K38" s="33" t="n">
        <v>6600</v>
      </c>
      <c r="L38" s="33" t="n">
        <v>24.61000061035156</v>
      </c>
      <c r="M38" s="33" t="n">
        <v>92.48000335693359</v>
      </c>
      <c r="N38" s="33" t="n">
        <v>110.3199996948242</v>
      </c>
      <c r="O38" s="33" t="n">
        <v>16.70999908447266</v>
      </c>
      <c r="P38" s="33" t="n">
        <v>20</v>
      </c>
    </row>
    <row r="39">
      <c r="B39" s="32" t="n">
        <v>41852</v>
      </c>
      <c r="C39" s="33" t="n">
        <v>44.27999877929688</v>
      </c>
      <c r="D39" s="33" t="n">
        <v>26.2072998046875</v>
      </c>
      <c r="E39" s="33" t="n">
        <v>1.966147003173828</v>
      </c>
      <c r="F39" s="33" t="n">
        <v>1.463999938964844</v>
      </c>
      <c r="G39" s="33" t="n">
        <v>1.355</v>
      </c>
      <c r="I39" s="33" t="n">
        <v>1.1675</v>
      </c>
      <c r="J39" s="33" t="n">
        <v>16.84523773193359</v>
      </c>
      <c r="K39" s="33" t="n">
        <v>6940</v>
      </c>
      <c r="L39" s="33" t="n">
        <v>24.72999954223633</v>
      </c>
      <c r="M39" s="33" t="n">
        <v>94.23999786376953</v>
      </c>
      <c r="N39" s="33" t="n">
        <v>108.4000015258789</v>
      </c>
      <c r="O39" s="33" t="n">
        <v>17.14999961853027</v>
      </c>
      <c r="P39" s="33" t="n">
        <v>20.55999946594238</v>
      </c>
    </row>
    <row r="40">
      <c r="B40" s="32" t="n">
        <v>41883</v>
      </c>
      <c r="C40" s="33" t="n">
        <v>42.43000030517578</v>
      </c>
      <c r="D40" s="33" t="n">
        <v>25.3785009765625</v>
      </c>
      <c r="E40" s="33" t="n">
        <v>1.971775970458984</v>
      </c>
      <c r="F40" s="33" t="n">
        <v>1.441000061035156</v>
      </c>
      <c r="G40" s="33" t="n">
        <v>1.356999969482422</v>
      </c>
      <c r="I40" s="33" t="n">
        <v>1.18</v>
      </c>
      <c r="J40" s="33" t="n">
        <v>15.07936477661133</v>
      </c>
      <c r="K40" s="33" t="n">
        <v>7240</v>
      </c>
      <c r="L40" s="33" t="n">
        <v>24.28000068664551</v>
      </c>
      <c r="M40" s="33" t="n">
        <v>91.94999694824219</v>
      </c>
      <c r="N40" s="33" t="n">
        <v>107.3300018310547</v>
      </c>
      <c r="O40" s="33" t="n">
        <v>16.15999984741211</v>
      </c>
      <c r="P40" s="33" t="n">
        <v>19.60000038146973</v>
      </c>
    </row>
    <row r="41">
      <c r="B41" s="32" t="n">
        <v>41913</v>
      </c>
      <c r="C41" s="33" t="n">
        <v>43.27999877929688</v>
      </c>
      <c r="D41" s="33" t="n">
        <v>16.24</v>
      </c>
      <c r="E41" s="33" t="n">
        <v>2.060442962646484</v>
      </c>
      <c r="F41" s="33" t="n">
        <v>1.481999969482422</v>
      </c>
      <c r="G41" s="33" t="n">
        <v>1.386999969482422</v>
      </c>
      <c r="I41" s="33" t="n">
        <v>1.14</v>
      </c>
      <c r="J41" s="33" t="n">
        <v>16.10714340209961</v>
      </c>
      <c r="K41" s="33" t="n">
        <v>7130</v>
      </c>
      <c r="L41" s="33" t="n">
        <v>24.3799991607666</v>
      </c>
      <c r="M41" s="33" t="n">
        <v>92.52999877929688</v>
      </c>
      <c r="N41" s="33" t="n">
        <v>107.7699966430664</v>
      </c>
      <c r="O41" s="33" t="n">
        <v>15.98999977111816</v>
      </c>
      <c r="P41" s="33" t="n">
        <v>19.39999961853027</v>
      </c>
    </row>
    <row r="42">
      <c r="B42" s="32" t="n">
        <v>41944</v>
      </c>
      <c r="C42" s="33" t="n">
        <v>43.25</v>
      </c>
      <c r="D42" s="33" t="n">
        <v>16.655</v>
      </c>
      <c r="E42" s="33" t="n">
        <v>2.059035949707031</v>
      </c>
      <c r="F42" s="33" t="n">
        <v>1.518999938964844</v>
      </c>
      <c r="G42" s="33" t="n">
        <v>1.363999938964844</v>
      </c>
      <c r="I42" s="33" t="n">
        <v>1.18</v>
      </c>
      <c r="J42" s="33" t="n">
        <v>16.46825408935547</v>
      </c>
      <c r="K42" s="33" t="n">
        <v>7090</v>
      </c>
      <c r="L42" s="33" t="n">
        <v>24.35000038146973</v>
      </c>
      <c r="M42" s="33" t="n">
        <v>91.12999725341797</v>
      </c>
      <c r="N42" s="33" t="n">
        <v>108.6399993896484</v>
      </c>
      <c r="O42" s="33" t="n">
        <v>16.45000076293945</v>
      </c>
      <c r="P42" s="33" t="n">
        <v>19.43000030517578</v>
      </c>
    </row>
    <row r="43">
      <c r="B43" s="32" t="n">
        <v>41974</v>
      </c>
      <c r="C43" s="33" t="n">
        <v>42.15000152587891</v>
      </c>
      <c r="D43" s="33" t="n">
        <v>16.8375</v>
      </c>
      <c r="E43" s="33" t="n">
        <v>2.153332061767578</v>
      </c>
      <c r="F43" s="33" t="n">
        <v>1.525</v>
      </c>
      <c r="G43" s="33" t="n">
        <v>1.351999969482422</v>
      </c>
      <c r="I43" s="33" t="n">
        <v>1.2225</v>
      </c>
      <c r="J43" s="33" t="n">
        <v>16.61507987976074</v>
      </c>
      <c r="K43" s="33" t="n">
        <v>6850</v>
      </c>
      <c r="L43" s="33" t="n">
        <v>24.03000068664551</v>
      </c>
      <c r="M43" s="33" t="n">
        <v>89.59999847412109</v>
      </c>
      <c r="N43" s="33" t="n">
        <v>108.4499969482422</v>
      </c>
      <c r="O43" s="33" t="n">
        <v>15.60999965667725</v>
      </c>
      <c r="P43" s="33" t="n">
        <v>17.93000030517578</v>
      </c>
    </row>
    <row r="44">
      <c r="B44" s="32" t="n">
        <v>42005</v>
      </c>
      <c r="C44" s="33" t="n">
        <v>42.27000045776367</v>
      </c>
      <c r="D44" s="33" t="n">
        <v>17.18</v>
      </c>
      <c r="E44" s="33" t="n">
        <v>2.168813018798828</v>
      </c>
      <c r="F44" s="33" t="n">
        <v>1.52</v>
      </c>
      <c r="G44" s="33" t="n">
        <v>1.355</v>
      </c>
      <c r="I44" s="33" t="n">
        <v>1.195</v>
      </c>
      <c r="J44" s="33" t="n">
        <v>16.65079307556152</v>
      </c>
      <c r="K44" s="33" t="n">
        <v>7350</v>
      </c>
      <c r="L44" s="33" t="n">
        <v>23.96999931335449</v>
      </c>
      <c r="M44" s="33" t="n">
        <v>90.23000335693359</v>
      </c>
      <c r="N44" s="33" t="n">
        <v>109.0899963378906</v>
      </c>
      <c r="O44" s="33" t="n">
        <v>16.64999961853027</v>
      </c>
      <c r="P44" s="33" t="n">
        <v>17.70999908447266</v>
      </c>
    </row>
    <row r="45">
      <c r="B45" s="32" t="n">
        <v>42036</v>
      </c>
      <c r="C45" s="33" t="n">
        <v>42.29999923706055</v>
      </c>
      <c r="D45" s="33" t="n">
        <v>16.22</v>
      </c>
      <c r="E45" s="33" t="n">
        <v>2.222295074462891</v>
      </c>
      <c r="F45" s="33" t="n">
        <v>1.558000030517578</v>
      </c>
      <c r="G45" s="33" t="n">
        <v>1.378000030517578</v>
      </c>
      <c r="I45" s="33" t="n">
        <v>1.165</v>
      </c>
      <c r="J45" s="33" t="n">
        <v>18.03571319580078</v>
      </c>
      <c r="K45" s="33" t="n">
        <v>7420</v>
      </c>
      <c r="L45" s="33" t="n">
        <v>24.19000053405762</v>
      </c>
      <c r="M45" s="33" t="n">
        <v>91.87000274658203</v>
      </c>
      <c r="N45" s="33" t="n">
        <v>108.6999969482422</v>
      </c>
      <c r="O45" s="33" t="n">
        <v>17.29999923706055</v>
      </c>
      <c r="P45" s="33" t="n">
        <v>18.68000030517578</v>
      </c>
    </row>
    <row r="46">
      <c r="B46" s="32" t="n">
        <v>42064</v>
      </c>
      <c r="C46" s="33" t="n">
        <v>41.84000015258789</v>
      </c>
      <c r="D46" s="33" t="n">
        <v>16.625</v>
      </c>
      <c r="E46" s="33" t="n">
        <v>2.254665069580078</v>
      </c>
      <c r="F46" s="33" t="n">
        <v>1.565</v>
      </c>
      <c r="G46" s="33" t="n">
        <v>1.378000030517578</v>
      </c>
      <c r="I46" s="33" t="n">
        <v>1.175</v>
      </c>
      <c r="J46" s="33" t="n">
        <v>18.0714282989502</v>
      </c>
      <c r="K46" s="33" t="n">
        <v>7830</v>
      </c>
      <c r="L46" s="33" t="n">
        <v>24.09000015258789</v>
      </c>
      <c r="M46" s="33" t="n">
        <v>90.61000061035156</v>
      </c>
      <c r="N46" s="33" t="n">
        <v>108.379997253418</v>
      </c>
      <c r="O46" s="33" t="n">
        <v>17.17000007629395</v>
      </c>
      <c r="P46" s="33" t="n">
        <v>18.70000076293945</v>
      </c>
    </row>
    <row r="47">
      <c r="B47" s="32" t="n">
        <v>42095</v>
      </c>
      <c r="C47" s="33" t="n">
        <v>43.70999908447266</v>
      </c>
      <c r="D47" s="33" t="n">
        <v>16.345</v>
      </c>
      <c r="E47" s="33" t="n">
        <v>2.243406066894531</v>
      </c>
      <c r="F47" s="33" t="n">
        <v>1.531999969482422</v>
      </c>
      <c r="G47" s="33" t="n">
        <v>1.366000061035156</v>
      </c>
      <c r="H47" s="33" t="n">
        <v>1.046500015258789</v>
      </c>
      <c r="I47" s="33" t="n">
        <v>1.15</v>
      </c>
      <c r="J47" s="33" t="n">
        <v>17.43254089355469</v>
      </c>
      <c r="K47" s="33" t="n">
        <v>7910</v>
      </c>
      <c r="L47" s="33" t="n">
        <v>24.18000030517578</v>
      </c>
      <c r="M47" s="33" t="n">
        <v>90.98999786376953</v>
      </c>
      <c r="N47" s="33" t="n">
        <v>108.5800018310547</v>
      </c>
      <c r="O47" s="33" t="n">
        <v>17.02000045776367</v>
      </c>
      <c r="P47" s="33" t="n">
        <v>18.55999946594238</v>
      </c>
    </row>
    <row r="48">
      <c r="B48" s="32" t="n">
        <v>42125</v>
      </c>
      <c r="C48" s="33" t="n">
        <v>43.11999893188477</v>
      </c>
      <c r="D48" s="33" t="n">
        <v>16.345</v>
      </c>
      <c r="E48" s="33" t="n">
        <v>2.364443054199219</v>
      </c>
      <c r="F48" s="33" t="n">
        <v>1.53</v>
      </c>
      <c r="G48" s="33" t="n">
        <v>1.373000030517578</v>
      </c>
      <c r="H48" s="33" t="n">
        <v>1.055128021240234</v>
      </c>
      <c r="I48" s="33" t="n">
        <v>1.1825</v>
      </c>
      <c r="J48" s="33" t="n">
        <v>17.16269874572754</v>
      </c>
      <c r="K48" s="33" t="n">
        <v>7850</v>
      </c>
      <c r="L48" s="33" t="n">
        <v>24.13999938964844</v>
      </c>
      <c r="M48" s="33" t="n">
        <v>90.91000366210938</v>
      </c>
      <c r="N48" s="33" t="n">
        <v>109.0100021362305</v>
      </c>
      <c r="O48" s="33" t="n">
        <v>16.75</v>
      </c>
      <c r="P48" s="33" t="n">
        <v>18.34000015258789</v>
      </c>
    </row>
    <row r="49">
      <c r="B49" s="32" t="n">
        <v>42156</v>
      </c>
      <c r="C49" s="33" t="n">
        <v>40.61999893188477</v>
      </c>
      <c r="D49" s="33" t="n">
        <v>15.13</v>
      </c>
      <c r="E49" s="33" t="n">
        <v>2.364443054199219</v>
      </c>
      <c r="F49" s="33" t="n">
        <v>1.54</v>
      </c>
      <c r="G49" s="33" t="n">
        <v>1.356999969482422</v>
      </c>
      <c r="H49" s="33" t="n">
        <v>1.050197982788086</v>
      </c>
      <c r="I49" s="33" t="n">
        <v>1.145</v>
      </c>
      <c r="J49" s="33" t="n">
        <v>17.71031761169434</v>
      </c>
      <c r="K49" s="33" t="n">
        <v>8050</v>
      </c>
      <c r="L49" s="33" t="n">
        <v>23.79000091552734</v>
      </c>
      <c r="M49" s="33" t="n">
        <v>88.80000305175781</v>
      </c>
      <c r="N49" s="33" t="n">
        <v>106.7900009155273</v>
      </c>
      <c r="O49" s="33" t="n">
        <v>16.45999908447266</v>
      </c>
      <c r="P49" s="33" t="n">
        <v>17.88999938964844</v>
      </c>
    </row>
    <row r="50">
      <c r="B50" s="32" t="n">
        <v>42186</v>
      </c>
      <c r="C50" s="33" t="n">
        <v>40.81000137329102</v>
      </c>
      <c r="D50" s="33" t="n">
        <v>15.545</v>
      </c>
      <c r="E50" s="33" t="n">
        <v>2.140664978027344</v>
      </c>
      <c r="F50" s="33" t="n">
        <v>1.523999938964844</v>
      </c>
      <c r="G50" s="33" t="n">
        <v>1.37</v>
      </c>
      <c r="H50" s="33" t="n">
        <v>1.020615005493164</v>
      </c>
      <c r="I50" s="33" t="n">
        <v>1.174000015258789</v>
      </c>
      <c r="J50" s="33" t="n">
        <v>16.61111068725586</v>
      </c>
      <c r="K50" s="33" t="n">
        <v>7900</v>
      </c>
      <c r="L50" s="33" t="n">
        <v>23.69000053405762</v>
      </c>
      <c r="M50" s="33" t="n">
        <v>87.97000122070312</v>
      </c>
      <c r="N50" s="33" t="n">
        <v>107.8600006103516</v>
      </c>
      <c r="O50" s="33" t="n">
        <v>16.09000015258789</v>
      </c>
      <c r="P50" s="33" t="n">
        <v>17.01000022888184</v>
      </c>
    </row>
    <row r="51">
      <c r="B51" s="32" t="n">
        <v>42217</v>
      </c>
      <c r="C51" s="33" t="n">
        <v>38.65000152587891</v>
      </c>
      <c r="D51" s="33" t="n">
        <v>22.922900390625</v>
      </c>
      <c r="E51" s="33" t="n">
        <v>2.084931945800781</v>
      </c>
      <c r="F51" s="33" t="n">
        <v>1.513999938964844</v>
      </c>
      <c r="G51" s="33" t="n">
        <v>1.358000030517578</v>
      </c>
      <c r="H51" s="33" t="n">
        <v>1.028010025024414</v>
      </c>
      <c r="I51" s="33" t="n">
        <v>1.186999969482422</v>
      </c>
      <c r="J51" s="33" t="n">
        <v>15.67460346221924</v>
      </c>
      <c r="K51" s="33" t="n">
        <v>7930</v>
      </c>
      <c r="L51" s="33" t="n">
        <v>23.3799991607666</v>
      </c>
      <c r="M51" s="33" t="n">
        <v>86.23999786376953</v>
      </c>
      <c r="N51" s="33" t="n">
        <v>104.3580017089844</v>
      </c>
      <c r="O51" s="33" t="n">
        <v>15.77000045776367</v>
      </c>
      <c r="P51" s="33" t="n">
        <v>17.13999938964844</v>
      </c>
    </row>
    <row r="52">
      <c r="B52" s="32" t="n">
        <v>42248</v>
      </c>
      <c r="C52" s="33" t="n">
        <v>37.72999954223633</v>
      </c>
      <c r="D52" s="33" t="n">
        <v>14.735</v>
      </c>
      <c r="E52" s="33" t="n">
        <v>2.119131927490234</v>
      </c>
      <c r="F52" s="33" t="n">
        <v>1.523000030517578</v>
      </c>
      <c r="G52" s="33" t="n">
        <v>1.308999938964844</v>
      </c>
      <c r="H52" s="33" t="n">
        <v>1.028010025024414</v>
      </c>
      <c r="I52" s="33" t="n">
        <v>1.213000030517578</v>
      </c>
      <c r="J52" s="33" t="n">
        <v>14.59127044677734</v>
      </c>
      <c r="K52" s="33" t="n">
        <v>7940</v>
      </c>
      <c r="L52" s="33" t="n">
        <v>23.04000091552734</v>
      </c>
      <c r="M52" s="33" t="n">
        <v>83.29000091552734</v>
      </c>
      <c r="N52" s="33" t="n">
        <v>101.8899993896484</v>
      </c>
      <c r="O52" s="33" t="n">
        <v>14.47999954223633</v>
      </c>
      <c r="P52" s="33" t="n">
        <v>15.71000003814697</v>
      </c>
    </row>
    <row r="53">
      <c r="B53" s="32" t="n">
        <v>42278</v>
      </c>
      <c r="C53" s="33" t="n">
        <v>39.34999847412109</v>
      </c>
      <c r="D53" s="33" t="n">
        <v>15.0925</v>
      </c>
      <c r="E53" s="33" t="n">
        <v>2.183731994628906</v>
      </c>
      <c r="F53" s="33" t="n">
        <v>1.546999969482422</v>
      </c>
      <c r="G53" s="33" t="n">
        <v>1.318000030517578</v>
      </c>
      <c r="H53" s="33" t="n">
        <v>1.015683975219727</v>
      </c>
      <c r="I53" s="33" t="n">
        <v>1.213000030517578</v>
      </c>
      <c r="J53" s="33" t="n">
        <v>16.69047546386719</v>
      </c>
      <c r="K53" s="33" t="n">
        <v>8000</v>
      </c>
      <c r="L53" s="33" t="n">
        <v>23</v>
      </c>
      <c r="M53" s="33" t="n">
        <v>85.56999969482422</v>
      </c>
      <c r="N53" s="33" t="n">
        <v>105.3899993896484</v>
      </c>
      <c r="O53" s="33" t="n">
        <v>15.22999954223633</v>
      </c>
      <c r="P53" s="33" t="n">
        <v>16.04000091552734</v>
      </c>
    </row>
    <row r="54">
      <c r="B54" s="32" t="n">
        <v>42309</v>
      </c>
      <c r="C54" s="33" t="n">
        <v>37.72000122070312</v>
      </c>
      <c r="D54" s="33" t="n">
        <v>14.7675</v>
      </c>
      <c r="E54" s="33" t="n">
        <v>2.186264953613281</v>
      </c>
      <c r="F54" s="33" t="n">
        <v>1.525</v>
      </c>
      <c r="G54" s="33" t="n">
        <v>1.38</v>
      </c>
      <c r="H54" s="33" t="n">
        <v>1.025544967651367</v>
      </c>
      <c r="I54" s="33" t="n">
        <v>1.185</v>
      </c>
      <c r="J54" s="33" t="n">
        <v>16.48412704467773</v>
      </c>
      <c r="K54" s="33" t="n">
        <v>7940</v>
      </c>
      <c r="L54" s="33" t="n">
        <v>22.69000053405762</v>
      </c>
      <c r="M54" s="33" t="n">
        <v>83.05000305175781</v>
      </c>
      <c r="N54" s="33" t="n">
        <v>105.5800018310547</v>
      </c>
      <c r="O54" s="33" t="n">
        <v>15.81999969482422</v>
      </c>
      <c r="P54" s="33" t="n">
        <v>17.31999969482422</v>
      </c>
    </row>
    <row r="55">
      <c r="B55" s="32" t="n">
        <v>42339</v>
      </c>
      <c r="C55" s="33" t="n">
        <v>35.93999862670898</v>
      </c>
      <c r="D55" s="33" t="n">
        <v>14.83</v>
      </c>
      <c r="E55" s="33" t="n">
        <v>2.176132049560547</v>
      </c>
      <c r="F55" s="33" t="n">
        <v>1.506999969482422</v>
      </c>
      <c r="G55" s="33" t="n">
        <v>1.393000030517578</v>
      </c>
      <c r="H55" s="33" t="n">
        <v>1.018149032592774</v>
      </c>
      <c r="I55" s="33" t="n">
        <v>1.200999984741211</v>
      </c>
      <c r="J55" s="33" t="n">
        <v>15.04365062713623</v>
      </c>
      <c r="K55" s="33" t="n">
        <v>8030</v>
      </c>
      <c r="L55" s="33" t="n">
        <v>22.39999961853027</v>
      </c>
      <c r="M55" s="33" t="n">
        <v>80.58000183105469</v>
      </c>
      <c r="N55" s="33" t="n">
        <v>102.7050018310547</v>
      </c>
      <c r="O55" s="33" t="n">
        <v>14.25</v>
      </c>
      <c r="P55" s="33" t="n">
        <v>15.77000045776367</v>
      </c>
    </row>
    <row r="56">
      <c r="B56" s="32" t="n">
        <v>42370</v>
      </c>
      <c r="C56" s="33" t="n">
        <v>35.88999938964844</v>
      </c>
      <c r="D56" s="33" t="n">
        <v>15.655</v>
      </c>
      <c r="E56" s="33" t="n">
        <v>2.165998992919922</v>
      </c>
      <c r="F56" s="33" t="n">
        <v>1.513000030517578</v>
      </c>
      <c r="G56" s="33" t="n">
        <v>1.405</v>
      </c>
      <c r="H56" s="33" t="n">
        <v>0.9959619903564453</v>
      </c>
      <c r="I56" s="33" t="n">
        <v>1.15</v>
      </c>
      <c r="J56" s="33" t="n">
        <v>14.26587295532227</v>
      </c>
      <c r="K56" s="33" t="n">
        <v>8170</v>
      </c>
      <c r="L56" s="33" t="n">
        <v>22.18000030517578</v>
      </c>
      <c r="M56" s="33" t="n">
        <v>79.29000091552734</v>
      </c>
      <c r="N56" s="33" t="n">
        <v>101.9000015258789</v>
      </c>
      <c r="O56" s="33" t="n">
        <v>13.89999961853027</v>
      </c>
      <c r="P56" s="33" t="n">
        <v>14.80000019073486</v>
      </c>
    </row>
    <row r="57">
      <c r="B57" s="32" t="n">
        <v>42401</v>
      </c>
      <c r="C57" s="33" t="n">
        <v>35.9900016784668</v>
      </c>
      <c r="D57" s="33" t="n">
        <v>15.9975</v>
      </c>
      <c r="E57" s="33" t="n">
        <v>2.193865051269531</v>
      </c>
      <c r="F57" s="33" t="n">
        <v>1.556999969482422</v>
      </c>
      <c r="G57" s="33" t="n">
        <v>1.423000030517578</v>
      </c>
      <c r="H57" s="33" t="n">
        <v>1.020615005493164</v>
      </c>
      <c r="I57" s="33" t="n">
        <v>1.191999969482422</v>
      </c>
      <c r="J57" s="33" t="n">
        <v>14.9404764175415</v>
      </c>
      <c r="K57" s="33" t="n">
        <v>8470</v>
      </c>
      <c r="L57" s="33" t="n">
        <v>22.1200008392334</v>
      </c>
      <c r="M57" s="33" t="n">
        <v>80.08000183105469</v>
      </c>
      <c r="N57" s="33" t="n">
        <v>101.9000015258789</v>
      </c>
      <c r="O57" s="33" t="n">
        <v>13.65999984741211</v>
      </c>
      <c r="P57" s="33" t="n">
        <v>15.10999965667725</v>
      </c>
    </row>
    <row r="58">
      <c r="B58" s="32" t="n">
        <v>42430</v>
      </c>
      <c r="C58" s="33" t="n">
        <v>39.09000015258789</v>
      </c>
      <c r="D58" s="33" t="n">
        <v>16.62</v>
      </c>
      <c r="E58" s="33" t="n">
        <v>2.184998931884766</v>
      </c>
      <c r="F58" s="33" t="n">
        <v>1.593000030517578</v>
      </c>
      <c r="G58" s="33" t="n">
        <v>1.438000030517578</v>
      </c>
      <c r="H58" s="33" t="n">
        <v>1.047732009887695</v>
      </c>
      <c r="I58" s="33" t="n">
        <v>1.175</v>
      </c>
      <c r="J58" s="33" t="n">
        <v>16.71825408935547</v>
      </c>
      <c r="K58" s="33" t="n">
        <v>8370</v>
      </c>
      <c r="L58" s="33" t="n">
        <v>22.71999931335449</v>
      </c>
      <c r="M58" s="33" t="n">
        <v>81.69000244140625</v>
      </c>
      <c r="N58" s="33" t="n">
        <v>102.6600036621094</v>
      </c>
      <c r="O58" s="33" t="n">
        <v>14.84000015258789</v>
      </c>
      <c r="P58" s="33" t="n">
        <v>16.48999977111816</v>
      </c>
    </row>
    <row r="59">
      <c r="B59" s="32" t="n">
        <v>42461</v>
      </c>
      <c r="C59" s="33" t="n">
        <v>39.97000122070312</v>
      </c>
      <c r="D59" s="33" t="n">
        <v>16.39</v>
      </c>
      <c r="E59" s="33" t="n">
        <v>2.279998931884766</v>
      </c>
      <c r="F59" s="33" t="n">
        <v>1.623000030517578</v>
      </c>
      <c r="G59" s="33" t="n">
        <v>1.438999938964844</v>
      </c>
      <c r="H59" s="33" t="n">
        <v>1.030475997924805</v>
      </c>
      <c r="I59" s="33" t="n">
        <v>1.19</v>
      </c>
      <c r="J59" s="33" t="n">
        <v>16.73809432983398</v>
      </c>
      <c r="K59" s="33" t="n">
        <v>8470</v>
      </c>
      <c r="L59" s="33" t="n">
        <v>23.09000015258789</v>
      </c>
      <c r="M59" s="33" t="n">
        <v>83.84999847412109</v>
      </c>
      <c r="N59" s="33" t="n">
        <v>104.2399978637695</v>
      </c>
      <c r="O59" s="33" t="n">
        <v>15.1899995803833</v>
      </c>
      <c r="P59" s="33" t="n">
        <v>16.43000030517578</v>
      </c>
    </row>
    <row r="60">
      <c r="B60" s="32" t="n">
        <v>42491</v>
      </c>
      <c r="C60" s="33" t="n">
        <v>39.81999969482422</v>
      </c>
      <c r="D60" s="33" t="n">
        <v>16.4425</v>
      </c>
      <c r="E60" s="33" t="n">
        <v>2.162198944091797</v>
      </c>
      <c r="F60" s="33" t="n">
        <v>1.626999969482422</v>
      </c>
      <c r="G60" s="33" t="n">
        <v>1.461999969482422</v>
      </c>
      <c r="H60" s="33" t="n">
        <v>1.025544967651367</v>
      </c>
      <c r="I60" s="33" t="n">
        <v>1.205</v>
      </c>
      <c r="J60" s="33" t="n">
        <v>16.96825408935547</v>
      </c>
      <c r="K60" s="33" t="n">
        <v>8750</v>
      </c>
      <c r="L60" s="33" t="n">
        <v>23.06999969482422</v>
      </c>
      <c r="M60" s="33" t="n">
        <v>83.61000061035156</v>
      </c>
      <c r="N60" s="33" t="n">
        <v>104.0299987792969</v>
      </c>
      <c r="O60" s="33" t="n">
        <v>14.84000015258789</v>
      </c>
      <c r="P60" s="33" t="n">
        <v>16.26000022888184</v>
      </c>
    </row>
    <row r="61">
      <c r="B61" s="32" t="n">
        <v>42522</v>
      </c>
      <c r="C61" s="33" t="n">
        <v>40.45999908447266</v>
      </c>
      <c r="D61" s="33" t="n">
        <v>18.7275</v>
      </c>
      <c r="E61" s="33" t="n">
        <v>2.254665069580078</v>
      </c>
      <c r="F61" s="33" t="n">
        <v>1.705</v>
      </c>
      <c r="G61" s="33" t="n">
        <v>1.515</v>
      </c>
      <c r="H61" s="33" t="n">
        <v>1.060058975219726</v>
      </c>
      <c r="I61" s="33" t="n">
        <v>1.19</v>
      </c>
      <c r="J61" s="33" t="n">
        <v>17.96031761169434</v>
      </c>
      <c r="K61" s="33" t="n">
        <v>8760</v>
      </c>
      <c r="L61" s="33" t="n">
        <v>22.96999931335449</v>
      </c>
      <c r="M61" s="33" t="n">
        <v>84.69999694824219</v>
      </c>
      <c r="N61" s="33" t="n">
        <v>104.1399993896484</v>
      </c>
      <c r="O61" s="33" t="n">
        <v>14.19999980926514</v>
      </c>
      <c r="P61" s="33" t="n">
        <v>16.65999984741211</v>
      </c>
    </row>
    <row r="62">
      <c r="B62" s="32" t="n">
        <v>42552</v>
      </c>
      <c r="C62" s="33" t="n">
        <v>41.52000045776367</v>
      </c>
      <c r="D62" s="33" t="n">
        <v>19.0325</v>
      </c>
      <c r="E62" s="33" t="n">
        <v>2.412998962402344</v>
      </c>
      <c r="F62" s="33" t="n">
        <v>1.745</v>
      </c>
      <c r="G62" s="33" t="n">
        <v>1.585</v>
      </c>
      <c r="H62" s="33" t="n">
        <v>1.099503021240234</v>
      </c>
      <c r="I62" s="33" t="n">
        <v>1.265</v>
      </c>
      <c r="J62" s="33" t="n">
        <v>18.67460250854492</v>
      </c>
      <c r="K62" s="33" t="n">
        <v>8950</v>
      </c>
      <c r="L62" s="33" t="n">
        <v>23.20000076293945</v>
      </c>
      <c r="M62" s="33" t="n">
        <v>85.41000366210938</v>
      </c>
      <c r="N62" s="33" t="n">
        <v>106.0999984741211</v>
      </c>
      <c r="O62" s="33" t="n">
        <v>15.14000034332275</v>
      </c>
      <c r="P62" s="33" t="n">
        <v>17.14999961853027</v>
      </c>
    </row>
    <row r="63">
      <c r="B63" s="32" t="n">
        <v>42583</v>
      </c>
      <c r="C63" s="33" t="n">
        <v>40.79999923706055</v>
      </c>
      <c r="D63" s="33" t="n">
        <v>18.295</v>
      </c>
      <c r="E63" s="33" t="n">
        <v>2.364864959716797</v>
      </c>
      <c r="F63" s="33" t="n">
        <v>1.763000030517578</v>
      </c>
      <c r="G63" s="33" t="n">
        <v>1.571999969482422</v>
      </c>
      <c r="H63" s="33" t="n">
        <v>1.114293975830078</v>
      </c>
      <c r="I63" s="33" t="n">
        <v>1.271999969482422</v>
      </c>
      <c r="J63" s="33" t="n">
        <v>19.0238094329834</v>
      </c>
      <c r="K63" s="33" t="n">
        <v>8790</v>
      </c>
      <c r="L63" s="33" t="n">
        <v>23.22999954223633</v>
      </c>
      <c r="M63" s="33" t="n">
        <v>86.69999694824219</v>
      </c>
      <c r="N63" s="33" t="n">
        <v>107.4300003051758</v>
      </c>
      <c r="O63" s="33" t="n">
        <v>16.15999984741211</v>
      </c>
      <c r="P63" s="33" t="n">
        <v>18.02000045776367</v>
      </c>
    </row>
    <row r="64">
      <c r="B64" s="32" t="n">
        <v>42614</v>
      </c>
      <c r="C64" s="33" t="n">
        <v>41.56000137329102</v>
      </c>
      <c r="D64" s="33" t="n">
        <v>18.91</v>
      </c>
      <c r="E64" s="33" t="n">
        <v>2.457332000732422</v>
      </c>
      <c r="F64" s="33" t="n">
        <v>1.696999969482422</v>
      </c>
      <c r="G64" s="33" t="n">
        <v>1.541999969482422</v>
      </c>
      <c r="H64" s="33" t="n">
        <v>1.111828994750977</v>
      </c>
      <c r="I64" s="33" t="n">
        <v>1.316000061035156</v>
      </c>
      <c r="J64" s="33" t="n">
        <v>20.61904716491699</v>
      </c>
      <c r="K64" s="33" t="n">
        <v>8810</v>
      </c>
      <c r="L64" s="33" t="n">
        <v>23.20999908447266</v>
      </c>
      <c r="M64" s="33" t="n">
        <v>87.26000213623047</v>
      </c>
      <c r="N64" s="33" t="n">
        <v>104.9499969482422</v>
      </c>
      <c r="O64" s="33" t="n">
        <v>15.5</v>
      </c>
      <c r="P64" s="33" t="n">
        <v>17.79999923706055</v>
      </c>
    </row>
    <row r="65">
      <c r="B65" s="32" t="n">
        <v>42644</v>
      </c>
      <c r="C65" s="33" t="n">
        <v>40.22000122070312</v>
      </c>
      <c r="D65" s="33" t="n">
        <v>19.745</v>
      </c>
      <c r="E65" s="33" t="n">
        <v>2.425664978027344</v>
      </c>
      <c r="F65" s="33" t="n">
        <v>1.706000061035156</v>
      </c>
      <c r="G65" s="33" t="n">
        <v>1.593000030517578</v>
      </c>
      <c r="H65" s="33" t="n">
        <v>1.084710998535156</v>
      </c>
      <c r="I65" s="33" t="n">
        <v>1.286000061035156</v>
      </c>
      <c r="J65" s="33" t="n">
        <v>20.13690567016602</v>
      </c>
      <c r="K65" s="33" t="n">
        <v>8810</v>
      </c>
      <c r="L65" s="33" t="n">
        <v>23.18000030517578</v>
      </c>
      <c r="M65" s="33" t="n">
        <v>86.01999664306641</v>
      </c>
      <c r="N65" s="33" t="n">
        <v>105.4800033569336</v>
      </c>
      <c r="O65" s="33" t="n">
        <v>15.30000019073486</v>
      </c>
      <c r="P65" s="33" t="n">
        <v>17.22999954223633</v>
      </c>
    </row>
    <row r="66">
      <c r="B66" s="32" t="n">
        <v>42675</v>
      </c>
      <c r="C66" s="33" t="n">
        <v>38.58000183105469</v>
      </c>
      <c r="D66" s="33" t="n">
        <v>18.33</v>
      </c>
      <c r="E66" s="33" t="n">
        <v>2.338265075683594</v>
      </c>
      <c r="F66" s="33" t="n">
        <v>1.595</v>
      </c>
      <c r="G66" s="33" t="n">
        <v>1.525</v>
      </c>
      <c r="H66" s="33" t="n">
        <v>1.047732009887695</v>
      </c>
      <c r="I66" s="33" t="n">
        <v>1.236999969482422</v>
      </c>
      <c r="J66" s="33" t="n">
        <v>18.75</v>
      </c>
      <c r="K66" s="33" t="n">
        <v>8450</v>
      </c>
      <c r="L66" s="33" t="n">
        <v>23.13999938964844</v>
      </c>
      <c r="M66" s="33" t="n">
        <v>85.65000152587891</v>
      </c>
      <c r="N66" s="33" t="n">
        <v>104.8000030517578</v>
      </c>
      <c r="O66" s="33" t="n">
        <v>16.04000091552734</v>
      </c>
      <c r="P66" s="33" t="n">
        <v>17.8700008392334</v>
      </c>
    </row>
    <row r="67">
      <c r="B67" s="32" t="n">
        <v>42705</v>
      </c>
      <c r="C67" s="33" t="n">
        <v>39.04000091552734</v>
      </c>
      <c r="D67" s="33" t="n">
        <v>19.2325</v>
      </c>
      <c r="E67" s="33" t="n">
        <v>2.366132049560547</v>
      </c>
      <c r="F67" s="33" t="n">
        <v>1.473999938964844</v>
      </c>
      <c r="G67" s="33" t="n">
        <v>1.54</v>
      </c>
      <c r="H67" s="33" t="n">
        <v>1.125388031005859</v>
      </c>
      <c r="I67" s="33" t="n">
        <v>1.23</v>
      </c>
      <c r="J67" s="33" t="n">
        <v>19.9226188659668</v>
      </c>
      <c r="K67" s="33" t="n">
        <v>8150</v>
      </c>
      <c r="L67" s="33" t="n">
        <v>23.36000061035156</v>
      </c>
      <c r="M67" s="33" t="n">
        <v>86.55000305175781</v>
      </c>
      <c r="N67" s="33" t="n">
        <v>106.4000015258789</v>
      </c>
      <c r="O67" s="33" t="n">
        <v>16.48999977111816</v>
      </c>
      <c r="P67" s="33" t="n">
        <v>18.01000022888184</v>
      </c>
    </row>
    <row r="68">
      <c r="B68" s="32" t="n">
        <v>42736</v>
      </c>
      <c r="C68" s="33" t="n">
        <v>39.72000122070312</v>
      </c>
      <c r="D68" s="33" t="n">
        <v>18.905</v>
      </c>
      <c r="E68" s="33" t="n">
        <v>2.416799011230469</v>
      </c>
      <c r="F68" s="33" t="n">
        <v>1.61</v>
      </c>
      <c r="G68" s="33" t="n">
        <v>1.536999969482422</v>
      </c>
      <c r="H68" s="33" t="n">
        <v>1.099503021240234</v>
      </c>
      <c r="I68" s="33" t="n">
        <v>1.238000030517578</v>
      </c>
      <c r="J68" s="33" t="n">
        <v>20.8035717010498</v>
      </c>
      <c r="K68" s="33" t="n">
        <v>8060</v>
      </c>
      <c r="L68" s="33" t="n">
        <v>23.29999923706055</v>
      </c>
      <c r="M68" s="33" t="n">
        <v>87.33999633789062</v>
      </c>
      <c r="N68" s="33" t="n">
        <v>106.8899993896484</v>
      </c>
      <c r="O68" s="33" t="n">
        <v>16.89999961853027</v>
      </c>
      <c r="P68" s="33" t="n">
        <v>18.19000053405762</v>
      </c>
    </row>
    <row r="69">
      <c r="B69" s="32" t="n">
        <v>42767</v>
      </c>
      <c r="C69" s="33" t="n">
        <v>40.81000137329102</v>
      </c>
      <c r="D69" s="33" t="n">
        <v>19.665</v>
      </c>
      <c r="E69" s="33" t="n">
        <v>2.464931945800781</v>
      </c>
      <c r="F69" s="33" t="n">
        <v>1.651999969482422</v>
      </c>
      <c r="G69" s="33" t="n">
        <v>1.593000030517578</v>
      </c>
      <c r="H69" s="33" t="n">
        <v>1.082246017456055</v>
      </c>
      <c r="I69" s="33" t="n">
        <v>1.275</v>
      </c>
      <c r="J69" s="33" t="n">
        <v>21.4761905670166</v>
      </c>
      <c r="K69" s="33" t="n">
        <v>8240</v>
      </c>
      <c r="L69" s="33" t="n">
        <v>23.3700008392334</v>
      </c>
      <c r="M69" s="33" t="n">
        <v>88.29000091552734</v>
      </c>
      <c r="N69" s="33" t="n">
        <v>107.8399963378906</v>
      </c>
      <c r="O69" s="33" t="n">
        <v>17.75</v>
      </c>
      <c r="P69" s="33" t="n">
        <v>19.07999992370605</v>
      </c>
    </row>
    <row r="70">
      <c r="B70" s="32" t="n">
        <v>42795</v>
      </c>
      <c r="C70" s="33" t="n">
        <v>42.31999969482422</v>
      </c>
      <c r="D70" s="33" t="n">
        <v>19.88</v>
      </c>
      <c r="E70" s="33" t="n">
        <v>2.3939990234375</v>
      </c>
      <c r="F70" s="33" t="n">
        <v>1.69</v>
      </c>
      <c r="G70" s="33" t="n">
        <v>1.56</v>
      </c>
      <c r="H70" s="33" t="n">
        <v>1.087175979614258</v>
      </c>
      <c r="I70" s="33" t="n">
        <v>1.288000030517578</v>
      </c>
      <c r="J70" s="33" t="n">
        <v>23.01785659790039</v>
      </c>
      <c r="K70" s="33" t="n">
        <v>8320</v>
      </c>
      <c r="L70" s="33" t="n">
        <v>23.26000022888184</v>
      </c>
      <c r="M70" s="33" t="n">
        <v>87.77999877929688</v>
      </c>
      <c r="N70" s="33" t="n">
        <v>105.6800003051758</v>
      </c>
      <c r="O70" s="33" t="n">
        <v>17.3799991607666</v>
      </c>
      <c r="P70" s="33" t="n">
        <v>19.27000045776367</v>
      </c>
    </row>
    <row r="71">
      <c r="B71" s="32" t="n">
        <v>42826</v>
      </c>
      <c r="C71" s="33" t="n">
        <v>42.93999862670898</v>
      </c>
      <c r="D71" s="33" t="n">
        <v>19.39</v>
      </c>
      <c r="E71" s="33" t="n">
        <v>2.464931945800781</v>
      </c>
      <c r="F71" s="33" t="n">
        <v>1.743000030517578</v>
      </c>
      <c r="G71" s="33" t="n">
        <v>1.555</v>
      </c>
      <c r="H71" s="33" t="n">
        <v>1.094571990966797</v>
      </c>
      <c r="I71" s="33" t="n">
        <v>1.281999969482422</v>
      </c>
      <c r="J71" s="33" t="n">
        <v>23.43452453613281</v>
      </c>
      <c r="K71" s="33" t="n">
        <v>8630</v>
      </c>
      <c r="L71" s="33" t="n">
        <v>23.28000068664551</v>
      </c>
      <c r="M71" s="33" t="n">
        <v>88.12000274658203</v>
      </c>
      <c r="N71" s="33" t="n">
        <v>106.6100006103516</v>
      </c>
      <c r="O71" s="33" t="n">
        <v>17.60000038146973</v>
      </c>
      <c r="P71" s="33" t="n">
        <v>19.15999984741211</v>
      </c>
    </row>
    <row r="72">
      <c r="B72" s="32" t="n">
        <v>42856</v>
      </c>
      <c r="C72" s="33" t="n">
        <v>44.65999984741211</v>
      </c>
      <c r="D72" s="33" t="n">
        <v>20.0075</v>
      </c>
      <c r="E72" s="33" t="n">
        <v>2.516864929199219</v>
      </c>
      <c r="F72" s="33" t="n">
        <v>1.71</v>
      </c>
      <c r="G72" s="33" t="n">
        <v>1.611999969482422</v>
      </c>
      <c r="H72" s="33" t="n">
        <v>1.114293975830078</v>
      </c>
      <c r="I72" s="33" t="n">
        <v>1.253000030517578</v>
      </c>
      <c r="J72" s="33" t="n">
        <v>24.10714340209961</v>
      </c>
      <c r="K72" s="33" t="n">
        <v>8690</v>
      </c>
      <c r="L72" s="33" t="n">
        <v>23.30999946594238</v>
      </c>
      <c r="M72" s="33" t="n">
        <v>88.65000152587891</v>
      </c>
      <c r="N72" s="33" t="n">
        <v>107.25</v>
      </c>
      <c r="O72" s="33" t="n">
        <v>16.64999961853027</v>
      </c>
      <c r="P72" s="33" t="n">
        <v>18</v>
      </c>
    </row>
    <row r="73">
      <c r="B73" s="32" t="n">
        <v>42887</v>
      </c>
      <c r="C73" s="33" t="n">
        <v>43.97000122070312</v>
      </c>
      <c r="D73" s="33" t="n">
        <v>19.7125</v>
      </c>
      <c r="E73" s="33" t="n">
        <v>2.419331970214844</v>
      </c>
      <c r="F73" s="33" t="n">
        <v>1.606000061035156</v>
      </c>
      <c r="G73" s="33" t="n">
        <v>1.583000030517578</v>
      </c>
      <c r="H73" s="33" t="n">
        <v>1.099503021240234</v>
      </c>
      <c r="I73" s="33" t="n">
        <v>1.26</v>
      </c>
      <c r="J73" s="33" t="n">
        <v>24.3511905670166</v>
      </c>
      <c r="K73" s="33" t="n">
        <v>8620</v>
      </c>
      <c r="L73" s="33" t="n">
        <v>23.13999938964844</v>
      </c>
      <c r="M73" s="33" t="n">
        <v>88.38999938964844</v>
      </c>
      <c r="N73" s="33" t="n">
        <v>107.3499984741211</v>
      </c>
      <c r="O73" s="33" t="n">
        <v>16.3799991607666</v>
      </c>
      <c r="P73" s="33" t="n">
        <v>18.36000061035156</v>
      </c>
    </row>
    <row r="74">
      <c r="B74" s="32" t="n">
        <v>42917</v>
      </c>
      <c r="C74" s="33" t="n">
        <v>45.27000045776367</v>
      </c>
      <c r="D74" s="33" t="n">
        <v>19.7525</v>
      </c>
      <c r="E74" s="33" t="n">
        <v>2.48773193359375</v>
      </c>
      <c r="F74" s="33" t="n">
        <v>1.6</v>
      </c>
      <c r="G74" s="33" t="n">
        <v>1.61</v>
      </c>
      <c r="H74" s="33" t="n">
        <v>1.094571990966797</v>
      </c>
      <c r="I74" s="33" t="n">
        <v>1.28</v>
      </c>
      <c r="J74" s="33" t="n">
        <v>24.08333206176758</v>
      </c>
      <c r="K74" s="33" t="n">
        <v>8450</v>
      </c>
      <c r="L74" s="33" t="n">
        <v>23.27000045776367</v>
      </c>
      <c r="M74" s="33" t="n">
        <v>88.91000366210938</v>
      </c>
      <c r="N74" s="33" t="n">
        <v>108.3099975585938</v>
      </c>
      <c r="O74" s="33" t="n">
        <v>16.38999938964844</v>
      </c>
      <c r="P74" s="33" t="n">
        <v>18.10000038146973</v>
      </c>
    </row>
    <row r="75">
      <c r="B75" s="32" t="n">
        <v>42948</v>
      </c>
      <c r="C75" s="33" t="n">
        <v>46.02999877929688</v>
      </c>
      <c r="D75" s="33" t="n">
        <v>20.3825</v>
      </c>
      <c r="E75" s="33" t="n">
        <v>2.49659896850586</v>
      </c>
      <c r="F75" s="33" t="n">
        <v>1.626000061035156</v>
      </c>
      <c r="G75" s="33" t="n">
        <v>1.62</v>
      </c>
      <c r="H75" s="33" t="n">
        <v>1.121689987182617</v>
      </c>
      <c r="I75" s="33" t="n">
        <v>1.26</v>
      </c>
      <c r="J75" s="33" t="n">
        <v>26.26785659790039</v>
      </c>
      <c r="K75" s="33" t="n">
        <v>8500</v>
      </c>
      <c r="L75" s="33" t="n">
        <v>23.13999938964844</v>
      </c>
      <c r="M75" s="33" t="n">
        <v>88.59999847412109</v>
      </c>
      <c r="N75" s="33" t="n">
        <v>108.620002746582</v>
      </c>
      <c r="O75" s="33" t="n">
        <v>16.05999946594238</v>
      </c>
      <c r="P75" s="33" t="n">
        <v>17.14999961853027</v>
      </c>
    </row>
    <row r="76">
      <c r="B76" s="32" t="n">
        <v>42979</v>
      </c>
      <c r="C76" s="33" t="n">
        <v>45.2599983215332</v>
      </c>
      <c r="D76" s="33" t="n">
        <v>19.4425</v>
      </c>
      <c r="E76" s="33" t="n">
        <v>2.461132049560547</v>
      </c>
      <c r="F76" s="33" t="n">
        <v>1.496399993896484</v>
      </c>
      <c r="G76" s="33" t="n">
        <v>1.578999938964844</v>
      </c>
      <c r="H76" s="33" t="n">
        <v>1.112322006225586</v>
      </c>
      <c r="I76" s="33" t="n">
        <v>1.264000015258789</v>
      </c>
      <c r="J76" s="33" t="n">
        <v>25.6785717010498</v>
      </c>
      <c r="K76" s="33" t="n">
        <v>8500</v>
      </c>
      <c r="L76" s="33" t="n">
        <v>23.15999984741211</v>
      </c>
      <c r="M76" s="33" t="n">
        <v>88.76000213623047</v>
      </c>
      <c r="N76" s="33" t="n">
        <v>106.879997253418</v>
      </c>
      <c r="O76" s="33" t="n">
        <v>16.38999938964844</v>
      </c>
      <c r="P76" s="33" t="n">
        <v>17.86000061035156</v>
      </c>
    </row>
    <row r="77">
      <c r="B77" s="32" t="n">
        <v>43009</v>
      </c>
      <c r="C77" s="33" t="n">
        <v>45.54000091552734</v>
      </c>
      <c r="D77" s="33" t="n">
        <v>19.875</v>
      </c>
      <c r="E77" s="33" t="n">
        <v>2.5016650390625</v>
      </c>
      <c r="F77" s="33" t="n">
        <v>1.558999938964844</v>
      </c>
      <c r="G77" s="33" t="n">
        <v>1.606999969482422</v>
      </c>
      <c r="H77" s="33" t="n">
        <v>1.104432983398437</v>
      </c>
      <c r="I77" s="33" t="n">
        <v>1.226999969482422</v>
      </c>
      <c r="J77" s="33" t="n">
        <v>25.22023773193359</v>
      </c>
      <c r="K77" s="33" t="n">
        <v>8520</v>
      </c>
      <c r="L77" s="33" t="n">
        <v>23.1200008392334</v>
      </c>
      <c r="M77" s="33" t="n">
        <v>88.47000122070312</v>
      </c>
      <c r="N77" s="33" t="n">
        <v>107.9599990844727</v>
      </c>
      <c r="O77" s="33" t="n">
        <v>16.07999992370605</v>
      </c>
      <c r="P77" s="33" t="n">
        <v>17</v>
      </c>
    </row>
    <row r="78">
      <c r="B78" s="32" t="n">
        <v>43040</v>
      </c>
      <c r="C78" s="33" t="n">
        <v>46.31000137329102</v>
      </c>
      <c r="D78" s="33" t="n">
        <v>19.7575</v>
      </c>
      <c r="E78" s="33" t="n">
        <v>2.499131927490235</v>
      </c>
      <c r="F78" s="33" t="n">
        <v>1.556000061035156</v>
      </c>
      <c r="G78" s="33" t="n">
        <v>1.513000030517578</v>
      </c>
      <c r="H78" s="33" t="n">
        <v>1.066960983276367</v>
      </c>
      <c r="I78" s="33" t="n">
        <v>1.216999969482422</v>
      </c>
      <c r="J78" s="33" t="n">
        <v>25.5</v>
      </c>
      <c r="K78" s="33" t="n">
        <v>8380</v>
      </c>
      <c r="L78" s="33" t="n">
        <v>23.04999923706055</v>
      </c>
      <c r="M78" s="33" t="n">
        <v>87.77999877929688</v>
      </c>
      <c r="N78" s="33" t="n">
        <v>107.4700012207031</v>
      </c>
      <c r="O78" s="33" t="n">
        <v>16.21999931335449</v>
      </c>
      <c r="P78" s="33" t="n">
        <v>17.1299991607666</v>
      </c>
    </row>
    <row r="79">
      <c r="B79" s="32" t="n">
        <v>43070</v>
      </c>
      <c r="C79" s="33" t="n">
        <v>45.22000122070312</v>
      </c>
      <c r="D79" s="33" t="n">
        <v>19.575</v>
      </c>
      <c r="E79" s="33" t="n">
        <v>2.634664916992187</v>
      </c>
      <c r="F79" s="33" t="n">
        <v>1.581999969482422</v>
      </c>
      <c r="G79" s="33" t="n">
        <v>1.566999969482422</v>
      </c>
      <c r="H79" s="33" t="n">
        <v>1.114293975830078</v>
      </c>
      <c r="I79" s="33" t="n">
        <v>1.29</v>
      </c>
      <c r="J79" s="33" t="n">
        <v>26.6726188659668</v>
      </c>
      <c r="K79" s="33" t="n">
        <v>8250</v>
      </c>
      <c r="L79" s="33" t="n">
        <v>23.04000091552734</v>
      </c>
      <c r="M79" s="33" t="n">
        <v>87.26000213623047</v>
      </c>
      <c r="N79" s="33" t="n">
        <v>107.379997253418</v>
      </c>
      <c r="O79" s="33" t="n">
        <v>15.72000026702881</v>
      </c>
      <c r="P79" s="33" t="n">
        <v>16.60000038146973</v>
      </c>
    </row>
    <row r="80">
      <c r="B80" s="32" t="n">
        <v>43101</v>
      </c>
      <c r="C80" s="33" t="n">
        <v>45.77000045776367</v>
      </c>
      <c r="D80" s="33" t="n">
        <v>18.42</v>
      </c>
      <c r="E80" s="33" t="n">
        <v>2.545997924804687</v>
      </c>
      <c r="F80" s="33" t="n">
        <v>1.481000061035156</v>
      </c>
      <c r="G80" s="33" t="n">
        <v>1.503999938964844</v>
      </c>
      <c r="H80" s="33" t="n">
        <v>1.074850006103516</v>
      </c>
      <c r="I80" s="33" t="n">
        <v>1.204000015258789</v>
      </c>
      <c r="J80" s="33" t="n">
        <v>25.5476188659668</v>
      </c>
      <c r="K80" s="33" t="n">
        <v>8240</v>
      </c>
      <c r="L80" s="33" t="n">
        <v>23.22999954223633</v>
      </c>
      <c r="M80" s="33" t="n">
        <v>87.30000305175781</v>
      </c>
      <c r="N80" s="33" t="n">
        <v>107.4400024414062</v>
      </c>
      <c r="O80" s="33" t="n">
        <v>15.94999980926514</v>
      </c>
      <c r="P80" s="33" t="n">
        <v>16.35000038146973</v>
      </c>
    </row>
    <row r="81">
      <c r="B81" s="32" t="n">
        <v>43132</v>
      </c>
      <c r="C81" s="33" t="n">
        <v>42.65999984741211</v>
      </c>
      <c r="D81" s="33" t="n">
        <v>18.1525</v>
      </c>
      <c r="E81" s="33" t="n">
        <v>2.492799072265625</v>
      </c>
      <c r="F81" s="33" t="n">
        <v>1.46</v>
      </c>
      <c r="G81" s="33" t="n">
        <v>1.51</v>
      </c>
      <c r="H81" s="33" t="n">
        <v>1.050197982788086</v>
      </c>
      <c r="I81" s="33" t="n">
        <v>1.174000015258789</v>
      </c>
      <c r="J81" s="33" t="n">
        <v>24.01190567016602</v>
      </c>
      <c r="K81" s="33" t="n">
        <v>8400</v>
      </c>
      <c r="L81" s="33" t="n">
        <v>23.10000038146973</v>
      </c>
      <c r="M81" s="33" t="n">
        <v>86.18000030517578</v>
      </c>
      <c r="N81" s="33" t="n">
        <v>106.7699966430664</v>
      </c>
      <c r="O81" s="33" t="n">
        <v>15.78999996185303</v>
      </c>
      <c r="P81" s="33" t="n">
        <v>15.77999973297119</v>
      </c>
    </row>
    <row r="82">
      <c r="B82" s="32" t="n">
        <v>43160</v>
      </c>
      <c r="C82" s="33" t="n">
        <v>42.84999847412109</v>
      </c>
      <c r="D82" s="33" t="n">
        <v>17.9675</v>
      </c>
      <c r="E82" s="33" t="n">
        <v>2.136000061035156</v>
      </c>
      <c r="F82" s="33" t="n">
        <v>1.476300048828125</v>
      </c>
      <c r="G82" s="33" t="n">
        <v>1.396000061035156</v>
      </c>
      <c r="H82" s="33" t="n">
        <v>1.045267028808594</v>
      </c>
      <c r="I82" s="33" t="n">
        <v>1.178000030517578</v>
      </c>
      <c r="J82" s="33" t="n">
        <v>24.78571319580078</v>
      </c>
      <c r="K82" s="33" t="n">
        <v>8800</v>
      </c>
      <c r="L82" s="33" t="n">
        <v>23.1299991607666</v>
      </c>
      <c r="M82" s="33" t="n">
        <v>85.63999938964844</v>
      </c>
      <c r="N82" s="33" t="n">
        <v>105.0400009155273</v>
      </c>
      <c r="O82" s="33" t="n">
        <v>15.86999988555908</v>
      </c>
      <c r="P82" s="33" t="n">
        <v>16.26000022888184</v>
      </c>
    </row>
    <row r="83">
      <c r="B83" s="32" t="n">
        <v>43191</v>
      </c>
      <c r="C83" s="33" t="n">
        <v>43.70999908447266</v>
      </c>
      <c r="D83" s="33" t="n">
        <v>18.7225</v>
      </c>
      <c r="E83" s="33" t="n">
        <v>2.194499969482422</v>
      </c>
      <c r="F83" s="33" t="n">
        <v>1.453999938964844</v>
      </c>
      <c r="G83" s="33" t="n">
        <v>1.45</v>
      </c>
      <c r="H83" s="33" t="n">
        <v>1.060058975219726</v>
      </c>
      <c r="I83" s="33" t="n">
        <v>1.214000015258789</v>
      </c>
      <c r="J83" s="33" t="n">
        <v>24.3214282989502</v>
      </c>
      <c r="K83" s="33" t="n">
        <v>8950</v>
      </c>
      <c r="L83" s="33" t="n">
        <v>23.11000061035156</v>
      </c>
      <c r="M83" s="33" t="n">
        <v>85.69999694824219</v>
      </c>
      <c r="N83" s="33" t="n">
        <v>105.5899963378906</v>
      </c>
      <c r="O83" s="33" t="n">
        <v>16.04000091552734</v>
      </c>
      <c r="P83" s="33" t="n">
        <v>16.09000015258789</v>
      </c>
    </row>
    <row r="84">
      <c r="B84" s="32" t="n">
        <v>43221</v>
      </c>
      <c r="C84" s="33" t="n">
        <v>42.97999954223633</v>
      </c>
      <c r="D84" s="33" t="n">
        <v>19.315</v>
      </c>
      <c r="E84" s="33" t="n">
        <v>2.268000030517578</v>
      </c>
      <c r="F84" s="33" t="n">
        <v>1.41</v>
      </c>
      <c r="G84" s="33" t="n">
        <v>1.428000030517578</v>
      </c>
      <c r="H84" s="33" t="n">
        <v>1.074850006103516</v>
      </c>
      <c r="I84" s="33" t="n">
        <v>1.194000015258789</v>
      </c>
      <c r="J84" s="33" t="n">
        <v>22.6785717010498</v>
      </c>
      <c r="K84" s="33" t="n">
        <v>8910</v>
      </c>
      <c r="L84" s="33" t="n">
        <v>22.98999977111816</v>
      </c>
      <c r="M84" s="33" t="n">
        <v>85.37999725341797</v>
      </c>
      <c r="N84" s="33" t="n">
        <v>104.370002746582</v>
      </c>
      <c r="O84" s="33" t="n">
        <v>16.8799991607666</v>
      </c>
      <c r="P84" s="33" t="n">
        <v>16.75</v>
      </c>
    </row>
    <row r="85">
      <c r="B85" s="32" t="n">
        <v>43252</v>
      </c>
      <c r="C85" s="33" t="n">
        <v>42.95000076293945</v>
      </c>
      <c r="D85" s="33" t="n">
        <v>19.76</v>
      </c>
      <c r="E85" s="33" t="n">
        <v>2.236000061035156</v>
      </c>
      <c r="F85" s="33" t="n">
        <v>1.446000061035156</v>
      </c>
      <c r="G85" s="33" t="n">
        <v>1.433999938964844</v>
      </c>
      <c r="H85" s="33" t="n">
        <v>1.114293975830078</v>
      </c>
      <c r="I85" s="33" t="n">
        <v>1.198000030517578</v>
      </c>
      <c r="J85" s="33" t="n">
        <v>22.85714340209961</v>
      </c>
      <c r="K85" s="33" t="n">
        <v>8960</v>
      </c>
      <c r="L85" s="33" t="n">
        <v>22.89999961853027</v>
      </c>
      <c r="M85" s="33" t="n">
        <v>85.08000183105469</v>
      </c>
      <c r="N85" s="33" t="n">
        <v>104.0400009155273</v>
      </c>
      <c r="O85" s="33" t="n">
        <v>16.45000076293945</v>
      </c>
      <c r="P85" s="33" t="n">
        <v>16.63999938964844</v>
      </c>
    </row>
    <row r="86">
      <c r="B86" s="32" t="n">
        <v>43282</v>
      </c>
      <c r="C86" s="33" t="n">
        <v>43.75</v>
      </c>
      <c r="D86" s="33" t="n">
        <v>20.3725</v>
      </c>
      <c r="E86" s="33" t="n">
        <v>2.485</v>
      </c>
      <c r="F86" s="33" t="n">
        <v>1.6</v>
      </c>
      <c r="G86" s="33" t="n">
        <v>1.573999938964844</v>
      </c>
      <c r="H86" s="33" t="n">
        <v>1.114293975830078</v>
      </c>
      <c r="I86" s="33" t="n">
        <v>1.225999984741211</v>
      </c>
      <c r="J86" s="33" t="n">
        <v>24.36904716491699</v>
      </c>
      <c r="K86" s="33" t="n">
        <v>9050</v>
      </c>
      <c r="L86" s="33" t="n">
        <v>23.02000045776367</v>
      </c>
      <c r="M86" s="33" t="n">
        <v>86.12000274658203</v>
      </c>
      <c r="N86" s="33" t="n">
        <v>105.4700012207031</v>
      </c>
      <c r="O86" s="33" t="n">
        <v>16.85000038146973</v>
      </c>
      <c r="P86" s="33" t="n">
        <v>17.04000091552734</v>
      </c>
    </row>
    <row r="87">
      <c r="B87" s="32" t="n">
        <v>43313</v>
      </c>
      <c r="C87" s="33" t="n">
        <v>42.61999893188477</v>
      </c>
      <c r="D87" s="33" t="n">
        <v>20.3125</v>
      </c>
      <c r="E87" s="33" t="n">
        <v>2.478500061035156</v>
      </c>
      <c r="F87" s="33" t="n">
        <v>1.568000030517578</v>
      </c>
      <c r="G87" s="33" t="n">
        <v>1.56</v>
      </c>
      <c r="H87" s="33" t="n">
        <v>1.079781036376953</v>
      </c>
      <c r="I87" s="33" t="n">
        <v>1.234000015258789</v>
      </c>
      <c r="J87" s="33" t="n">
        <v>23.21428680419922</v>
      </c>
      <c r="K87" s="33" t="n">
        <v>9000</v>
      </c>
      <c r="L87" s="33" t="n">
        <v>23.05999946594238</v>
      </c>
      <c r="M87" s="33" t="n">
        <v>86.36000061035156</v>
      </c>
      <c r="N87" s="33" t="n">
        <v>105.3249969482422</v>
      </c>
      <c r="O87" s="33" t="n">
        <v>17.45999908447266</v>
      </c>
      <c r="P87" s="33" t="n">
        <v>17.34000015258789</v>
      </c>
    </row>
    <row r="88">
      <c r="B88" s="32" t="n">
        <v>43344</v>
      </c>
      <c r="C88" s="33" t="n">
        <v>42.11999893188477</v>
      </c>
      <c r="D88" s="33" t="n">
        <v>20.22</v>
      </c>
      <c r="E88" s="33" t="n">
        <v>2.44</v>
      </c>
      <c r="F88" s="33" t="n">
        <v>1.543899993896484</v>
      </c>
      <c r="G88" s="33" t="n">
        <v>1.511999969482422</v>
      </c>
      <c r="H88" s="33" t="n">
        <v>1.097245025634766</v>
      </c>
      <c r="I88" s="33" t="n">
        <v>1.244000015258789</v>
      </c>
      <c r="J88" s="33" t="n">
        <v>23.73809432983398</v>
      </c>
      <c r="K88" s="33" t="n">
        <v>9100</v>
      </c>
      <c r="L88" s="33" t="n">
        <v>23.17000007629395</v>
      </c>
      <c r="M88" s="33" t="n">
        <v>86.44000244140625</v>
      </c>
      <c r="N88" s="33" t="n">
        <v>103.7099990844727</v>
      </c>
      <c r="O88" s="33" t="n">
        <v>17.19000053405762</v>
      </c>
      <c r="P88" s="33" t="n">
        <v>17.07999992370605</v>
      </c>
    </row>
    <row r="89">
      <c r="B89" s="32" t="n">
        <v>43374</v>
      </c>
      <c r="C89" s="33" t="n">
        <v>40.56000137329102</v>
      </c>
      <c r="D89" s="33" t="n">
        <v>20.265</v>
      </c>
      <c r="E89" s="33" t="n">
        <v>2.423000030517578</v>
      </c>
      <c r="F89" s="33" t="n">
        <v>1.583000030517578</v>
      </c>
      <c r="G89" s="33" t="n">
        <v>1.521999969482422</v>
      </c>
      <c r="H89" s="33" t="n">
        <v>1.087314987182617</v>
      </c>
      <c r="I89" s="33" t="n">
        <v>1.254000015258789</v>
      </c>
      <c r="J89" s="33" t="n">
        <v>22.21428680419922</v>
      </c>
      <c r="K89" s="33" t="n">
        <v>9060</v>
      </c>
      <c r="L89" s="33" t="n">
        <v>23.01000022888184</v>
      </c>
      <c r="M89" s="33" t="n">
        <v>84.34999847412109</v>
      </c>
      <c r="N89" s="33" t="n">
        <v>102.7900009155273</v>
      </c>
      <c r="O89" s="33" t="n">
        <v>17.15999984741211</v>
      </c>
      <c r="P89" s="33" t="n">
        <v>15.98999977111816</v>
      </c>
    </row>
    <row r="90">
      <c r="B90" s="32" t="n">
        <v>43405</v>
      </c>
      <c r="C90" s="33" t="n">
        <v>41.34000015258789</v>
      </c>
      <c r="D90" s="33" t="n">
        <v>20.7025</v>
      </c>
      <c r="E90" s="33" t="n">
        <v>2.57</v>
      </c>
      <c r="F90" s="33" t="n">
        <v>1.61</v>
      </c>
      <c r="G90" s="33" t="n">
        <v>1.576000061035156</v>
      </c>
      <c r="H90" s="33" t="n">
        <v>1.092279968261719</v>
      </c>
      <c r="I90" s="33" t="n">
        <v>1.264000015258789</v>
      </c>
      <c r="J90" s="33" t="n">
        <v>22.72023773193359</v>
      </c>
      <c r="K90" s="33" t="n">
        <v>9370</v>
      </c>
      <c r="L90" s="33" t="n">
        <v>22.65999984741211</v>
      </c>
      <c r="M90" s="33" t="n">
        <v>83.59999847412109</v>
      </c>
      <c r="N90" s="33" t="n">
        <v>100.5800018310547</v>
      </c>
      <c r="O90" s="33" t="n">
        <v>17.04000091552734</v>
      </c>
      <c r="P90" s="33" t="n">
        <v>16.05999946594238</v>
      </c>
    </row>
    <row r="91">
      <c r="B91" s="32" t="n">
        <v>43435</v>
      </c>
      <c r="C91" s="33" t="n">
        <v>39.38000106811523</v>
      </c>
      <c r="D91" s="33" t="n">
        <v>19.82</v>
      </c>
      <c r="E91" s="33" t="n">
        <v>2.585</v>
      </c>
      <c r="F91" s="33" t="n">
        <v>1.576999969482422</v>
      </c>
      <c r="G91" s="33" t="n">
        <v>1.531999969482422</v>
      </c>
      <c r="H91" s="33" t="n">
        <v>1.12703498840332</v>
      </c>
      <c r="I91" s="33" t="n">
        <v>1.271999969482422</v>
      </c>
      <c r="J91" s="33" t="n">
        <v>20.5535717010498</v>
      </c>
      <c r="K91" s="33" t="n">
        <v>9290</v>
      </c>
      <c r="L91" s="33" t="n">
        <v>21.78000068664551</v>
      </c>
      <c r="M91" s="33" t="n">
        <v>81.09999847412109</v>
      </c>
      <c r="N91" s="33" t="n">
        <v>99.98500061035156</v>
      </c>
      <c r="O91" s="33" t="n">
        <v>15.57999992370605</v>
      </c>
      <c r="P91" s="33" t="n">
        <v>14.03999996185303</v>
      </c>
    </row>
    <row r="92">
      <c r="B92" s="32" t="n">
        <v>43466</v>
      </c>
      <c r="C92" s="33" t="n">
        <v>42.72000122070312</v>
      </c>
      <c r="D92" s="33" t="n">
        <v>20.6625</v>
      </c>
      <c r="E92" s="33" t="n">
        <v>2.650499877929688</v>
      </c>
      <c r="F92" s="33" t="n">
        <v>1.66</v>
      </c>
      <c r="G92" s="33" t="n">
        <v>1.541999969482422</v>
      </c>
      <c r="H92" s="33" t="n">
        <v>1.107174987792969</v>
      </c>
      <c r="I92" s="33" t="n">
        <v>1.26</v>
      </c>
      <c r="J92" s="33" t="n">
        <v>23.30952453613281</v>
      </c>
      <c r="K92" s="33" t="n">
        <v>9880</v>
      </c>
      <c r="L92" s="33" t="n">
        <v>22.44000053405762</v>
      </c>
      <c r="M92" s="33" t="n">
        <v>85.11000061035156</v>
      </c>
      <c r="N92" s="33" t="n">
        <v>102.4499969482422</v>
      </c>
      <c r="O92" s="33" t="n">
        <v>16.29999923706055</v>
      </c>
      <c r="P92" s="33" t="n">
        <v>15.94999980926514</v>
      </c>
    </row>
    <row r="93">
      <c r="B93" s="32" t="n">
        <v>43497</v>
      </c>
      <c r="C93" s="33" t="n">
        <v>43.86999893188477</v>
      </c>
      <c r="D93" s="33" t="n">
        <v>21.0325</v>
      </c>
      <c r="E93" s="33" t="n">
        <v>2.700499877929687</v>
      </c>
      <c r="F93" s="33" t="n">
        <v>1.663000030517578</v>
      </c>
      <c r="G93" s="33" t="n">
        <v>1.58</v>
      </c>
      <c r="H93" s="33" t="n">
        <v>1.102210006713867</v>
      </c>
      <c r="I93" s="33" t="n">
        <v>1.286000061035156</v>
      </c>
      <c r="J93" s="33" t="n">
        <v>23.8214282989502</v>
      </c>
      <c r="K93" s="33" t="n">
        <v>9980</v>
      </c>
      <c r="L93" s="33" t="n">
        <v>22.79999923706055</v>
      </c>
      <c r="M93" s="33" t="n">
        <v>85.75</v>
      </c>
      <c r="N93" s="33" t="n">
        <v>104.1500015258789</v>
      </c>
      <c r="O93" s="33" t="n">
        <v>17.31999969482422</v>
      </c>
      <c r="P93" s="33" t="n">
        <v>16.45000076293945</v>
      </c>
    </row>
    <row r="94">
      <c r="B94" s="32" t="n">
        <v>43525</v>
      </c>
      <c r="C94" s="33" t="n">
        <v>44.81999969482422</v>
      </c>
      <c r="D94" s="33" t="n">
        <v>21.9575</v>
      </c>
      <c r="E94" s="33" t="n">
        <v>2.753999938964844</v>
      </c>
      <c r="F94" s="33" t="n">
        <v>1.554799957275391</v>
      </c>
      <c r="G94" s="33" t="n">
        <v>1.53</v>
      </c>
      <c r="H94" s="33" t="n">
        <v>1.122070007324219</v>
      </c>
      <c r="I94" s="33" t="n">
        <v>1.261999969482422</v>
      </c>
      <c r="J94" s="33" t="n">
        <v>24.9226188659668</v>
      </c>
      <c r="K94" s="33" t="n">
        <v>10650</v>
      </c>
      <c r="L94" s="33" t="n">
        <v>22.63999938964844</v>
      </c>
      <c r="M94" s="33" t="n">
        <v>86.47000122070312</v>
      </c>
      <c r="N94" s="33" t="n">
        <v>103.2900009155273</v>
      </c>
      <c r="O94" s="33" t="n">
        <v>17.13999938964844</v>
      </c>
      <c r="P94" s="33" t="n">
        <v>16.36000061035156</v>
      </c>
    </row>
    <row r="95">
      <c r="B95" s="32" t="n">
        <v>43556</v>
      </c>
      <c r="C95" s="33" t="n">
        <v>45.4900016784668</v>
      </c>
      <c r="D95" s="33" t="n">
        <v>22.0875</v>
      </c>
      <c r="E95" s="33" t="n">
        <v>2.88</v>
      </c>
      <c r="F95" s="33" t="n">
        <v>1.661999969482422</v>
      </c>
      <c r="G95" s="33" t="n">
        <v>1.611999969482422</v>
      </c>
      <c r="H95" s="33" t="n">
        <v>1.130014038085938</v>
      </c>
      <c r="I95" s="33" t="n">
        <v>1.3</v>
      </c>
      <c r="J95" s="33" t="n">
        <v>24.63095283508301</v>
      </c>
      <c r="K95" s="33" t="n">
        <v>11250</v>
      </c>
      <c r="L95" s="33" t="n">
        <v>22.96999931335449</v>
      </c>
      <c r="M95" s="33" t="n">
        <v>86.94000244140625</v>
      </c>
      <c r="N95" s="33" t="n">
        <v>104.3300018310547</v>
      </c>
      <c r="O95" s="33" t="n">
        <v>18</v>
      </c>
      <c r="P95" s="33" t="n">
        <v>16.56999969482422</v>
      </c>
    </row>
    <row r="96">
      <c r="B96" s="32" t="n">
        <v>43586</v>
      </c>
      <c r="C96" s="33" t="n">
        <v>44.70999908447266</v>
      </c>
      <c r="D96" s="33" t="n">
        <v>22.53</v>
      </c>
      <c r="E96" s="33" t="n">
        <v>2.89</v>
      </c>
      <c r="F96" s="33" t="n">
        <v>1.626000061035156</v>
      </c>
      <c r="G96" s="33" t="n">
        <v>1.511999969482422</v>
      </c>
      <c r="H96" s="33" t="n">
        <v>1.1141259765625</v>
      </c>
      <c r="I96" s="33" t="n">
        <v>1.298000030517578</v>
      </c>
      <c r="J96" s="33" t="n">
        <v>24.58333206176758</v>
      </c>
      <c r="K96" s="33" t="n">
        <v>11950</v>
      </c>
      <c r="L96" s="33" t="n">
        <v>22.63999938964844</v>
      </c>
      <c r="M96" s="33" t="n">
        <v>84.90000152587891</v>
      </c>
      <c r="N96" s="33" t="n">
        <v>102.5899963378906</v>
      </c>
      <c r="O96" s="33" t="n">
        <v>17.55999946594238</v>
      </c>
      <c r="P96" s="33" t="n">
        <v>16.01000022888184</v>
      </c>
    </row>
    <row r="97">
      <c r="B97" s="32" t="n">
        <v>43617</v>
      </c>
      <c r="C97" s="33" t="n">
        <v>46.20000076293945</v>
      </c>
      <c r="D97" s="33" t="n">
        <v>23.11</v>
      </c>
      <c r="E97" s="33" t="n">
        <v>2.975</v>
      </c>
      <c r="F97" s="33" t="n">
        <v>1.598000030517578</v>
      </c>
      <c r="G97" s="33" t="n">
        <v>1.493999938964844</v>
      </c>
      <c r="H97" s="33" t="n">
        <v>1.132739028930664</v>
      </c>
      <c r="I97" s="33" t="n">
        <v>1.275999984741211</v>
      </c>
      <c r="J97" s="33" t="n">
        <v>25.55952453613281</v>
      </c>
      <c r="K97" s="33" t="n">
        <v>11800</v>
      </c>
      <c r="L97" s="33" t="n">
        <v>22.65999984741211</v>
      </c>
      <c r="M97" s="33" t="n">
        <v>87.18000030517578</v>
      </c>
      <c r="N97" s="33" t="n">
        <v>105.0899963378906</v>
      </c>
      <c r="O97" s="33" t="n">
        <v>17.94000053405762</v>
      </c>
      <c r="P97" s="33" t="n">
        <v>16.6200008392334</v>
      </c>
    </row>
    <row r="98">
      <c r="B98" s="32" t="n">
        <v>43647</v>
      </c>
      <c r="C98" s="33" t="n">
        <v>45.25</v>
      </c>
      <c r="D98" s="33" t="n">
        <v>24.11</v>
      </c>
      <c r="E98" s="33" t="n">
        <v>2.85</v>
      </c>
      <c r="F98" s="33" t="n">
        <v>1.648000030517578</v>
      </c>
      <c r="G98" s="33" t="n">
        <v>1.603999938964844</v>
      </c>
      <c r="H98" s="33" t="n">
        <v>1.130745010375977</v>
      </c>
      <c r="I98" s="33" t="n">
        <v>1.258000030517578</v>
      </c>
      <c r="J98" s="33" t="n">
        <v>26.35714340209961</v>
      </c>
      <c r="K98" s="33" t="n">
        <v>11650</v>
      </c>
      <c r="L98" s="33" t="n">
        <v>22.81999969482422</v>
      </c>
      <c r="M98" s="33" t="n">
        <v>86.93000030517578</v>
      </c>
      <c r="N98" s="33" t="n">
        <v>105.1699981689453</v>
      </c>
      <c r="O98" s="33" t="n">
        <v>18.56999969482422</v>
      </c>
      <c r="P98" s="33" t="n">
        <v>16.42000007629395</v>
      </c>
    </row>
    <row r="99">
      <c r="B99" s="32" t="n">
        <v>43678</v>
      </c>
      <c r="C99" s="33" t="n">
        <v>45.45999908447266</v>
      </c>
      <c r="D99" s="33" t="n">
        <v>24.095</v>
      </c>
      <c r="E99" s="33" t="n">
        <v>2.99</v>
      </c>
      <c r="F99" s="33" t="n">
        <v>1.693999938964844</v>
      </c>
      <c r="G99" s="33" t="n">
        <v>1.646000061035156</v>
      </c>
      <c r="H99" s="33" t="n">
        <v>1.164647979736328</v>
      </c>
      <c r="I99" s="33" t="n">
        <v>1.261999969482422</v>
      </c>
      <c r="J99" s="33" t="n">
        <v>27.9761905670166</v>
      </c>
      <c r="K99" s="33" t="n">
        <v>11550</v>
      </c>
      <c r="L99" s="33" t="n">
        <v>22.61000061035156</v>
      </c>
      <c r="M99" s="33" t="n">
        <v>87.16000366210938</v>
      </c>
      <c r="N99" s="33" t="n">
        <v>106.0899963378906</v>
      </c>
      <c r="O99" s="33" t="n">
        <v>18.86000061035156</v>
      </c>
      <c r="P99" s="33" t="n">
        <v>16.45999908447266</v>
      </c>
    </row>
    <row r="100">
      <c r="B100" s="32" t="n">
        <v>43709</v>
      </c>
      <c r="C100" s="33" t="n">
        <v>46.47000122070312</v>
      </c>
      <c r="D100" s="33" t="n">
        <v>24.43</v>
      </c>
      <c r="E100" s="33" t="n">
        <v>2.955</v>
      </c>
      <c r="F100" s="33" t="n">
        <v>1.661999969482422</v>
      </c>
      <c r="G100" s="33" t="n">
        <v>1.538000030517578</v>
      </c>
      <c r="H100" s="33" t="n">
        <v>1.152682037353516</v>
      </c>
      <c r="I100" s="33" t="n">
        <v>1.265999984741211</v>
      </c>
      <c r="J100" s="33" t="n">
        <v>29.52976226806641</v>
      </c>
      <c r="K100" s="33" t="n">
        <v>11750</v>
      </c>
      <c r="L100" s="33" t="n">
        <v>22.59000015258789</v>
      </c>
      <c r="M100" s="33" t="n">
        <v>87.16999816894531</v>
      </c>
      <c r="N100" s="33" t="n">
        <v>103.4599990844727</v>
      </c>
      <c r="O100" s="33" t="n">
        <v>18.63999938964844</v>
      </c>
      <c r="P100" s="33" t="n">
        <v>16.86000061035156</v>
      </c>
    </row>
    <row r="101">
      <c r="B101" s="32" t="n">
        <v>43739</v>
      </c>
      <c r="C101" s="33" t="n">
        <v>47.16999816894531</v>
      </c>
      <c r="D101" s="33" t="n">
        <v>23.24</v>
      </c>
      <c r="E101" s="33" t="n">
        <v>2.865</v>
      </c>
      <c r="F101" s="33" t="n">
        <v>1.711999969482422</v>
      </c>
      <c r="G101" s="33" t="n">
        <v>1.578000030517578</v>
      </c>
      <c r="H101" s="33" t="n">
        <v>1.136727981567383</v>
      </c>
      <c r="I101" s="33" t="n">
        <v>1.283999938964844</v>
      </c>
      <c r="J101" s="33" t="n">
        <v>29.86309432983398</v>
      </c>
      <c r="K101" s="33" t="n">
        <v>11850</v>
      </c>
      <c r="L101" s="33" t="n">
        <v>22.40999984741211</v>
      </c>
      <c r="M101" s="33" t="n">
        <v>86.80999755859375</v>
      </c>
      <c r="N101" s="33" t="n">
        <v>103.3399963378906</v>
      </c>
      <c r="O101" s="33" t="n">
        <v>18.29999923706055</v>
      </c>
      <c r="P101" s="33" t="n">
        <v>16.36000061035156</v>
      </c>
    </row>
    <row r="102">
      <c r="B102" s="32" t="n">
        <v>43770</v>
      </c>
      <c r="C102" s="33" t="n">
        <v>46.81000137329102</v>
      </c>
      <c r="D102" s="33" t="n">
        <v>23</v>
      </c>
      <c r="E102" s="33" t="n">
        <v>2.91</v>
      </c>
      <c r="F102" s="33" t="n">
        <v>1.611999969482422</v>
      </c>
      <c r="G102" s="33" t="n">
        <v>1.581999969482422</v>
      </c>
      <c r="H102" s="33" t="n">
        <v>1.152682037353516</v>
      </c>
      <c r="I102" s="33" t="n">
        <v>1.301999969482422</v>
      </c>
      <c r="J102" s="33" t="n">
        <v>31.01190567016602</v>
      </c>
      <c r="K102" s="33" t="n">
        <v>11950</v>
      </c>
      <c r="L102" s="33" t="n">
        <v>22.45999908447266</v>
      </c>
      <c r="M102" s="33" t="n">
        <v>86.94000244140625</v>
      </c>
      <c r="N102" s="33" t="n">
        <v>104.5299987792969</v>
      </c>
      <c r="O102" s="33" t="n">
        <v>18.72999954223633</v>
      </c>
      <c r="P102" s="33" t="n">
        <v>16.8700008392334</v>
      </c>
    </row>
    <row r="103">
      <c r="B103" s="32" t="n">
        <v>43800</v>
      </c>
      <c r="C103" s="33" t="n">
        <v>47.90999984741211</v>
      </c>
      <c r="D103" s="33" t="n">
        <v>23.29</v>
      </c>
      <c r="E103" s="33" t="n">
        <v>2.945</v>
      </c>
      <c r="F103" s="33" t="n">
        <v>1.706000061035156</v>
      </c>
      <c r="G103" s="33" t="n">
        <v>1.668000030517578</v>
      </c>
      <c r="H103" s="33" t="n">
        <v>1.162652969360352</v>
      </c>
      <c r="I103" s="33" t="n">
        <v>1.318000030517578</v>
      </c>
      <c r="J103" s="33" t="n">
        <v>29.75595283508301</v>
      </c>
      <c r="K103" s="33" t="n">
        <v>11600</v>
      </c>
      <c r="L103" s="33" t="n">
        <v>22.81999969482422</v>
      </c>
      <c r="M103" s="33" t="n">
        <v>87.94000244140625</v>
      </c>
      <c r="N103" s="33" t="n">
        <v>105.5899963378906</v>
      </c>
      <c r="O103" s="33" t="n">
        <v>18.64999961853027</v>
      </c>
      <c r="P103" s="33" t="n">
        <v>16.75</v>
      </c>
    </row>
    <row r="104">
      <c r="B104" s="32" t="n">
        <v>43831</v>
      </c>
      <c r="C104" s="33" t="n">
        <v>48.5</v>
      </c>
      <c r="D104" s="33" t="n">
        <v>24.055</v>
      </c>
      <c r="E104" s="33" t="n">
        <v>3.105</v>
      </c>
      <c r="F104" s="33" t="n">
        <v>1.778000030517578</v>
      </c>
      <c r="G104" s="33" t="n">
        <v>1.671999969482422</v>
      </c>
      <c r="H104" s="33" t="n">
        <v>1.140717010498047</v>
      </c>
      <c r="I104" s="33" t="n">
        <v>1.28</v>
      </c>
      <c r="J104" s="33" t="n">
        <v>32.38095092773438</v>
      </c>
      <c r="K104" s="33" t="n">
        <v>11600</v>
      </c>
      <c r="L104" s="33" t="n">
        <v>22.61000061035156</v>
      </c>
      <c r="M104" s="33" t="n">
        <v>87.52999877929688</v>
      </c>
      <c r="N104" s="33" t="n">
        <v>105.1900024414062</v>
      </c>
      <c r="O104" s="33" t="n">
        <v>18.81999969482422</v>
      </c>
      <c r="P104" s="33" t="n">
        <v>16.81999969482422</v>
      </c>
    </row>
    <row r="105">
      <c r="B105" s="32" t="n">
        <v>43862</v>
      </c>
      <c r="C105" s="33" t="n">
        <v>44.13999938964844</v>
      </c>
      <c r="D105" s="33" t="n">
        <v>22.29</v>
      </c>
      <c r="E105" s="33" t="n">
        <v>2.965</v>
      </c>
      <c r="F105" s="33" t="n">
        <v>1.72</v>
      </c>
      <c r="G105" s="33" t="n">
        <v>1.611999969482422</v>
      </c>
      <c r="H105" s="33" t="n">
        <v>1.134000015258789</v>
      </c>
      <c r="I105" s="33" t="n">
        <v>1.175999984741211</v>
      </c>
      <c r="J105" s="33" t="n">
        <v>30.08333206176758</v>
      </c>
      <c r="K105" s="33" t="n">
        <v>11100</v>
      </c>
      <c r="L105" s="33" t="n">
        <v>21.98999977111816</v>
      </c>
      <c r="M105" s="33" t="n">
        <v>86.04000091552734</v>
      </c>
      <c r="N105" s="33" t="n">
        <v>102.5999984741211</v>
      </c>
      <c r="O105" s="33" t="n">
        <v>17.19000053405762</v>
      </c>
      <c r="P105" s="33" t="n">
        <v>15.09000015258789</v>
      </c>
    </row>
    <row r="106">
      <c r="B106" s="32" t="n">
        <v>43891</v>
      </c>
      <c r="C106" s="33" t="n">
        <v>34.15000152587891</v>
      </c>
      <c r="D106" s="33" t="n">
        <v>20.48</v>
      </c>
      <c r="E106" s="33" t="n">
        <v>2.475</v>
      </c>
      <c r="F106" s="33" t="n">
        <v>1.618000030517578</v>
      </c>
      <c r="G106" s="33" t="n">
        <v>1.56</v>
      </c>
      <c r="H106" s="33" t="n">
        <v>0.9400000000000001</v>
      </c>
      <c r="I106" s="33" t="n">
        <v>1.13</v>
      </c>
      <c r="J106" s="33" t="n">
        <v>23.97999954223633</v>
      </c>
      <c r="K106" s="33" t="n">
        <v>10850</v>
      </c>
      <c r="L106" s="33" t="n">
        <v>20.45999908447266</v>
      </c>
      <c r="M106" s="33" t="n">
        <v>77.06999969482422</v>
      </c>
      <c r="N106" s="33" t="n">
        <v>88.01000213623047</v>
      </c>
      <c r="O106" s="33" t="n">
        <v>10.77999973297119</v>
      </c>
      <c r="P106" s="33" t="n">
        <v>9.329999923706055</v>
      </c>
    </row>
    <row r="107">
      <c r="B107" s="32" t="n">
        <v>43922</v>
      </c>
      <c r="C107" s="33" t="n">
        <v>36.83000183105469</v>
      </c>
      <c r="D107" s="33" t="n">
        <v>21.325</v>
      </c>
      <c r="E107" s="33" t="n">
        <v>2.6</v>
      </c>
      <c r="F107" s="33" t="n">
        <v>1.648000030517578</v>
      </c>
      <c r="G107" s="33" t="n">
        <v>1.558000030517578</v>
      </c>
      <c r="H107" s="33" t="n">
        <v>0.99</v>
      </c>
      <c r="I107" s="33" t="n">
        <v>1.15</v>
      </c>
      <c r="J107" s="33" t="n">
        <v>26.12666702270508</v>
      </c>
      <c r="K107" s="33" t="n">
        <v>11450</v>
      </c>
      <c r="L107" s="33" t="n">
        <v>20.97999954223633</v>
      </c>
      <c r="M107" s="33" t="n">
        <v>80.43000030517578</v>
      </c>
      <c r="N107" s="33" t="n">
        <v>92.55000305175781</v>
      </c>
      <c r="O107" s="33" t="n">
        <v>12.84000015258789</v>
      </c>
      <c r="P107" s="33" t="n">
        <v>10.77999973297119</v>
      </c>
    </row>
    <row r="108">
      <c r="B108" s="32" t="n">
        <v>43952</v>
      </c>
      <c r="C108" s="33" t="n">
        <v>39.04999923706055</v>
      </c>
      <c r="D108" s="33" t="n">
        <v>22.515</v>
      </c>
      <c r="E108" s="33" t="n">
        <v>2.775</v>
      </c>
      <c r="F108" s="33" t="n">
        <v>1.723999938964844</v>
      </c>
      <c r="G108" s="33" t="n">
        <v>1.606000061035156</v>
      </c>
      <c r="H108" s="33" t="n">
        <v>1.014000015258789</v>
      </c>
      <c r="I108" s="33" t="n">
        <v>1.148000030517578</v>
      </c>
      <c r="J108" s="33" t="n">
        <v>27.10666656494141</v>
      </c>
      <c r="K108" s="33" t="n">
        <v>11850</v>
      </c>
      <c r="L108" s="33" t="n">
        <v>21.36000061035156</v>
      </c>
      <c r="M108" s="33" t="n">
        <v>82.41999816894531</v>
      </c>
      <c r="N108" s="33" t="n">
        <v>95.5</v>
      </c>
      <c r="O108" s="33" t="n">
        <v>14.75</v>
      </c>
      <c r="P108" s="33" t="n">
        <v>12.02999973297119</v>
      </c>
    </row>
    <row r="109">
      <c r="B109" s="32" t="n">
        <v>43983</v>
      </c>
      <c r="C109" s="33" t="n">
        <v>38.29000091552734</v>
      </c>
      <c r="D109" s="33" t="n">
        <v>21.9475</v>
      </c>
      <c r="E109" s="33" t="n">
        <v>2.925</v>
      </c>
      <c r="F109" s="33" t="n">
        <v>1.728000030517578</v>
      </c>
      <c r="G109" s="33" t="n">
        <v>1.68</v>
      </c>
      <c r="H109" s="33" t="n">
        <v>1.04</v>
      </c>
      <c r="I109" s="33" t="n">
        <v>1.121999969482422</v>
      </c>
      <c r="J109" s="33" t="n">
        <v>27.40666770935059</v>
      </c>
      <c r="K109" s="33" t="n">
        <v>11400</v>
      </c>
      <c r="L109" s="33" t="n">
        <v>21.35000038146973</v>
      </c>
      <c r="M109" s="33" t="n">
        <v>81.62000274658203</v>
      </c>
      <c r="N109" s="33" t="n">
        <v>97.37999725341797</v>
      </c>
      <c r="O109" s="33" t="n">
        <v>14.44999980926514</v>
      </c>
      <c r="P109" s="33" t="n">
        <v>12.14999961853027</v>
      </c>
    </row>
    <row r="110">
      <c r="B110" s="32" t="n">
        <v>44013</v>
      </c>
      <c r="C110" s="33" t="n">
        <v>39.13999938964844</v>
      </c>
      <c r="D110" s="33" t="n">
        <v>21.275</v>
      </c>
      <c r="E110" s="33" t="n">
        <v>2.9</v>
      </c>
      <c r="F110" s="33" t="n">
        <v>1.678000030517578</v>
      </c>
      <c r="G110" s="33" t="n">
        <v>1.631999969482422</v>
      </c>
      <c r="H110" s="33" t="n">
        <v>1.05</v>
      </c>
      <c r="I110" s="33" t="n">
        <v>1.155999984741211</v>
      </c>
      <c r="J110" s="33" t="n">
        <v>27.89333343505859</v>
      </c>
      <c r="K110" s="33" t="n">
        <v>11300</v>
      </c>
      <c r="L110" s="33" t="n">
        <v>21.63999938964844</v>
      </c>
      <c r="M110" s="33" t="n">
        <v>85.38999938964844</v>
      </c>
      <c r="N110" s="33" t="n">
        <v>98.13999938964844</v>
      </c>
      <c r="O110" s="33" t="n">
        <v>14.10000038146973</v>
      </c>
      <c r="P110" s="33" t="n">
        <v>11.68000030517578</v>
      </c>
    </row>
    <row r="111">
      <c r="B111" s="32" t="n">
        <v>44044</v>
      </c>
      <c r="C111" s="33" t="n">
        <v>39.7400016784668</v>
      </c>
      <c r="D111" s="33" t="n">
        <v>21.045</v>
      </c>
      <c r="E111" s="33" t="n">
        <v>2.925</v>
      </c>
      <c r="F111" s="33" t="n">
        <v>1.676000061035156</v>
      </c>
      <c r="G111" s="33" t="n">
        <v>1.661999969482422</v>
      </c>
      <c r="H111" s="33" t="n">
        <v>1.085999984741211</v>
      </c>
      <c r="I111" s="33" t="n">
        <v>1.21</v>
      </c>
      <c r="J111" s="33" t="n">
        <v>29.03333282470703</v>
      </c>
      <c r="K111" s="33" t="n">
        <v>11000</v>
      </c>
      <c r="L111" s="33" t="n">
        <v>21.8700008392334</v>
      </c>
      <c r="M111" s="33" t="n">
        <v>85.02999877929688</v>
      </c>
      <c r="N111" s="33" t="n">
        <v>99.98000335693359</v>
      </c>
      <c r="O111" s="33" t="n">
        <v>14.71000003814697</v>
      </c>
      <c r="P111" s="33" t="n">
        <v>12.21000003814697</v>
      </c>
    </row>
    <row r="112">
      <c r="B112" s="32" t="n">
        <v>44075</v>
      </c>
      <c r="C112" s="33" t="n">
        <v>38.58000183105469</v>
      </c>
      <c r="D112" s="33" t="n">
        <v>21.735</v>
      </c>
      <c r="E112" s="33" t="n">
        <v>2.895</v>
      </c>
      <c r="F112" s="33" t="n">
        <v>1.658000030517578</v>
      </c>
      <c r="G112" s="33" t="n">
        <v>1.613999938964844</v>
      </c>
      <c r="H112" s="33" t="n">
        <v>1.044000015258789</v>
      </c>
      <c r="I112" s="33" t="n">
        <v>1.165999984741211</v>
      </c>
      <c r="J112" s="33" t="n">
        <v>31.74666786193848</v>
      </c>
      <c r="K112" s="33" t="n">
        <v>11000</v>
      </c>
      <c r="L112" s="33" t="n">
        <v>21.73999977111816</v>
      </c>
      <c r="M112" s="33" t="n">
        <v>83.90000152587891</v>
      </c>
      <c r="N112" s="33" t="n">
        <v>97.44000244140625</v>
      </c>
      <c r="O112" s="33" t="n">
        <v>13.94999980926514</v>
      </c>
      <c r="P112" s="33" t="n">
        <v>12.14999961853027</v>
      </c>
    </row>
    <row r="113">
      <c r="B113" s="32" t="n">
        <v>44105</v>
      </c>
      <c r="C113" s="33" t="n">
        <v>38.11999893188477</v>
      </c>
      <c r="D113" s="33" t="n">
        <v>21.4025</v>
      </c>
      <c r="E113" s="33" t="n">
        <v>2.95</v>
      </c>
      <c r="F113" s="33" t="n">
        <v>1.758000030517578</v>
      </c>
      <c r="G113" s="33" t="n">
        <v>1.68</v>
      </c>
      <c r="H113" s="33" t="n">
        <v>1.045999984741211</v>
      </c>
      <c r="I113" s="33" t="n">
        <v>1.1</v>
      </c>
      <c r="J113" s="33" t="n">
        <v>28.60000038146973</v>
      </c>
      <c r="K113" s="33" t="n">
        <v>11000</v>
      </c>
      <c r="L113" s="33" t="n">
        <v>21.5</v>
      </c>
      <c r="M113" s="33" t="n">
        <v>83.87999725341797</v>
      </c>
      <c r="N113" s="33" t="n">
        <v>97.30999755859375</v>
      </c>
      <c r="O113" s="33" t="n">
        <v>13.82999992370605</v>
      </c>
      <c r="P113" s="33" t="n">
        <v>11.23999977111816</v>
      </c>
    </row>
    <row r="114">
      <c r="B114" s="32" t="n">
        <v>44136</v>
      </c>
      <c r="C114" s="33" t="n">
        <v>43</v>
      </c>
      <c r="D114" s="33" t="n">
        <v>22.03</v>
      </c>
      <c r="E114" s="33" t="n">
        <v>3</v>
      </c>
      <c r="F114" s="33" t="n">
        <v>1.711999969482422</v>
      </c>
      <c r="G114" s="33" t="n">
        <v>1.736000061035156</v>
      </c>
      <c r="H114" s="33" t="n">
        <v>1.061999969482422</v>
      </c>
      <c r="I114" s="33" t="n">
        <v>1.095999984741211</v>
      </c>
      <c r="J114" s="33" t="n">
        <v>33.20666885375977</v>
      </c>
      <c r="K114" s="33" t="n">
        <v>10800</v>
      </c>
      <c r="L114" s="33" t="n">
        <v>22.01000022888184</v>
      </c>
      <c r="M114" s="33" t="n">
        <v>86.31999969482422</v>
      </c>
      <c r="N114" s="33" t="n">
        <v>101.7799987792969</v>
      </c>
      <c r="O114" s="33" t="n">
        <v>16.47999954223633</v>
      </c>
      <c r="P114" s="33" t="n">
        <v>13.72999954223633</v>
      </c>
    </row>
    <row r="115">
      <c r="B115" s="32" t="n">
        <v>44166</v>
      </c>
      <c r="C115" s="33" t="n">
        <v>43.70999908447266</v>
      </c>
      <c r="D115" s="33" t="n">
        <v>21.6025</v>
      </c>
      <c r="E115" s="33" t="n">
        <v>3.08</v>
      </c>
      <c r="F115" s="33" t="n">
        <v>1.74</v>
      </c>
      <c r="G115" s="33" t="n">
        <v>1.701999969482422</v>
      </c>
      <c r="H115" s="33" t="n">
        <v>1.098000030517578</v>
      </c>
      <c r="I115" s="33" t="n">
        <v>1.09</v>
      </c>
      <c r="J115" s="33" t="n">
        <v>32.93333435058594</v>
      </c>
      <c r="K115" s="33" t="n">
        <v>10650</v>
      </c>
      <c r="L115" s="33" t="n">
        <v>22.28000068664551</v>
      </c>
      <c r="M115" s="33" t="n">
        <v>87.30000305175781</v>
      </c>
      <c r="N115" s="33" t="n">
        <v>102.7200012207031</v>
      </c>
      <c r="O115" s="33" t="n">
        <v>16.88999938964844</v>
      </c>
      <c r="P115" s="33" t="n">
        <v>13.72999954223633</v>
      </c>
    </row>
    <row r="116">
      <c r="B116" s="32" t="n">
        <v>44197</v>
      </c>
      <c r="C116" s="33" t="n">
        <v>42.63000106811523</v>
      </c>
      <c r="D116" s="33" t="n">
        <v>21.42</v>
      </c>
      <c r="E116" s="33" t="n">
        <v>2.985</v>
      </c>
      <c r="F116" s="33" t="n">
        <v>1.748000030517578</v>
      </c>
      <c r="G116" s="33" t="n">
        <v>1.716000061035156</v>
      </c>
      <c r="H116" s="33" t="n">
        <v>1.081999969482422</v>
      </c>
      <c r="I116" s="33" t="n">
        <v>1.068000030517578</v>
      </c>
      <c r="J116" s="33" t="n">
        <v>34.77999877929688</v>
      </c>
      <c r="K116" s="33" t="n">
        <v>10750</v>
      </c>
      <c r="L116" s="33" t="n">
        <v>22.21999931335449</v>
      </c>
      <c r="M116" s="33" t="n">
        <v>86.97000122070312</v>
      </c>
      <c r="N116" s="33" t="n">
        <v>102.5199966430664</v>
      </c>
      <c r="O116" s="33" t="n">
        <v>17.29999923706055</v>
      </c>
      <c r="P116" s="33" t="n">
        <v>14.01000022888184</v>
      </c>
    </row>
    <row r="117">
      <c r="B117" s="32" t="n">
        <v>44228</v>
      </c>
      <c r="C117" s="33" t="n">
        <v>42.9900016784668</v>
      </c>
      <c r="D117" s="33" t="n">
        <v>20.905</v>
      </c>
      <c r="E117" s="33" t="n">
        <v>2.91</v>
      </c>
      <c r="F117" s="33" t="n">
        <v>1.663999938964844</v>
      </c>
      <c r="G117" s="33" t="n">
        <v>1.671999969482422</v>
      </c>
      <c r="H117" s="33" t="n">
        <v>1.055999984741211</v>
      </c>
      <c r="I117" s="33" t="n">
        <v>1.024000015258789</v>
      </c>
      <c r="J117" s="33" t="n">
        <v>33.96666717529297</v>
      </c>
      <c r="K117" s="33" t="n">
        <v>11150</v>
      </c>
      <c r="L117" s="33" t="n">
        <v>22.20000076293945</v>
      </c>
      <c r="M117" s="33" t="n">
        <v>86.44000244140625</v>
      </c>
      <c r="N117" s="33" t="n">
        <v>102.879997253418</v>
      </c>
      <c r="O117" s="33" t="n">
        <v>18.32999992370605</v>
      </c>
      <c r="P117" s="33" t="n">
        <v>15.48999977111816</v>
      </c>
    </row>
    <row r="118">
      <c r="B118" s="32" t="n">
        <v>44256</v>
      </c>
      <c r="C118" s="33" t="n">
        <v>45.06999969482422</v>
      </c>
      <c r="D118" s="33" t="n">
        <v>22.56</v>
      </c>
      <c r="E118" s="33" t="n">
        <v>2.965</v>
      </c>
      <c r="F118" s="33" t="n">
        <v>1.65</v>
      </c>
      <c r="G118" s="33" t="n">
        <v>1.681999969482422</v>
      </c>
      <c r="H118" s="33" t="n">
        <v>1.041999969482422</v>
      </c>
      <c r="I118" s="33" t="n">
        <v>1.028000030517578</v>
      </c>
      <c r="J118" s="33" t="n">
        <v>35.5</v>
      </c>
      <c r="K118" s="33" t="n">
        <v>11650</v>
      </c>
      <c r="L118" s="33" t="n">
        <v>22.1299991607666</v>
      </c>
      <c r="M118" s="33" t="n">
        <v>87.18000030517578</v>
      </c>
      <c r="N118" s="33" t="n">
        <v>102.3399963378906</v>
      </c>
      <c r="O118" s="33" t="n">
        <v>18.70999908447266</v>
      </c>
      <c r="P118" s="33" t="n">
        <v>16.20000076293945</v>
      </c>
    </row>
    <row r="119">
      <c r="B119" s="32" t="n">
        <v>44287</v>
      </c>
      <c r="C119" s="33" t="n">
        <v>46.63999938964844</v>
      </c>
      <c r="D119" s="33" t="n">
        <v>23.1675</v>
      </c>
      <c r="E119" s="33" t="n">
        <v>2.97</v>
      </c>
      <c r="F119" s="33" t="n">
        <v>1.706000061035156</v>
      </c>
      <c r="G119" s="33" t="n">
        <v>1.686000061035156</v>
      </c>
      <c r="H119" s="33" t="n">
        <v>1.068000030517578</v>
      </c>
      <c r="I119" s="33" t="n">
        <v>1.01</v>
      </c>
      <c r="J119" s="33" t="n">
        <v>35.8466682434082</v>
      </c>
      <c r="K119" s="33" t="n">
        <v>12050</v>
      </c>
      <c r="L119" s="33" t="n">
        <v>22.14999961853027</v>
      </c>
      <c r="M119" s="33" t="n">
        <v>87.44000244140625</v>
      </c>
      <c r="N119" s="33" t="n">
        <v>102.4700012207031</v>
      </c>
      <c r="O119" s="33" t="n">
        <v>19.25</v>
      </c>
      <c r="P119" s="33" t="n">
        <v>16.79000091552734</v>
      </c>
    </row>
    <row r="120">
      <c r="B120" s="32" t="n">
        <v>44317</v>
      </c>
      <c r="C120" s="33" t="n">
        <v>46.97999954223633</v>
      </c>
      <c r="D120" s="33" t="n">
        <v>22.715</v>
      </c>
      <c r="E120" s="33" t="n">
        <v>3.085</v>
      </c>
      <c r="F120" s="33" t="n">
        <v>1.73</v>
      </c>
      <c r="G120" s="33" t="n">
        <v>1.73</v>
      </c>
      <c r="H120" s="33" t="n">
        <v>1.08</v>
      </c>
      <c r="I120" s="33" t="n">
        <v>0.9880000305175781</v>
      </c>
      <c r="J120" s="33" t="n">
        <v>36.14666748046875</v>
      </c>
      <c r="K120" s="33" t="n">
        <v>12500</v>
      </c>
      <c r="L120" s="33" t="n">
        <v>22.20000076293945</v>
      </c>
      <c r="M120" s="33" t="n">
        <v>87.18000030517578</v>
      </c>
      <c r="N120" s="33" t="n">
        <v>102.9300003051758</v>
      </c>
      <c r="O120" s="33" t="n">
        <v>19.46999931335449</v>
      </c>
      <c r="P120" s="33" t="n">
        <v>17.09000015258789</v>
      </c>
    </row>
    <row r="121">
      <c r="B121" s="32" t="n">
        <v>44348</v>
      </c>
      <c r="C121" s="33" t="n">
        <v>45.38000106811523</v>
      </c>
      <c r="D121" s="33" t="n">
        <v>22.985</v>
      </c>
      <c r="E121" s="33" t="n">
        <v>2.98</v>
      </c>
      <c r="F121" s="33" t="n">
        <v>1.658000030517578</v>
      </c>
      <c r="G121" s="33" t="n">
        <v>1.67</v>
      </c>
      <c r="H121" s="33" t="n">
        <v>1.111999969482422</v>
      </c>
      <c r="I121" s="33" t="n">
        <v>1.011999969482422</v>
      </c>
      <c r="J121" s="33" t="n">
        <v>37.03333282470703</v>
      </c>
      <c r="K121" s="33" t="n">
        <v>12550</v>
      </c>
      <c r="L121" s="33" t="n">
        <v>22.14999961853027</v>
      </c>
      <c r="M121" s="33" t="n">
        <v>88.04000091552734</v>
      </c>
      <c r="N121" s="33" t="n">
        <v>103.25</v>
      </c>
      <c r="O121" s="33" t="n">
        <v>19.59000015258789</v>
      </c>
      <c r="P121" s="33" t="n">
        <v>17.15999984741211</v>
      </c>
    </row>
    <row r="122">
      <c r="B122" s="32" t="n">
        <v>44378</v>
      </c>
      <c r="C122" s="33" t="n">
        <v>45.88000106811523</v>
      </c>
      <c r="D122" s="33" t="n">
        <v>23.285</v>
      </c>
      <c r="E122" s="33" t="n">
        <v>3.06</v>
      </c>
      <c r="F122" s="33" t="n">
        <v>1.7</v>
      </c>
      <c r="G122" s="33" t="n">
        <v>1.641999969482422</v>
      </c>
      <c r="H122" s="33" t="n">
        <v>1.12</v>
      </c>
      <c r="I122" s="33" t="n">
        <v>1.065999984741211</v>
      </c>
      <c r="J122" s="33" t="n">
        <v>36.0533332824707</v>
      </c>
      <c r="K122" s="33" t="n">
        <v>12300</v>
      </c>
      <c r="L122" s="33" t="n">
        <v>22.03000068664551</v>
      </c>
      <c r="M122" s="33" t="n">
        <v>87.83999633789062</v>
      </c>
      <c r="N122" s="33" t="n">
        <v>103.6600036621094</v>
      </c>
      <c r="O122" s="33" t="n">
        <v>19.96999931335449</v>
      </c>
      <c r="P122" s="33" t="n">
        <v>16.95999908447266</v>
      </c>
    </row>
    <row r="123">
      <c r="B123" s="32" t="n">
        <v>44409</v>
      </c>
      <c r="C123" s="33" t="n">
        <v>46.5099983215332</v>
      </c>
      <c r="D123" s="33" t="n">
        <v>23.7475</v>
      </c>
      <c r="E123" s="33" t="n">
        <v>3.19</v>
      </c>
      <c r="F123" s="33" t="n">
        <v>1.726000061035156</v>
      </c>
      <c r="G123" s="33" t="n">
        <v>1.728000030517578</v>
      </c>
      <c r="H123" s="33" t="n">
        <v>1.141999969482422</v>
      </c>
      <c r="I123" s="33" t="n">
        <v>1.071999969482422</v>
      </c>
      <c r="J123" s="33" t="n">
        <v>37.64666748046875</v>
      </c>
      <c r="K123" s="33" t="n">
        <v>12400</v>
      </c>
      <c r="L123" s="33" t="n">
        <v>22.13999938964844</v>
      </c>
      <c r="M123" s="33" t="n">
        <v>88.08999633789062</v>
      </c>
      <c r="N123" s="33" t="n">
        <v>103.879997253418</v>
      </c>
      <c r="O123" s="33" t="n">
        <v>19.89999961853027</v>
      </c>
      <c r="P123" s="33" t="n">
        <v>17.17000007629395</v>
      </c>
    </row>
    <row r="124">
      <c r="B124" s="32" t="n">
        <v>44440</v>
      </c>
      <c r="C124" s="33" t="n">
        <v>45.90000152587891</v>
      </c>
      <c r="D124" s="33" t="n">
        <v>23.1975</v>
      </c>
      <c r="E124" s="33" t="n">
        <v>3.04</v>
      </c>
      <c r="F124" s="33" t="n">
        <v>1.666000061035156</v>
      </c>
      <c r="G124" s="33" t="n">
        <v>1.62</v>
      </c>
      <c r="H124" s="33" t="n">
        <v>1.07</v>
      </c>
      <c r="I124" s="33" t="n">
        <v>1.004000015258789</v>
      </c>
      <c r="J124" s="33" t="n">
        <v>37.40666580200195</v>
      </c>
      <c r="K124" s="33" t="n">
        <v>12800</v>
      </c>
      <c r="L124" s="33" t="n">
        <v>22.11000061035156</v>
      </c>
      <c r="M124" s="33" t="n">
        <v>87.48999786376953</v>
      </c>
      <c r="N124" s="33" t="n">
        <v>102.1500015258789</v>
      </c>
      <c r="O124" s="33" t="n">
        <v>20.32999992370605</v>
      </c>
      <c r="P124" s="33" t="n">
        <v>17.14999961853027</v>
      </c>
    </row>
    <row r="125">
      <c r="B125" s="32" t="n">
        <v>44470</v>
      </c>
      <c r="C125" s="33" t="n">
        <v>47.77000045776367</v>
      </c>
      <c r="D125" s="33" t="n">
        <v>24.1375</v>
      </c>
      <c r="E125" s="33" t="n">
        <v>3.31</v>
      </c>
      <c r="F125" s="33" t="n">
        <v>1.683999938964844</v>
      </c>
      <c r="G125" s="33" t="n">
        <v>1.673999938964844</v>
      </c>
      <c r="H125" s="33" t="n">
        <v>1.094000015258789</v>
      </c>
      <c r="I125" s="33" t="n">
        <v>1.065999984741211</v>
      </c>
      <c r="J125" s="33" t="n">
        <v>39.22000122070312</v>
      </c>
      <c r="K125" s="33" t="n">
        <v>13700</v>
      </c>
      <c r="L125" s="33" t="n">
        <v>22.07999992370605</v>
      </c>
      <c r="M125" s="33" t="n">
        <v>86.93000030517578</v>
      </c>
      <c r="N125" s="33" t="n">
        <v>101.620002746582</v>
      </c>
      <c r="O125" s="33" t="n">
        <v>21.44000053405762</v>
      </c>
      <c r="P125" s="33" t="n">
        <v>17.56999969482422</v>
      </c>
    </row>
    <row r="126">
      <c r="B126" s="32" t="n">
        <v>44501</v>
      </c>
      <c r="C126" s="33" t="n">
        <v>45.34999847412109</v>
      </c>
      <c r="D126" s="33" t="n">
        <v>24.22</v>
      </c>
      <c r="E126" s="33" t="n">
        <v>3.42</v>
      </c>
      <c r="F126" s="33" t="n">
        <v>1.681999969482422</v>
      </c>
      <c r="G126" s="33" t="n">
        <v>1.678000030517578</v>
      </c>
      <c r="H126" s="33" t="n">
        <v>1.061999969482422</v>
      </c>
      <c r="I126" s="33" t="n">
        <v>1.075999984741211</v>
      </c>
      <c r="J126" s="33" t="n">
        <v>37.88000106811523</v>
      </c>
      <c r="K126" s="33" t="n">
        <v>14000</v>
      </c>
      <c r="L126" s="33" t="n">
        <v>21.79999923706055</v>
      </c>
      <c r="M126" s="33" t="n">
        <v>85.63999938964844</v>
      </c>
      <c r="N126" s="33" t="n">
        <v>100.9100036621094</v>
      </c>
      <c r="O126" s="33" t="n">
        <v>20.26000022888184</v>
      </c>
      <c r="P126" s="33" t="n">
        <v>17.14999961853027</v>
      </c>
    </row>
    <row r="127">
      <c r="B127" s="32" t="n">
        <v>44531</v>
      </c>
      <c r="C127" s="33" t="n">
        <v>47.59000015258789</v>
      </c>
      <c r="D127" s="33" t="n">
        <v>25.1025</v>
      </c>
      <c r="E127" s="33" t="n">
        <v>3.545</v>
      </c>
      <c r="F127" s="33" t="n">
        <v>1.766000061035156</v>
      </c>
      <c r="G127" s="33" t="n">
        <v>1.7</v>
      </c>
      <c r="H127" s="33" t="n">
        <v>1.078000030517578</v>
      </c>
      <c r="I127" s="33" t="n">
        <v>1.084000015258789</v>
      </c>
      <c r="J127" s="33" t="n">
        <v>40.54000091552734</v>
      </c>
      <c r="K127" s="33" t="n">
        <v>14050</v>
      </c>
      <c r="L127" s="33" t="n">
        <v>22.10000038146973</v>
      </c>
      <c r="M127" s="33" t="n">
        <v>87.01000213623047</v>
      </c>
      <c r="N127" s="33" t="n">
        <v>102.6500015258789</v>
      </c>
      <c r="O127" s="33" t="n">
        <v>21.19000053405762</v>
      </c>
      <c r="P127" s="33" t="n">
        <v>17.20999908447266</v>
      </c>
    </row>
    <row r="128">
      <c r="B128" s="32" t="n">
        <v>44562</v>
      </c>
      <c r="C128" s="33" t="n">
        <v>47.2400016784668</v>
      </c>
      <c r="D128" s="33" t="n">
        <v>24.2725</v>
      </c>
      <c r="E128" s="33" t="n">
        <v>3.46</v>
      </c>
      <c r="F128" s="33" t="n">
        <v>1.743999938964844</v>
      </c>
      <c r="G128" s="33" t="n">
        <v>1.678000030517578</v>
      </c>
      <c r="H128" s="33" t="n">
        <v>1.028000030517578</v>
      </c>
      <c r="I128" s="33" t="n">
        <v>1.05</v>
      </c>
      <c r="J128" s="33" t="n">
        <v>39.36000061035156</v>
      </c>
      <c r="K128" s="33" t="n">
        <v>13500</v>
      </c>
      <c r="L128" s="33" t="n">
        <v>21.97999954223633</v>
      </c>
      <c r="M128" s="33" t="n">
        <v>84.69999694824219</v>
      </c>
      <c r="N128" s="33" t="n">
        <v>100.2699966430664</v>
      </c>
      <c r="O128" s="33" t="n">
        <v>22.10000038146973</v>
      </c>
      <c r="P128" s="33" t="n">
        <v>17.59000015258789</v>
      </c>
    </row>
    <row r="129">
      <c r="B129" s="32" t="n">
        <v>44593</v>
      </c>
      <c r="C129" s="33" t="n">
        <v>48.15999984741211</v>
      </c>
      <c r="D129" s="33" t="n">
        <v>24.115</v>
      </c>
      <c r="E129" s="33" t="n">
        <v>3.415</v>
      </c>
      <c r="F129" s="33" t="n">
        <v>1.74</v>
      </c>
      <c r="G129" s="33" t="n">
        <v>1.611999969482422</v>
      </c>
      <c r="H129" s="33" t="n">
        <v>1.024000015258789</v>
      </c>
      <c r="I129" s="33" t="n">
        <v>1.058000030517578</v>
      </c>
      <c r="J129" s="33" t="n">
        <v>39.54000091552734</v>
      </c>
      <c r="K129" s="33" t="n">
        <v>13700</v>
      </c>
      <c r="L129" s="33" t="n">
        <v>21.77000045776367</v>
      </c>
      <c r="M129" s="33" t="n">
        <v>83.66999816894531</v>
      </c>
      <c r="N129" s="33" t="n">
        <v>98.33999633789062</v>
      </c>
      <c r="O129" s="33" t="n">
        <v>21.84000015258789</v>
      </c>
      <c r="P129" s="33" t="n">
        <v>17.57999992370605</v>
      </c>
    </row>
    <row r="130">
      <c r="B130" s="32" t="n">
        <v>44621</v>
      </c>
      <c r="C130" s="33" t="n">
        <v>50.86000061035156</v>
      </c>
      <c r="D130" s="33" t="n">
        <v>26.83</v>
      </c>
      <c r="E130" s="33" t="n">
        <v>3.475</v>
      </c>
      <c r="F130" s="33" t="n">
        <v>1.78</v>
      </c>
      <c r="G130" s="33" t="n">
        <v>1.73</v>
      </c>
      <c r="H130" s="33" t="n">
        <v>1.028000030517578</v>
      </c>
      <c r="I130" s="33" t="n">
        <v>1.104000015258789</v>
      </c>
      <c r="J130" s="33" t="n">
        <v>44.1533317565918</v>
      </c>
      <c r="K130" s="33" t="n">
        <v>13700</v>
      </c>
      <c r="L130" s="33" t="n">
        <v>21.77000045776367</v>
      </c>
      <c r="M130" s="33" t="n">
        <v>82.29000091552734</v>
      </c>
      <c r="N130" s="33" t="n">
        <v>96.58000183105469</v>
      </c>
      <c r="O130" s="33" t="n">
        <v>20.95000076293945</v>
      </c>
      <c r="P130" s="33" t="n">
        <v>17.90999984741211</v>
      </c>
    </row>
    <row r="131">
      <c r="B131" s="32" t="n">
        <v>44652</v>
      </c>
      <c r="C131" s="33" t="n">
        <v>48.84999847412109</v>
      </c>
      <c r="D131" s="33" t="n">
        <v>26.855</v>
      </c>
      <c r="E131" s="33" t="n">
        <v>3.515</v>
      </c>
      <c r="F131" s="33" t="n">
        <v>1.77</v>
      </c>
      <c r="G131" s="33" t="n">
        <v>1.67</v>
      </c>
      <c r="H131" s="33" t="n">
        <v>0.9869999694824219</v>
      </c>
      <c r="I131" s="33" t="n">
        <v>1.181999969482422</v>
      </c>
      <c r="J131" s="33" t="n">
        <v>41.61999893188477</v>
      </c>
      <c r="K131" s="33" t="n">
        <v>14200</v>
      </c>
      <c r="L131" s="33" t="n">
        <v>21.55999946594238</v>
      </c>
      <c r="M131" s="33" t="n">
        <v>78.52999877929688</v>
      </c>
      <c r="N131" s="33" t="n">
        <v>93.05000305175781</v>
      </c>
      <c r="O131" s="33" t="n">
        <v>20.27000045776367</v>
      </c>
      <c r="P131" s="33" t="n">
        <v>16.77000045776367</v>
      </c>
    </row>
    <row r="132">
      <c r="B132" s="32" t="n">
        <v>44682</v>
      </c>
      <c r="C132" s="33" t="n">
        <v>51.11999893188477</v>
      </c>
      <c r="D132" s="33" t="n">
        <v>26.625</v>
      </c>
      <c r="E132" s="33" t="n">
        <v>3.485</v>
      </c>
      <c r="F132" s="33" t="n">
        <v>1.77</v>
      </c>
      <c r="G132" s="33" t="n">
        <v>1.663999938964844</v>
      </c>
      <c r="H132" s="33" t="n">
        <v>0.990999984741211</v>
      </c>
      <c r="I132" s="33" t="n">
        <v>1.125999984741211</v>
      </c>
      <c r="J132" s="33" t="n">
        <v>39.77333450317383</v>
      </c>
      <c r="K132" s="33" t="n">
        <v>14200</v>
      </c>
      <c r="L132" s="33" t="n">
        <v>21.06999969482422</v>
      </c>
      <c r="M132" s="33" t="n">
        <v>79.5</v>
      </c>
      <c r="N132" s="33" t="n">
        <v>92.51999664306641</v>
      </c>
      <c r="O132" s="33" t="n">
        <v>19.3799991607666</v>
      </c>
      <c r="P132" s="33" t="n">
        <v>16.20000076293945</v>
      </c>
    </row>
    <row r="133">
      <c r="B133" s="32" t="n">
        <v>44713</v>
      </c>
      <c r="C133" s="33" t="n">
        <v>46.75</v>
      </c>
      <c r="D133" s="33" t="n">
        <v>25.99</v>
      </c>
      <c r="E133" s="33" t="n">
        <v>3.29</v>
      </c>
      <c r="F133" s="33" t="n">
        <v>1.721999969482422</v>
      </c>
      <c r="G133" s="33" t="n">
        <v>1.628000030517578</v>
      </c>
      <c r="H133" s="33" t="n">
        <v>0.92</v>
      </c>
      <c r="I133" s="33" t="n">
        <v>1.105999984741211</v>
      </c>
      <c r="J133" s="33" t="n">
        <v>38.22000122070312</v>
      </c>
      <c r="K133" s="33" t="n">
        <v>12500</v>
      </c>
      <c r="L133" s="33" t="n">
        <v>20.27000045776367</v>
      </c>
      <c r="M133" s="33" t="n">
        <v>73.61000061035156</v>
      </c>
      <c r="N133" s="33" t="n">
        <v>86.66999816894531</v>
      </c>
      <c r="O133" s="33" t="n">
        <v>17.93000030517578</v>
      </c>
      <c r="P133" s="33" t="n">
        <v>15.10000038146973</v>
      </c>
    </row>
    <row r="134">
      <c r="B134" s="32" t="n">
        <v>44743</v>
      </c>
      <c r="C134" s="33" t="n">
        <v>48.38999938964844</v>
      </c>
      <c r="D134" s="33" t="n">
        <v>27.5925</v>
      </c>
      <c r="E134" s="33" t="n">
        <v>3.35</v>
      </c>
      <c r="F134" s="33" t="n">
        <v>1.733999938964844</v>
      </c>
      <c r="G134" s="33" t="n">
        <v>1.63</v>
      </c>
      <c r="H134" s="33" t="n">
        <v>0.8790000152587891</v>
      </c>
      <c r="I134" s="33" t="n">
        <v>1.14</v>
      </c>
      <c r="J134" s="33" t="n">
        <v>39.83000183105469</v>
      </c>
      <c r="K134" s="33" t="n">
        <v>13000</v>
      </c>
      <c r="L134" s="33" t="n">
        <v>20.96999931335449</v>
      </c>
      <c r="M134" s="33" t="n">
        <v>78.19000244140625</v>
      </c>
      <c r="N134" s="33" t="n">
        <v>92.41999816894531</v>
      </c>
      <c r="O134" s="33" t="n">
        <v>19.38999938964844</v>
      </c>
      <c r="P134" s="33" t="n">
        <v>15.93000030517578</v>
      </c>
    </row>
    <row r="135">
      <c r="B135" s="32" t="n">
        <v>44774</v>
      </c>
      <c r="C135" s="33" t="n">
        <v>47.33000183105469</v>
      </c>
      <c r="D135" s="33" t="n">
        <v>28.265</v>
      </c>
      <c r="E135" s="33" t="n">
        <v>3.405</v>
      </c>
      <c r="F135" s="33" t="n">
        <v>1.723999938964844</v>
      </c>
      <c r="G135" s="33" t="n">
        <v>1.641999969482422</v>
      </c>
      <c r="H135" s="33" t="n">
        <v>0.9</v>
      </c>
      <c r="I135" s="33" t="n">
        <v>1.081999969482422</v>
      </c>
      <c r="J135" s="33" t="n">
        <v>41.9900016784668</v>
      </c>
      <c r="K135" s="33" t="n">
        <v>12800</v>
      </c>
      <c r="L135" s="33" t="n">
        <v>20.96999931335449</v>
      </c>
      <c r="M135" s="33" t="n">
        <v>74.52999877929688</v>
      </c>
      <c r="N135" s="33" t="n">
        <v>88.88999938964844</v>
      </c>
      <c r="O135" s="33" t="n">
        <v>19.63999938964844</v>
      </c>
      <c r="P135" s="33" t="n">
        <v>15.89999961853027</v>
      </c>
    </row>
    <row r="136">
      <c r="B136" s="32" t="n">
        <v>44805</v>
      </c>
      <c r="C136" s="33" t="n">
        <v>41.83000183105469</v>
      </c>
      <c r="D136" s="33" t="n">
        <v>26.115</v>
      </c>
      <c r="E136" s="33" t="n">
        <v>3.04</v>
      </c>
      <c r="F136" s="33" t="n">
        <v>1.616000061035156</v>
      </c>
      <c r="G136" s="33" t="n">
        <v>1.518000030517578</v>
      </c>
      <c r="H136" s="33" t="n">
        <v>0.8190000152587891</v>
      </c>
      <c r="I136" s="33" t="n">
        <v>0.9780000305175781</v>
      </c>
      <c r="J136" s="33" t="n">
        <v>35.90000152587891</v>
      </c>
      <c r="K136" s="33" t="n">
        <v>11750</v>
      </c>
      <c r="L136" s="33" t="n">
        <v>20.19000053405762</v>
      </c>
      <c r="M136" s="33" t="n">
        <v>71.38999938964844</v>
      </c>
      <c r="N136" s="33" t="n">
        <v>85.63999938964844</v>
      </c>
      <c r="O136" s="33" t="n">
        <v>16.8799991607666</v>
      </c>
      <c r="P136" s="33" t="n">
        <v>13.56999969482422</v>
      </c>
    </row>
    <row r="137">
      <c r="B137" s="32" t="n">
        <v>44835</v>
      </c>
      <c r="C137" s="33" t="n">
        <v>44.06999969482422</v>
      </c>
      <c r="D137" s="33" t="n">
        <v>25.69</v>
      </c>
      <c r="E137" s="33" t="n">
        <v>3.14</v>
      </c>
      <c r="F137" s="33" t="n">
        <v>1.628000030517578</v>
      </c>
      <c r="G137" s="33" t="n">
        <v>1.513999938964844</v>
      </c>
      <c r="H137" s="33" t="n">
        <v>0.8300000000000001</v>
      </c>
      <c r="I137" s="33" t="n">
        <v>0.9530000305175781</v>
      </c>
      <c r="J137" s="33" t="n">
        <v>36.38000106811523</v>
      </c>
      <c r="K137" s="33" t="n">
        <v>11050</v>
      </c>
      <c r="L137" s="33" t="n">
        <v>20.71999931335449</v>
      </c>
      <c r="M137" s="33" t="n">
        <v>73.43000030517578</v>
      </c>
      <c r="N137" s="33" t="n">
        <v>87.04000091552734</v>
      </c>
      <c r="O137" s="33" t="n">
        <v>19.43000030517578</v>
      </c>
      <c r="P137" s="33" t="n">
        <v>14.71000003814697</v>
      </c>
    </row>
    <row r="138">
      <c r="B138" s="32" t="n">
        <v>44866</v>
      </c>
      <c r="C138" s="33" t="n">
        <v>47.90999984741211</v>
      </c>
      <c r="D138" s="33" t="n">
        <v>26.22</v>
      </c>
      <c r="E138" s="33" t="n">
        <v>3.25</v>
      </c>
      <c r="F138" s="33" t="n">
        <v>1.64</v>
      </c>
      <c r="G138" s="33" t="n">
        <v>1.493999938964844</v>
      </c>
      <c r="H138" s="33" t="n">
        <v>0.8740000152587891</v>
      </c>
      <c r="I138" s="33" t="n">
        <v>0.98</v>
      </c>
      <c r="J138" s="33" t="n">
        <v>37.5099983215332</v>
      </c>
      <c r="K138" s="33" t="n">
        <v>11300</v>
      </c>
      <c r="L138" s="33" t="n">
        <v>20.81999969482422</v>
      </c>
      <c r="M138" s="33" t="n">
        <v>75.66000366210938</v>
      </c>
      <c r="N138" s="33" t="n">
        <v>90.11000061035156</v>
      </c>
      <c r="O138" s="33" t="n">
        <v>19.64999961853027</v>
      </c>
      <c r="P138" s="33" t="n">
        <v>15.4399995803833</v>
      </c>
    </row>
    <row r="139">
      <c r="B139" s="32" t="n">
        <v>44896</v>
      </c>
      <c r="C139" s="33" t="n">
        <v>45.84000015258789</v>
      </c>
      <c r="D139" s="33" t="n">
        <v>25.89</v>
      </c>
      <c r="E139" s="33" t="n">
        <v>3.34</v>
      </c>
      <c r="F139" s="33" t="n">
        <v>1.637400054931641</v>
      </c>
      <c r="G139" s="33" t="n">
        <v>1.516000061035156</v>
      </c>
      <c r="H139" s="33" t="n">
        <v>0.8780000305175781</v>
      </c>
      <c r="I139" s="33" t="n">
        <v>1.02</v>
      </c>
      <c r="J139" s="33" t="n">
        <v>30.98999977111816</v>
      </c>
      <c r="K139" s="33" t="n">
        <v>11050</v>
      </c>
      <c r="L139" s="33" t="n">
        <v>20.53000068664551</v>
      </c>
      <c r="M139" s="33" t="n">
        <v>73.62999725341797</v>
      </c>
      <c r="N139" s="33" t="n">
        <v>89.65000152587891</v>
      </c>
      <c r="O139" s="33" t="n">
        <v>18.46999931335449</v>
      </c>
      <c r="P139" s="33" t="n">
        <v>14.14999961853027</v>
      </c>
    </row>
    <row r="140">
      <c r="B140" s="32" t="n">
        <v>44927</v>
      </c>
      <c r="C140" s="33" t="n">
        <v>48.2599983215332</v>
      </c>
      <c r="D140" s="33" t="n">
        <v>25.34</v>
      </c>
      <c r="E140" s="33" t="n">
        <v>3.345</v>
      </c>
      <c r="F140" s="33" t="n">
        <v>1.66</v>
      </c>
      <c r="G140" s="33" t="n">
        <v>1.526000061035156</v>
      </c>
      <c r="H140" s="33" t="n">
        <v>0.8540000152587891</v>
      </c>
      <c r="I140" s="33" t="n">
        <v>0.9680000305175781</v>
      </c>
      <c r="J140" s="33" t="n">
        <v>35.34000015258789</v>
      </c>
      <c r="K140" s="33" t="n">
        <v>11890</v>
      </c>
      <c r="L140" s="33" t="n">
        <v>21.11000061035156</v>
      </c>
      <c r="M140" s="33" t="n">
        <v>76.33000183105469</v>
      </c>
      <c r="N140" s="33" t="n">
        <v>91.77999877929688</v>
      </c>
      <c r="O140" s="33" t="n">
        <v>19.3700008392334</v>
      </c>
      <c r="P140" s="33" t="n">
        <v>15.31999969482422</v>
      </c>
    </row>
    <row r="141">
      <c r="B141" s="32" t="n">
        <v>44958</v>
      </c>
      <c r="C141" s="33" t="n">
        <v>46.52000045776367</v>
      </c>
      <c r="D141" s="33" t="n">
        <v>24.705</v>
      </c>
      <c r="E141" s="33" t="n">
        <v>3.16</v>
      </c>
      <c r="F141" s="33" t="n">
        <v>1.593999938964844</v>
      </c>
      <c r="G141" s="33" t="n">
        <v>1.473999938964844</v>
      </c>
      <c r="H141" s="33" t="n">
        <v>0.865999984741211</v>
      </c>
      <c r="I141" s="33" t="n">
        <v>0.9550000000000001</v>
      </c>
      <c r="J141" s="33" t="n">
        <v>33.0099983215332</v>
      </c>
      <c r="K141" s="33" t="n">
        <v>12470</v>
      </c>
      <c r="L141" s="33" t="n">
        <v>20.95000076293945</v>
      </c>
      <c r="M141" s="33" t="n">
        <v>74.52999877929688</v>
      </c>
      <c r="N141" s="33" t="n">
        <v>91.36000061035156</v>
      </c>
      <c r="O141" s="33" t="n">
        <v>19.36000061035156</v>
      </c>
      <c r="P141" s="33" t="n">
        <v>15.55000019073486</v>
      </c>
    </row>
    <row r="142">
      <c r="B142" s="32" t="n">
        <v>44986</v>
      </c>
      <c r="C142" s="33" t="n">
        <v>47.70000076293945</v>
      </c>
      <c r="D142" s="33" t="n">
        <v>24.5775</v>
      </c>
      <c r="E142" s="33" t="n">
        <v>3.13</v>
      </c>
      <c r="F142" s="33" t="n">
        <v>1.55</v>
      </c>
      <c r="G142" s="33" t="n">
        <v>1.448000030517578</v>
      </c>
      <c r="H142" s="33" t="n">
        <v>0.8040000152587891</v>
      </c>
      <c r="I142" s="33" t="n">
        <v>0.8519999694824218</v>
      </c>
      <c r="J142" s="33" t="n">
        <v>33.77000045776367</v>
      </c>
      <c r="K142" s="33" t="n">
        <v>12500</v>
      </c>
      <c r="L142" s="33" t="n">
        <v>20.79999923706055</v>
      </c>
      <c r="M142" s="33" t="n">
        <v>75.55000305175781</v>
      </c>
      <c r="N142" s="33" t="n">
        <v>90.12000274658203</v>
      </c>
      <c r="O142" s="33" t="n">
        <v>18.27000045776367</v>
      </c>
      <c r="P142" s="33" t="n">
        <v>14.82999992370605</v>
      </c>
    </row>
    <row r="143">
      <c r="B143" s="32" t="n">
        <v>45017</v>
      </c>
      <c r="C143" s="33" t="n">
        <v>48.97000122070312</v>
      </c>
      <c r="D143" s="33" t="n">
        <v>24.755</v>
      </c>
      <c r="E143" s="33" t="n">
        <v>3.175</v>
      </c>
      <c r="F143" s="33" t="n">
        <v>1.533999938964844</v>
      </c>
      <c r="G143" s="33" t="n">
        <v>1.468000030517578</v>
      </c>
      <c r="H143" s="33" t="n">
        <v>0.8230000305175782</v>
      </c>
      <c r="I143" s="33" t="n">
        <v>0.919000015258789</v>
      </c>
      <c r="J143" s="33" t="n">
        <v>34.83000183105469</v>
      </c>
      <c r="K143" s="33" t="n">
        <v>12430</v>
      </c>
      <c r="L143" s="33" t="n">
        <v>20.8799991607666</v>
      </c>
      <c r="M143" s="33" t="n">
        <v>75.36000061035156</v>
      </c>
      <c r="N143" s="33" t="n">
        <v>90.01000213623047</v>
      </c>
      <c r="O143" s="33" t="n">
        <v>18.47999954223633</v>
      </c>
      <c r="P143" s="33" t="n">
        <v>14.5600004196167</v>
      </c>
    </row>
    <row r="144">
      <c r="B144" s="32" t="n">
        <v>45047</v>
      </c>
      <c r="C144" s="33" t="n">
        <v>46.29999923706055</v>
      </c>
      <c r="D144" s="33" t="n">
        <v>23.51</v>
      </c>
      <c r="E144" s="33" t="n">
        <v>3.155</v>
      </c>
      <c r="F144" s="33" t="n">
        <v>1.438000030517578</v>
      </c>
      <c r="G144" s="33" t="n">
        <v>1.39</v>
      </c>
      <c r="H144" s="33" t="n">
        <v>0.805</v>
      </c>
      <c r="I144" s="33" t="n">
        <v>0.8390000152587891</v>
      </c>
      <c r="J144" s="33" t="n">
        <v>35.88999938964844</v>
      </c>
      <c r="K144" s="33" t="n">
        <v>13330</v>
      </c>
      <c r="L144" s="33" t="n">
        <v>20.60000038146973</v>
      </c>
      <c r="M144" s="33" t="n">
        <v>74.11000061035156</v>
      </c>
      <c r="N144" s="33" t="n">
        <v>90.04000091552734</v>
      </c>
      <c r="O144" s="33" t="n">
        <v>18.73999977111816</v>
      </c>
      <c r="P144" s="33" t="n">
        <v>14.69999980926514</v>
      </c>
    </row>
    <row r="145">
      <c r="B145" s="32" t="n">
        <v>45078</v>
      </c>
      <c r="C145" s="33" t="n">
        <v>46.95000076293945</v>
      </c>
      <c r="D145" s="33" t="n">
        <v>23.65</v>
      </c>
      <c r="E145" s="33" t="n">
        <v>3.13</v>
      </c>
      <c r="F145" s="33" t="n">
        <v>1.341999969482422</v>
      </c>
      <c r="G145" s="33" t="n">
        <v>1.293999938964844</v>
      </c>
      <c r="H145" s="33" t="n">
        <v>0.7680000305175781</v>
      </c>
      <c r="I145" s="33" t="n">
        <v>0.784000015258789</v>
      </c>
      <c r="J145" s="33" t="n">
        <v>36.5</v>
      </c>
      <c r="K145" s="33" t="n">
        <v>12700</v>
      </c>
      <c r="L145" s="33" t="n">
        <v>21.04000091552734</v>
      </c>
      <c r="M145" s="33" t="n">
        <v>75.06999969482422</v>
      </c>
      <c r="N145" s="33" t="n">
        <v>90.91000366210938</v>
      </c>
      <c r="O145" s="33" t="n">
        <v>18.79000091552734</v>
      </c>
      <c r="P145" s="33" t="n">
        <v>15.35999965667725</v>
      </c>
    </row>
    <row r="146">
      <c r="B146" s="32" t="n">
        <v>45108</v>
      </c>
      <c r="C146" s="33" t="n">
        <v>47.81000137329102</v>
      </c>
      <c r="D146" s="33" t="n">
        <v>23.995</v>
      </c>
      <c r="E146" s="33" t="n">
        <v>3.13</v>
      </c>
      <c r="F146" s="33" t="n">
        <v>1.311999969482422</v>
      </c>
      <c r="G146" s="33" t="n">
        <v>1.316000061035156</v>
      </c>
      <c r="H146" s="33" t="n">
        <v>0.8100000000000001</v>
      </c>
      <c r="I146" s="33" t="n">
        <v>0.765</v>
      </c>
      <c r="J146" s="33" t="n">
        <v>35.68999862670898</v>
      </c>
      <c r="K146" s="33" t="n">
        <v>12130</v>
      </c>
      <c r="L146" s="33" t="n">
        <v>21</v>
      </c>
      <c r="M146" s="33" t="n">
        <v>75.5</v>
      </c>
      <c r="N146" s="33" t="n">
        <v>91.62999725341797</v>
      </c>
      <c r="O146" s="33" t="n">
        <v>19.60000038146973</v>
      </c>
      <c r="P146" s="33" t="n">
        <v>15.77999973297119</v>
      </c>
    </row>
    <row r="147">
      <c r="B147" s="32" t="n">
        <v>45139</v>
      </c>
      <c r="C147" s="33" t="n">
        <v>45.43999862670898</v>
      </c>
      <c r="D147" s="33" t="n">
        <v>23</v>
      </c>
      <c r="E147" s="33" t="n">
        <v>3.08</v>
      </c>
      <c r="F147" s="33" t="n">
        <v>1.338000030517578</v>
      </c>
      <c r="G147" s="33" t="n">
        <v>1.32</v>
      </c>
      <c r="H147" s="33" t="n">
        <v>0.8319999694824219</v>
      </c>
      <c r="I147" s="33" t="n">
        <v>0.7530000305175781</v>
      </c>
      <c r="J147" s="33" t="n">
        <v>31.90999984741211</v>
      </c>
      <c r="K147" s="33" t="n">
        <v>12250</v>
      </c>
      <c r="L147" s="33" t="n">
        <v>21.09000015258789</v>
      </c>
      <c r="M147" s="33" t="n">
        <v>75.27999877929688</v>
      </c>
      <c r="N147" s="33" t="n">
        <v>91.70999908447266</v>
      </c>
      <c r="O147" s="33" t="n">
        <v>19.48999977111816</v>
      </c>
      <c r="P147" s="33" t="n">
        <v>15.77000045776367</v>
      </c>
    </row>
    <row r="148">
      <c r="B148" s="32" t="n">
        <v>45170</v>
      </c>
      <c r="C148" s="33" t="n">
        <v>43.29000091552734</v>
      </c>
      <c r="D148" s="33" t="n">
        <v>22.635</v>
      </c>
      <c r="E148" s="33" t="n">
        <v>3.045</v>
      </c>
      <c r="F148" s="33" t="n">
        <v>1.573049926757813</v>
      </c>
      <c r="G148" s="33" t="n">
        <v>1.238000030517578</v>
      </c>
      <c r="H148" s="33" t="n">
        <v>0.8319999694824219</v>
      </c>
      <c r="I148" s="33" t="n">
        <v>0.6769999694824219</v>
      </c>
      <c r="J148" s="33" t="n">
        <v>29.39999961853027</v>
      </c>
      <c r="K148" s="33" t="n">
        <v>12210</v>
      </c>
      <c r="L148" s="33" t="n">
        <v>20.98999977111816</v>
      </c>
      <c r="M148" s="33" t="n">
        <v>73.72000122070312</v>
      </c>
      <c r="N148" s="33" t="n">
        <v>89.12999725341797</v>
      </c>
      <c r="O148" s="33" t="n">
        <v>19.46999931335449</v>
      </c>
      <c r="P148" s="33" t="n">
        <v>16.03000068664551</v>
      </c>
    </row>
    <row r="149">
      <c r="B149" s="32" t="n">
        <v>45200</v>
      </c>
      <c r="C149" s="33" t="n">
        <v>42.13000106811523</v>
      </c>
      <c r="D149" s="33" t="n">
        <v>22.51</v>
      </c>
      <c r="E149" s="33" t="n">
        <v>2.99</v>
      </c>
      <c r="F149" s="33" t="n">
        <v>1.191999969482422</v>
      </c>
      <c r="G149" s="33" t="n">
        <v>1.164000015258789</v>
      </c>
      <c r="H149" s="33" t="n">
        <v>0.779000015258789</v>
      </c>
      <c r="I149" s="33" t="n">
        <v>0.6140000152587891</v>
      </c>
      <c r="J149" s="33" t="n">
        <v>22.63999938964844</v>
      </c>
      <c r="K149" s="33" t="n">
        <v>12020</v>
      </c>
      <c r="L149" s="33" t="n">
        <v>20.79999923706055</v>
      </c>
      <c r="M149" s="33" t="n">
        <v>72.56999969482422</v>
      </c>
      <c r="N149" s="33" t="n">
        <v>89.05000305175781</v>
      </c>
      <c r="O149" s="33" t="n">
        <v>18.95999908447266</v>
      </c>
      <c r="P149" s="33" t="n">
        <v>14.86999988555908</v>
      </c>
    </row>
    <row r="150">
      <c r="B150" s="32" t="n">
        <v>45231</v>
      </c>
      <c r="C150" s="33" t="n">
        <v>46.06000137329102</v>
      </c>
      <c r="D150" s="33" t="n">
        <v>23.065</v>
      </c>
      <c r="E150" s="33" t="n">
        <v>3.265</v>
      </c>
      <c r="F150" s="33" t="n">
        <v>1.37</v>
      </c>
      <c r="G150" s="33" t="n">
        <v>1.283999938964844</v>
      </c>
      <c r="H150" s="33" t="n">
        <v>0.8240000152587891</v>
      </c>
      <c r="I150" s="33" t="n">
        <v>0.6619999694824219</v>
      </c>
      <c r="J150" s="33" t="n">
        <v>26.20000076293945</v>
      </c>
      <c r="K150" s="33" t="n">
        <v>12410</v>
      </c>
      <c r="L150" s="33" t="n">
        <v>20.89999961853027</v>
      </c>
      <c r="M150" s="33" t="n">
        <v>75.70999908447266</v>
      </c>
      <c r="N150" s="33" t="n">
        <v>91.73000335693359</v>
      </c>
      <c r="O150" s="33" t="n">
        <v>19.81999969482422</v>
      </c>
      <c r="P150" s="33" t="n">
        <v>15.85000038146973</v>
      </c>
    </row>
    <row r="151">
      <c r="B151" s="32" t="n">
        <v>45261</v>
      </c>
      <c r="C151" s="33" t="n">
        <v>47.04999923706055</v>
      </c>
      <c r="D151" s="33" t="n">
        <v>23.87</v>
      </c>
      <c r="E151" s="33" t="n">
        <v>3.215</v>
      </c>
      <c r="F151" s="33" t="n">
        <v>1.386000061035156</v>
      </c>
      <c r="G151" s="33" t="n">
        <v>1.373999938964844</v>
      </c>
      <c r="H151" s="33" t="n">
        <v>0.8540000152587891</v>
      </c>
      <c r="I151" s="33" t="n">
        <v>0.72</v>
      </c>
      <c r="J151" s="33" t="n">
        <v>31.48999977111816</v>
      </c>
      <c r="K151" s="33" t="n">
        <v>12440</v>
      </c>
      <c r="L151" s="33" t="n">
        <v>21.18000030517578</v>
      </c>
      <c r="M151" s="33" t="n">
        <v>77.38999938964844</v>
      </c>
      <c r="N151" s="33" t="n">
        <v>94.30000305175781</v>
      </c>
      <c r="O151" s="33" t="n">
        <v>20.03000068664551</v>
      </c>
      <c r="P151" s="33" t="n">
        <v>16.04000091552734</v>
      </c>
    </row>
    <row r="152">
      <c r="B152" s="32" t="n">
        <v>45292</v>
      </c>
      <c r="C152" s="33" t="n">
        <v>45.36999893188477</v>
      </c>
      <c r="D152" s="33" t="n">
        <v>23.535</v>
      </c>
      <c r="E152" s="33" t="n">
        <v>3.305</v>
      </c>
      <c r="F152" s="33" t="n">
        <v>1.286000061035156</v>
      </c>
      <c r="G152" s="33" t="n">
        <v>1.298000030517578</v>
      </c>
      <c r="H152" s="33" t="n">
        <v>0.8290000152587891</v>
      </c>
      <c r="I152" s="33" t="n">
        <v>0.745999984741211</v>
      </c>
      <c r="J152" s="33" t="n">
        <v>31.38999938964844</v>
      </c>
      <c r="K152" s="33" t="n">
        <v>12460</v>
      </c>
      <c r="L152" s="33" t="n">
        <v>21.01000022888184</v>
      </c>
      <c r="M152" s="33" t="n">
        <v>77.48000335693359</v>
      </c>
      <c r="N152" s="33" t="n">
        <v>94.12000274658203</v>
      </c>
      <c r="O152" s="33" t="n">
        <v>20.22999954223633</v>
      </c>
      <c r="P152" s="33" t="n">
        <v>16.28000068664551</v>
      </c>
    </row>
    <row r="153">
      <c r="B153" s="32" t="n">
        <v>45323</v>
      </c>
      <c r="C153" s="33" t="n">
        <v>45.63999938964844</v>
      </c>
      <c r="D153" s="33" t="n">
        <v>23.5875</v>
      </c>
      <c r="E153" s="33" t="n">
        <v>3.35</v>
      </c>
      <c r="F153" s="33" t="n">
        <v>1.225999984741211</v>
      </c>
      <c r="G153" s="33" t="n">
        <v>1.261999969482422</v>
      </c>
      <c r="H153" s="33" t="n">
        <v>0.8</v>
      </c>
      <c r="I153" s="33" t="n">
        <v>0.725999984741211</v>
      </c>
      <c r="J153" s="33" t="n">
        <v>28.47999954223633</v>
      </c>
      <c r="K153" s="33" t="n">
        <v>12730</v>
      </c>
      <c r="L153" s="33" t="n">
        <v>21.1200008392334</v>
      </c>
      <c r="M153" s="33" t="n">
        <v>77.33000183105469</v>
      </c>
      <c r="N153" s="33" t="n">
        <v>94.48999786376953</v>
      </c>
      <c r="O153" s="33" t="n">
        <v>20.22999954223633</v>
      </c>
      <c r="P153" s="33" t="n">
        <v>16.28000068664551</v>
      </c>
    </row>
    <row r="154">
      <c r="B154" s="32" t="n">
        <v>45352</v>
      </c>
      <c r="C154" s="33" t="n">
        <v>47.61999893188477</v>
      </c>
      <c r="D154" s="33" t="n">
        <v>24.26</v>
      </c>
      <c r="E154" s="33" t="n">
        <v>3.265</v>
      </c>
      <c r="F154" s="33" t="n">
        <v>1.560619964599609</v>
      </c>
      <c r="G154" s="33" t="n">
        <v>1.24</v>
      </c>
      <c r="H154" s="33" t="n">
        <v>0.8109999847412109</v>
      </c>
      <c r="I154" s="33" t="n">
        <v>0.7230000305175781</v>
      </c>
      <c r="J154" s="33" t="n">
        <v>31.20999908447266</v>
      </c>
      <c r="K154" s="33" t="n">
        <v>12800</v>
      </c>
      <c r="L154" s="33" t="n">
        <v>21.14999961853027</v>
      </c>
      <c r="M154" s="33" t="n">
        <v>77.73000335693359</v>
      </c>
      <c r="N154" s="33" t="n">
        <v>91.62999725341797</v>
      </c>
      <c r="O154" s="33" t="n">
        <v>20.81999969482422</v>
      </c>
      <c r="P154" s="33" t="n">
        <v>16.89999961853027</v>
      </c>
    </row>
    <row r="155">
      <c r="B155" s="32" t="n">
        <v>45383</v>
      </c>
      <c r="C155" s="33" t="n">
        <v>47.31000137329102</v>
      </c>
      <c r="D155" s="33" t="n">
        <v>24.085</v>
      </c>
      <c r="E155" s="33" t="n">
        <v>3.33</v>
      </c>
      <c r="F155" s="33" t="n">
        <v>1.221999969482422</v>
      </c>
      <c r="G155" s="33" t="n">
        <v>1.265999984741211</v>
      </c>
      <c r="H155" s="33" t="n">
        <v>0.7980000305175782</v>
      </c>
      <c r="I155" s="33" t="n">
        <v>0.765999984741211</v>
      </c>
      <c r="J155" s="33" t="n">
        <v>26.8700008392334</v>
      </c>
      <c r="K155" s="33" t="n">
        <v>12600</v>
      </c>
      <c r="L155" s="33" t="n">
        <v>21.04999923706055</v>
      </c>
      <c r="M155" s="33" t="n">
        <v>76.29000091552734</v>
      </c>
      <c r="N155" s="33" t="n">
        <v>91.47000122070312</v>
      </c>
      <c r="O155" s="33" t="n">
        <v>20.61000061035156</v>
      </c>
      <c r="P155" s="33" t="n">
        <v>16.64999961853027</v>
      </c>
    </row>
    <row r="156">
      <c r="B156" s="32" t="n">
        <v>45413</v>
      </c>
      <c r="C156" s="33" t="n">
        <v>50.41999816894531</v>
      </c>
      <c r="D156" s="33" t="n">
        <v>24.34</v>
      </c>
      <c r="E156" s="33" t="n">
        <v>3.385</v>
      </c>
      <c r="F156" s="33" t="n">
        <v>1.244000015258789</v>
      </c>
      <c r="G156" s="33" t="n">
        <v>1.25</v>
      </c>
      <c r="H156" s="33" t="n">
        <v>0.7969999694824219</v>
      </c>
      <c r="I156" s="33" t="n">
        <v>0.789000015258789</v>
      </c>
      <c r="J156" s="33" t="n">
        <v>28.88999938964844</v>
      </c>
      <c r="K156" s="33" t="n">
        <v>12620</v>
      </c>
      <c r="L156" s="33" t="n">
        <v>21.1200008392334</v>
      </c>
      <c r="M156" s="33" t="n">
        <v>77.12999725341797</v>
      </c>
      <c r="N156" s="33" t="n">
        <v>92.08999633789062</v>
      </c>
      <c r="O156" s="33" t="n">
        <v>21.56999969482422</v>
      </c>
      <c r="P156" s="33" t="n">
        <v>17.31999969482422</v>
      </c>
    </row>
    <row r="157">
      <c r="B157" s="32" t="n">
        <v>45444</v>
      </c>
      <c r="C157" s="33" t="n">
        <v>47.91999816894531</v>
      </c>
      <c r="D157" s="33" t="n">
        <v>24.075</v>
      </c>
      <c r="E157" s="33" t="n">
        <v>3.205</v>
      </c>
      <c r="F157" s="33" t="n">
        <v>1.244000015258789</v>
      </c>
      <c r="G157" s="33" t="n">
        <v>1.275999984741211</v>
      </c>
      <c r="H157" s="33" t="n">
        <v>0.8</v>
      </c>
      <c r="I157" s="33" t="n">
        <v>0.8019999694824219</v>
      </c>
      <c r="J157" s="33" t="n">
        <v>27.44000053405762</v>
      </c>
      <c r="K157" s="33" t="n">
        <v>12360</v>
      </c>
      <c r="L157" s="33" t="n">
        <v>21.04000091552734</v>
      </c>
      <c r="M157" s="33" t="n">
        <v>77.13999938964844</v>
      </c>
      <c r="N157" s="33" t="n">
        <v>92.34999847412109</v>
      </c>
      <c r="O157" s="33" t="n">
        <v>20.84000015258789</v>
      </c>
      <c r="P157" s="33" t="n">
        <v>17.11000061035156</v>
      </c>
    </row>
    <row r="158">
      <c r="B158" s="32" t="n">
        <v>45474</v>
      </c>
      <c r="C158" s="33" t="n">
        <v>50.06999969482422</v>
      </c>
      <c r="D158" s="33" t="n">
        <v>25.365</v>
      </c>
      <c r="E158" s="33" t="n">
        <v>3.495</v>
      </c>
      <c r="F158" s="33" t="n">
        <v>1.27</v>
      </c>
      <c r="G158" s="33" t="n">
        <v>1.308000030517578</v>
      </c>
      <c r="H158" s="33" t="n">
        <v>0.8230000305175782</v>
      </c>
      <c r="I158" s="33" t="n">
        <v>0.8419999694824218</v>
      </c>
      <c r="J158" s="33" t="n">
        <v>31.57999992370605</v>
      </c>
      <c r="K158" s="33" t="n">
        <v>12310</v>
      </c>
      <c r="L158" s="33" t="n">
        <v>21</v>
      </c>
      <c r="M158" s="33" t="n">
        <v>78.54000091552734</v>
      </c>
      <c r="N158" s="33" t="n">
        <v>93.62000274658203</v>
      </c>
      <c r="O158" s="33" t="n">
        <v>20.94000053405762</v>
      </c>
      <c r="P158" s="33" t="n">
        <v>16.65999984741211</v>
      </c>
    </row>
    <row r="159">
      <c r="B159" s="32" t="n">
        <v>45505</v>
      </c>
      <c r="C159" s="33" t="n">
        <v>52.33000183105469</v>
      </c>
      <c r="D159" s="33" t="n">
        <v>25.42</v>
      </c>
      <c r="E159" s="33" t="n">
        <v>3.42</v>
      </c>
      <c r="F159" s="33" t="n">
        <v>1.261999969482422</v>
      </c>
      <c r="G159" s="33" t="n">
        <v>1.275999984741211</v>
      </c>
      <c r="H159" s="33" t="n">
        <v>0.7990000152587891</v>
      </c>
      <c r="I159" s="33" t="n">
        <v>0.7919999694824219</v>
      </c>
      <c r="J159" s="33" t="n">
        <v>32.15000152587891</v>
      </c>
      <c r="K159" s="33" t="n">
        <v>12040</v>
      </c>
      <c r="L159" s="33" t="n">
        <v>21.06999969482422</v>
      </c>
      <c r="M159" s="33" t="n">
        <v>79.33999633789062</v>
      </c>
      <c r="N159" s="33" t="n">
        <v>94.45999908447266</v>
      </c>
      <c r="O159" s="33" t="n">
        <v>21.07999992370605</v>
      </c>
      <c r="P159" s="33" t="n">
        <v>16.44000053405762</v>
      </c>
    </row>
    <row r="160">
      <c r="B160" s="32" t="n">
        <v>45536</v>
      </c>
      <c r="C160" s="33" t="n">
        <v>54.43000030517578</v>
      </c>
      <c r="D160" s="33" t="n">
        <v>25.63</v>
      </c>
      <c r="E160" s="33" t="n">
        <v>3.415</v>
      </c>
      <c r="F160" s="33" t="n">
        <v>1.32</v>
      </c>
      <c r="G160" s="33" t="n">
        <v>1.283999938964844</v>
      </c>
      <c r="H160" s="33" t="n">
        <v>0.8019999694824219</v>
      </c>
      <c r="I160" s="33" t="n">
        <v>0.789000015258789</v>
      </c>
      <c r="J160" s="33" t="n">
        <v>35.04000091552734</v>
      </c>
      <c r="K160" s="33" t="n">
        <v>11750</v>
      </c>
      <c r="L160" s="33" t="n">
        <v>21.01000022888184</v>
      </c>
      <c r="M160" s="33" t="n">
        <v>80.30000305175781</v>
      </c>
      <c r="N160" s="33" t="n">
        <v>92.38999938964844</v>
      </c>
      <c r="O160" s="33" t="n">
        <v>20.94000053405762</v>
      </c>
      <c r="P160" s="33" t="n">
        <v>16.55999946594238</v>
      </c>
    </row>
    <row r="161">
      <c r="B161" s="32" t="n">
        <v>45566</v>
      </c>
      <c r="C161" s="33" t="n">
        <v>53.72999954223633</v>
      </c>
      <c r="D161" s="33" t="n">
        <v>26.235</v>
      </c>
      <c r="E161" s="33" t="n">
        <v>3.2</v>
      </c>
      <c r="F161" s="33" t="n">
        <v>1.231999969482422</v>
      </c>
      <c r="G161" s="33" t="n">
        <v>1.278000030517578</v>
      </c>
      <c r="H161" s="33" t="n">
        <v>0.7569999694824219</v>
      </c>
      <c r="I161" s="33" t="n">
        <v>0.7419999694824219</v>
      </c>
      <c r="J161" s="33" t="n">
        <v>34.2400016784668</v>
      </c>
      <c r="K161" s="33" t="n">
        <v>11920</v>
      </c>
      <c r="L161" s="33" t="n">
        <v>20.98999977111816</v>
      </c>
      <c r="M161" s="33" t="n">
        <v>79.13999938964844</v>
      </c>
      <c r="N161" s="33" t="n">
        <v>92.66000366210938</v>
      </c>
      <c r="O161" s="33" t="n">
        <v>21.13999938964844</v>
      </c>
      <c r="P161" s="33" t="n">
        <v>16.25</v>
      </c>
    </row>
    <row r="162">
      <c r="B162" s="32" t="n">
        <v>45597</v>
      </c>
      <c r="C162" s="33" t="n">
        <v>55.70000076293945</v>
      </c>
      <c r="D162" s="33" t="n">
        <v>27.29</v>
      </c>
      <c r="E162" s="33" t="n">
        <v>3.235</v>
      </c>
      <c r="F162" s="33" t="n">
        <v>1.195999984741211</v>
      </c>
      <c r="G162" s="33" t="n">
        <v>1.26</v>
      </c>
      <c r="H162" s="33" t="n">
        <v>0.7930000305175782</v>
      </c>
      <c r="I162" s="33" t="n">
        <v>0.715999984741211</v>
      </c>
      <c r="J162" s="33" t="n">
        <v>34.97000122070312</v>
      </c>
      <c r="K162" s="33" t="n">
        <v>11240</v>
      </c>
      <c r="L162" s="33" t="n">
        <v>21.11000061035156</v>
      </c>
      <c r="M162" s="33" t="n">
        <v>80.04000091552734</v>
      </c>
      <c r="N162" s="33" t="n">
        <v>93.51999664306641</v>
      </c>
      <c r="O162" s="33" t="n">
        <v>22.14999961853027</v>
      </c>
      <c r="P162" s="33" t="n">
        <v>16.94000053405762</v>
      </c>
    </row>
    <row r="163">
      <c r="B163" s="32" t="n">
        <v>45627</v>
      </c>
      <c r="C163" s="33" t="n">
        <v>52.27000045776367</v>
      </c>
      <c r="D163" s="33" t="n">
        <v>25.8125</v>
      </c>
      <c r="E163" s="33" t="n">
        <v>3.175</v>
      </c>
      <c r="F163" s="33" t="n">
        <v>1.188000030517578</v>
      </c>
      <c r="G163" s="33" t="n">
        <v>1.211999969482422</v>
      </c>
      <c r="H163" s="33" t="n">
        <v>0.7880000305175782</v>
      </c>
      <c r="I163" s="33" t="n">
        <v>0.7080000305175781</v>
      </c>
      <c r="J163" s="33" t="n">
        <v>31.79000091552734</v>
      </c>
      <c r="K163" s="33" t="n">
        <v>10590</v>
      </c>
      <c r="L163" s="33" t="n">
        <v>21.06999969482422</v>
      </c>
      <c r="M163" s="33" t="n">
        <v>78.65000152587891</v>
      </c>
      <c r="N163" s="33" t="n">
        <v>93.75</v>
      </c>
      <c r="O163" s="33" t="n">
        <v>21.88999938964844</v>
      </c>
      <c r="P163" s="33" t="n">
        <v>16.6299991607666</v>
      </c>
    </row>
    <row r="164">
      <c r="B164" s="32" t="n">
        <v>45658</v>
      </c>
      <c r="C164" s="33" t="n">
        <v>53.18999862670898</v>
      </c>
      <c r="D164" s="33" t="n">
        <v>26.415</v>
      </c>
      <c r="E164" s="33" t="n">
        <v>3.185</v>
      </c>
      <c r="F164" s="33" t="n">
        <v>1.13</v>
      </c>
      <c r="G164" s="33" t="n">
        <v>1.128000030517578</v>
      </c>
      <c r="H164" s="33" t="n">
        <v>0.7730000305175782</v>
      </c>
      <c r="I164" s="33" t="n">
        <v>0.7319999694824219</v>
      </c>
      <c r="J164" s="33" t="n">
        <v>32.81000137329102</v>
      </c>
      <c r="K164" s="33" t="n">
        <v>10500</v>
      </c>
      <c r="L164" s="33" t="n">
        <v>21.04999923706055</v>
      </c>
      <c r="M164" s="33" t="n">
        <v>79.72000122070312</v>
      </c>
      <c r="N164" s="33" t="n">
        <v>94.62999725341797</v>
      </c>
      <c r="O164" s="33" t="n">
        <v>23.67000007629395</v>
      </c>
      <c r="P164" s="33" t="n">
        <v>17.51000022888184</v>
      </c>
    </row>
    <row r="165">
      <c r="B165" s="32" t="n">
        <v>45689</v>
      </c>
      <c r="C165" s="33" t="n">
        <v>53.47000122070312</v>
      </c>
      <c r="D165" s="33" t="n">
        <v>26.3</v>
      </c>
      <c r="E165" s="33" t="n">
        <v>3.15</v>
      </c>
      <c r="F165" s="33" t="n">
        <v>1.105999984741211</v>
      </c>
      <c r="G165" s="33" t="n">
        <v>1.121999969482422</v>
      </c>
      <c r="H165" s="33" t="n">
        <v>0.7780000305175782</v>
      </c>
      <c r="I165" s="33" t="n">
        <v>0.7469999694824219</v>
      </c>
      <c r="J165" s="33" t="n">
        <v>31.71999931335449</v>
      </c>
      <c r="K165" s="33" t="n">
        <v>11200</v>
      </c>
      <c r="L165" s="33" t="n">
        <v>20.95999908447266</v>
      </c>
      <c r="M165" s="33" t="n">
        <v>80.12999725341797</v>
      </c>
      <c r="N165" s="33" t="n">
        <v>95.20999908447266</v>
      </c>
      <c r="O165" s="33" t="n">
        <v>23.3799991607666</v>
      </c>
      <c r="P165" s="33" t="n">
        <v>17.54999923706055</v>
      </c>
    </row>
    <row r="166">
      <c r="B166" s="32" t="n">
        <v>45717</v>
      </c>
      <c r="C166" s="33" t="n">
        <v>54.66999816894531</v>
      </c>
      <c r="D166" s="33" t="n">
        <v>26.19</v>
      </c>
      <c r="E166" s="33" t="n">
        <v>3.185</v>
      </c>
      <c r="F166" s="33" t="n">
        <v>1.125999984741211</v>
      </c>
      <c r="G166" s="33" t="n">
        <v>1.12</v>
      </c>
      <c r="H166" s="33" t="n">
        <v>0.7830000305175782</v>
      </c>
      <c r="I166" s="33" t="n">
        <v>0.7130000305175781</v>
      </c>
      <c r="J166" s="33" t="n">
        <v>29.79000091552734</v>
      </c>
      <c r="K166" s="33" t="n">
        <v>10870</v>
      </c>
      <c r="L166" s="33" t="n">
        <v>20.70000076293945</v>
      </c>
      <c r="M166" s="33" t="n">
        <v>78.88999938964844</v>
      </c>
      <c r="N166" s="33" t="n">
        <v>91.58999633789062</v>
      </c>
      <c r="O166" s="33" t="n">
        <v>22.15999984741211</v>
      </c>
      <c r="P166" s="33" t="n">
        <v>16.76000022888184</v>
      </c>
    </row>
    <row r="167">
      <c r="B167" s="32" t="n">
        <v>45748</v>
      </c>
      <c r="C167" s="33" t="n">
        <v>56.38999938964844</v>
      </c>
      <c r="D167" s="33" t="n">
        <v>25.5075</v>
      </c>
      <c r="E167" s="33" t="n">
        <v>3.245</v>
      </c>
      <c r="F167" s="33" t="n">
        <v>1.164000015258789</v>
      </c>
      <c r="G167" s="33" t="n">
        <v>1.111999969482422</v>
      </c>
      <c r="H167" s="33" t="n">
        <v>0.7580000305175781</v>
      </c>
      <c r="I167" s="33" t="n">
        <v>0.715</v>
      </c>
      <c r="J167" s="33" t="n">
        <v>30.01000022888184</v>
      </c>
      <c r="K167" s="33" t="n">
        <v>11460</v>
      </c>
      <c r="L167" s="33" t="n">
        <v>20.71999931335449</v>
      </c>
      <c r="M167" s="33" t="n">
        <v>78.59999847412109</v>
      </c>
      <c r="N167" s="33" t="n">
        <v>91.93000030517578</v>
      </c>
      <c r="O167" s="33" t="n">
        <v>20.65999984741211</v>
      </c>
      <c r="P167" s="33" t="n">
        <v>15.22999954223633</v>
      </c>
    </row>
    <row r="168">
      <c r="B168" s="32" t="n">
        <v>45778</v>
      </c>
      <c r="C168" s="33" t="n">
        <v>59</v>
      </c>
      <c r="D168" s="33" t="n">
        <v>25.375</v>
      </c>
      <c r="E168" s="33" t="n">
        <v>3.345</v>
      </c>
      <c r="F168" s="33" t="n">
        <v>1.16</v>
      </c>
      <c r="G168" s="33" t="n">
        <v>1.158000030517578</v>
      </c>
      <c r="H168" s="33" t="n">
        <v>0.79</v>
      </c>
      <c r="I168" s="33" t="n">
        <v>0.710999984741211</v>
      </c>
      <c r="J168" s="33" t="n">
        <v>33.11000061035156</v>
      </c>
      <c r="K168" s="33" t="n">
        <v>11730</v>
      </c>
      <c r="L168" s="33" t="n">
        <v>20.86000061035156</v>
      </c>
      <c r="M168" s="33" t="n">
        <v>79.56999969482422</v>
      </c>
      <c r="N168" s="33" t="n">
        <v>93.43000030517578</v>
      </c>
      <c r="O168" s="33" t="n">
        <v>22.04999923706055</v>
      </c>
      <c r="P168" s="33" t="n">
        <v>16.13999938964844</v>
      </c>
    </row>
    <row r="169">
      <c r="B169" s="32" t="n">
        <v>45809</v>
      </c>
      <c r="C169" s="33" t="n">
        <v>59.20000076293945</v>
      </c>
      <c r="D169" s="33" t="n">
        <v>25.175</v>
      </c>
      <c r="E169" s="33" t="n">
        <v>3.425</v>
      </c>
      <c r="F169" s="33" t="n">
        <v>1.171999969482422</v>
      </c>
      <c r="G169" s="33" t="n">
        <v>1.188000030517578</v>
      </c>
      <c r="H169" s="33" t="n">
        <v>0.8150000000000001</v>
      </c>
      <c r="I169" s="33" t="n">
        <v>0.735999984741211</v>
      </c>
      <c r="J169" s="33" t="n">
        <v>33.5</v>
      </c>
      <c r="K169" s="33" t="n">
        <v>11480</v>
      </c>
      <c r="L169" s="33" t="n">
        <v>20.92000007629395</v>
      </c>
      <c r="M169" s="33" t="n">
        <v>80.65000152587891</v>
      </c>
      <c r="N169" s="33" t="n">
        <v>93.62999725341797</v>
      </c>
      <c r="O169" s="33" t="n">
        <v>21.95999908447266</v>
      </c>
      <c r="P169" s="33" t="n">
        <v>16.28000068664551</v>
      </c>
    </row>
    <row r="170">
      <c r="B170" s="32" t="n">
        <v>45839</v>
      </c>
      <c r="C170" s="33" t="n">
        <v>59.08000183105469</v>
      </c>
      <c r="D170" s="33" t="n">
        <v>26.1625</v>
      </c>
      <c r="E170" s="33" t="n">
        <v>3.505</v>
      </c>
      <c r="F170" s="33" t="n">
        <v>1.21</v>
      </c>
      <c r="G170" s="33" t="n">
        <v>1.228000030517578</v>
      </c>
      <c r="H170" s="33" t="n">
        <v>0.8</v>
      </c>
      <c r="I170" s="33" t="n">
        <v>0.784000015258789</v>
      </c>
      <c r="J170" s="33" t="n">
        <v>31.20000076293945</v>
      </c>
      <c r="K170" s="33" t="n">
        <v>11800</v>
      </c>
      <c r="L170" s="33" t="n">
        <v>20.93000030517578</v>
      </c>
      <c r="M170" s="33" t="n">
        <v>80.37999725341797</v>
      </c>
      <c r="N170" s="33" t="n">
        <v>94.45999908447266</v>
      </c>
      <c r="O170" s="33" t="n">
        <v>22.6299991607666</v>
      </c>
      <c r="P170" s="33" t="n">
        <v>16.18000030517578</v>
      </c>
    </row>
    <row r="171">
      <c r="B171" s="32" t="n">
        <v>45870</v>
      </c>
      <c r="C171" s="33" t="n">
        <v>60.34999847412109</v>
      </c>
      <c r="D171" s="33" t="n">
        <v>25.8025</v>
      </c>
      <c r="E171" s="33" t="n">
        <v>3.41</v>
      </c>
      <c r="F171" s="33" t="n">
        <v>1.198000030517578</v>
      </c>
      <c r="G171" s="33" t="n">
        <v>1.201999969482422</v>
      </c>
      <c r="H171" s="33" t="n">
        <v>0.7869999694824219</v>
      </c>
      <c r="I171" s="33" t="n">
        <v>0.730999984741211</v>
      </c>
      <c r="J171" s="33" t="n">
        <v>31.45000076293945</v>
      </c>
      <c r="K171" s="33" t="n">
        <v>11650</v>
      </c>
      <c r="L171" s="33" t="n">
        <v>20.92000007629395</v>
      </c>
      <c r="M171" s="33" t="n">
        <v>80.86000061035156</v>
      </c>
      <c r="N171" s="33" t="n">
        <v>94.41000366210938</v>
      </c>
      <c r="O171" s="33" t="n">
        <v>22.39999961853027</v>
      </c>
      <c r="P171" s="33" t="n">
        <v>16.10000038146973</v>
      </c>
    </row>
    <row r="172">
      <c r="B172" s="32" t="n">
        <v>45901</v>
      </c>
      <c r="C172" s="33" t="n">
        <v>61.11999893188477</v>
      </c>
      <c r="D172" s="33" t="n">
        <v>26.38</v>
      </c>
      <c r="E172" s="33" t="n">
        <v>3.615</v>
      </c>
      <c r="F172" s="33" t="n">
        <v>1.23</v>
      </c>
      <c r="G172" s="33" t="n">
        <v>1.254000015258789</v>
      </c>
      <c r="H172" s="33" t="n">
        <v>0.779000015258789</v>
      </c>
      <c r="I172" s="33" t="n">
        <v>0.725</v>
      </c>
      <c r="J172" s="33" t="n">
        <v>32.88999938964844</v>
      </c>
      <c r="K172" s="33" t="n">
        <v>11510</v>
      </c>
      <c r="L172" s="33" t="n">
        <v>20.93000030517578</v>
      </c>
      <c r="M172" s="33" t="n">
        <v>81.19000244140625</v>
      </c>
      <c r="N172" s="33" t="n">
        <v>92.44000244140625</v>
      </c>
      <c r="O172" s="33" t="n">
        <v>20.40999984741211</v>
      </c>
      <c r="P172" s="33" t="n">
        <v>14.9399995803833</v>
      </c>
    </row>
    <row r="173">
      <c r="B173" s="32" t="n">
        <v>45931</v>
      </c>
      <c r="C173" s="33" t="n">
        <v>61</v>
      </c>
      <c r="D173" s="33" t="n">
        <v>26.8425</v>
      </c>
      <c r="E173" s="33" t="n">
        <v>3.58</v>
      </c>
      <c r="F173" s="33" t="n">
        <v>1.2</v>
      </c>
      <c r="G173" s="33" t="n">
        <v>1.264000015258789</v>
      </c>
      <c r="H173" s="33" t="n">
        <v>0.7780000305175782</v>
      </c>
      <c r="I173" s="33" t="n">
        <v>0.725999984741211</v>
      </c>
      <c r="J173" s="33" t="n">
        <v>34.16999816894531</v>
      </c>
      <c r="K173" s="33" t="n">
        <v>10990</v>
      </c>
      <c r="L173" s="33" t="n">
        <v>20.89999961853027</v>
      </c>
      <c r="M173" s="33" t="n">
        <v>80.80000305175781</v>
      </c>
      <c r="N173" s="33" t="n">
        <v>92.63999938964844</v>
      </c>
      <c r="O173" s="33" t="n">
        <v>20.35000038146973</v>
      </c>
      <c r="P173" s="33" t="n">
        <v>14.32999992370605</v>
      </c>
    </row>
    <row r="174">
      <c r="B174" s="32" t="n">
        <v>45962</v>
      </c>
      <c r="C174" s="33" t="n">
        <v>63.06000137329102</v>
      </c>
      <c r="D174" s="33" t="n">
        <v>27.33</v>
      </c>
      <c r="E174" s="33" t="n">
        <v>3.65</v>
      </c>
      <c r="F174" s="33" t="n">
        <v>1.131999969482422</v>
      </c>
      <c r="G174" s="33" t="n">
        <v>1.224000015258789</v>
      </c>
      <c r="H174" s="33" t="n">
        <v>0.7990000152587891</v>
      </c>
      <c r="I174" s="33" t="n">
        <v>0.7180000305175781</v>
      </c>
      <c r="J174" s="33" t="n">
        <v>36.09000015258789</v>
      </c>
      <c r="K174" s="33" t="n">
        <v>11520</v>
      </c>
      <c r="L174" s="33" t="n">
        <v>20.92000007629395</v>
      </c>
      <c r="M174" s="33" t="n">
        <v>80.98999786376953</v>
      </c>
      <c r="N174" s="33" t="n">
        <v>92.97000122070312</v>
      </c>
      <c r="O174" s="33" t="n">
        <v>20.6200008392334</v>
      </c>
      <c r="P174" s="33" t="n">
        <v>14.64000034332275</v>
      </c>
    </row>
    <row r="175">
      <c r="B175" s="32" t="n">
        <v>45992</v>
      </c>
      <c r="C175" s="33" t="n">
        <v>61.36000061035156</v>
      </c>
      <c r="D175" s="33" t="n">
        <v>26.525</v>
      </c>
      <c r="E175" s="33" t="n">
        <v>3.74</v>
      </c>
      <c r="F175" s="33" t="n">
        <v>1.164000015258789</v>
      </c>
      <c r="G175" s="33" t="n">
        <v>1.251999969482422</v>
      </c>
      <c r="H175" s="33" t="n">
        <v>0.79</v>
      </c>
      <c r="I175" s="33" t="n">
        <v>0.7440000152587891</v>
      </c>
      <c r="J175" s="33" t="n">
        <v>34.7400016784668</v>
      </c>
      <c r="K175" s="33" t="n">
        <v>11250</v>
      </c>
      <c r="L175" s="33" t="n">
        <v>21</v>
      </c>
      <c r="M175" s="33" t="n">
        <v>80.62999725341797</v>
      </c>
      <c r="N175" s="33" t="n">
        <v>93.48999786376953</v>
      </c>
      <c r="O175" s="33" t="n">
        <v>20.22999954223633</v>
      </c>
      <c r="P175" s="33" t="n">
        <v>14.18000030517578</v>
      </c>
    </row>
    <row r="176">
      <c r="B176" s="32" t="n">
        <v>46023</v>
      </c>
      <c r="C176" s="33" t="n">
        <v>64.41000366210938</v>
      </c>
      <c r="D176" s="33" t="n">
        <v>26.86</v>
      </c>
      <c r="E176" s="33" t="n">
        <v>3.73</v>
      </c>
      <c r="F176" s="33" t="n">
        <v>1.168000030517578</v>
      </c>
      <c r="G176" s="33" t="n">
        <v>1.27</v>
      </c>
      <c r="H176" s="33" t="n">
        <v>0.7959999847412109</v>
      </c>
      <c r="I176" s="33" t="n">
        <v>0.76</v>
      </c>
      <c r="J176" s="33" t="n">
        <v>36.15000152587891</v>
      </c>
      <c r="K176" s="33" t="n">
        <v>11190</v>
      </c>
      <c r="L176" s="33" t="n">
        <v>20.73999977111816</v>
      </c>
      <c r="M176" s="33" t="n">
        <v>81.12000274658203</v>
      </c>
      <c r="N176" s="33" t="n">
        <v>93.62999725341797</v>
      </c>
      <c r="O176" s="33" t="n">
        <v>19.88999938964844</v>
      </c>
      <c r="P176" s="33" t="n">
        <v>14</v>
      </c>
    </row>
    <row r="177">
      <c r="B177" s="32" t="n">
        <v>46054</v>
      </c>
      <c r="C177" s="33" t="n">
        <v>69.37000274658203</v>
      </c>
      <c r="D177" s="33" t="n">
        <v>29.83</v>
      </c>
      <c r="E177" s="33" t="n">
        <v>3.6</v>
      </c>
      <c r="F177" s="33" t="n">
        <v>1.238000030517578</v>
      </c>
      <c r="G177" s="33" t="n">
        <v>1.34</v>
      </c>
      <c r="H177" s="33" t="n">
        <v>0.8440000152587891</v>
      </c>
      <c r="I177" s="33" t="n">
        <v>0.7680000305175781</v>
      </c>
      <c r="J177" s="33" t="n">
        <v>39.04000091552734</v>
      </c>
      <c r="K177" s="33" t="n">
        <v>11440</v>
      </c>
      <c r="L177" s="33" t="n">
        <v>20.20999908447266</v>
      </c>
      <c r="M177" s="33" t="n">
        <v>80.72000122070312</v>
      </c>
      <c r="N177" s="33" t="n">
        <v>93.61000061035156</v>
      </c>
      <c r="O177" s="33" t="n">
        <v>18.6200008392334</v>
      </c>
      <c r="P177" s="33" t="n">
        <v>12.68000030517578</v>
      </c>
    </row>
    <row r="178">
      <c r="B178" s="32" t="n">
        <v>46082</v>
      </c>
      <c r="C178" s="33" t="n">
        <v>67</v>
      </c>
      <c r="D178" s="33" t="n">
        <v>29.285</v>
      </c>
      <c r="E178" s="33" t="n">
        <v>3.335</v>
      </c>
      <c r="F178" s="33" t="n">
        <v>1.185999984741211</v>
      </c>
      <c r="G178" s="33" t="n">
        <v>1.28</v>
      </c>
      <c r="H178" s="33" t="n">
        <v>0.765999984741211</v>
      </c>
      <c r="I178" s="33" t="n">
        <v>0.725999984741211</v>
      </c>
      <c r="J178" s="33" t="n">
        <v>36.11999893188477</v>
      </c>
      <c r="K178" s="33" t="n">
        <v>11220</v>
      </c>
      <c r="L178" s="33" t="n">
        <v>20.40999984741211</v>
      </c>
      <c r="M178" s="33" t="n">
        <v>79.55999755859375</v>
      </c>
      <c r="N178" s="33" t="n">
        <v>89.05000305175781</v>
      </c>
      <c r="O178" s="33" t="n">
        <v>18.02000045776367</v>
      </c>
      <c r="P178" s="33" t="n">
        <v>12.80000019073486</v>
      </c>
    </row>
    <row r="179">
      <c r="B179" s="32" t="n">
        <v>46113</v>
      </c>
      <c r="C179" s="33" t="n">
        <v>68.52999877929688</v>
      </c>
      <c r="D179" s="33" t="n">
        <v>29.425</v>
      </c>
      <c r="E179" s="33" t="n">
        <v>3.72</v>
      </c>
      <c r="F179" s="33" t="n">
        <v>1.275999984741211</v>
      </c>
      <c r="G179" s="33" t="n">
        <v>1.321999969482422</v>
      </c>
      <c r="H179" s="33" t="n">
        <v>0.79</v>
      </c>
      <c r="I179" s="33" t="n">
        <v>0.7469999694824219</v>
      </c>
      <c r="J179" s="33" t="n">
        <v>35.84999847412109</v>
      </c>
      <c r="K179" s="33" t="n">
        <v>11350</v>
      </c>
      <c r="L179" s="33" t="n">
        <v>20.57999992370605</v>
      </c>
      <c r="M179" s="33" t="n">
        <v>80.37999725341797</v>
      </c>
      <c r="N179" s="33" t="n">
        <v>90.91999816894531</v>
      </c>
      <c r="O179" s="33" t="n">
        <v>19.15999984741211</v>
      </c>
      <c r="P179" s="33" t="n">
        <v>13.14999961853027</v>
      </c>
    </row>
    <row r="180">
      <c r="B180" s="32" t="n">
        <v>46143</v>
      </c>
      <c r="C180" s="33" t="n">
        <v>66.59999847412109</v>
      </c>
      <c r="D180" s="33" t="n">
        <v>28.7</v>
      </c>
      <c r="E180" s="33" t="n">
        <v>3.7</v>
      </c>
      <c r="F180" s="33" t="n">
        <v>1.338000030517578</v>
      </c>
      <c r="G180" s="33" t="n">
        <v>1.356000061035156</v>
      </c>
      <c r="H180" s="33" t="n">
        <v>0.8030000305175782</v>
      </c>
      <c r="I180" s="33" t="n">
        <v>0.76</v>
      </c>
      <c r="J180" s="33" t="n">
        <v>39.04000091552734</v>
      </c>
      <c r="K180" s="33" t="n">
        <v>10960</v>
      </c>
      <c r="L180" s="33" t="n">
        <v>20.46999931335449</v>
      </c>
      <c r="M180" s="33" t="n">
        <v>80.30999755859375</v>
      </c>
      <c r="N180" s="33" t="n">
        <v>91.91000366210938</v>
      </c>
      <c r="O180" s="33" t="n">
        <v>18.98999977111816</v>
      </c>
      <c r="P180" s="33" t="n">
        <v>12.63000011444092</v>
      </c>
    </row>
    <row r="181">
      <c r="B181" s="32" t="n">
        <v>46174</v>
      </c>
      <c r="C181" s="33" t="n">
        <v>66.59999847412109</v>
      </c>
      <c r="D181" s="33" t="n">
        <v>29.68</v>
      </c>
      <c r="E181" s="33" t="n">
        <v>3.78</v>
      </c>
      <c r="F181" s="33" t="n">
        <v>1.32</v>
      </c>
      <c r="G181" s="33" t="n">
        <v>1.398000030517578</v>
      </c>
      <c r="H181" s="33" t="n">
        <v>0.8240000152587891</v>
      </c>
      <c r="I181" s="33" t="n">
        <v>0.779000015258789</v>
      </c>
      <c r="J181" s="33" t="n">
        <v>36.4900016784668</v>
      </c>
      <c r="K181" s="33" t="n">
        <v>10180</v>
      </c>
      <c r="L181" s="33" t="n">
        <v>20.3700008392334</v>
      </c>
      <c r="M181" s="33" t="n">
        <v>79.97000122070312</v>
      </c>
      <c r="N181" s="33" t="n">
        <v>91.19999694824219</v>
      </c>
      <c r="O181" s="33" t="n">
        <v>18.53000068664551</v>
      </c>
      <c r="P181" s="33" t="n">
        <v>12.65999984741211</v>
      </c>
    </row>
    <row r="182">
      <c r="B182" s="32" t="n">
        <v>46204</v>
      </c>
      <c r="C182" s="33" t="n">
        <v>66.80999755859375</v>
      </c>
      <c r="D182" s="33" t="n">
        <v>29.24</v>
      </c>
      <c r="E182" s="33" t="n">
        <v>3.8</v>
      </c>
      <c r="F182" s="33" t="n">
        <v>1.36</v>
      </c>
      <c r="G182" s="33" t="n">
        <v>1.42</v>
      </c>
      <c r="H182" s="33" t="n">
        <v>0.8640000152587891</v>
      </c>
      <c r="I182" s="33" t="n">
        <v>0.835</v>
      </c>
      <c r="J182" s="33" t="n">
        <v>41.7599983215332</v>
      </c>
      <c r="K182" s="33" t="n">
        <v>10110</v>
      </c>
      <c r="L182" s="33" t="n">
        <v>20.38999938964844</v>
      </c>
      <c r="M182" s="33" t="n">
        <v>79.48000335693359</v>
      </c>
      <c r="N182" s="33" t="n">
        <v>90.76499938964844</v>
      </c>
      <c r="O182" s="33" t="n">
        <v>18.76000022888184</v>
      </c>
      <c r="P182" s="33" t="n">
        <v>12.39999961853027</v>
      </c>
    </row>
    <row r="183">
      <c r="B183" s="32" t="n">
        <v>46235</v>
      </c>
      <c r="C183" s="33" t="n">
        <v>65.13999938964844</v>
      </c>
      <c r="D183" s="33" t="n">
        <v>28.53</v>
      </c>
      <c r="E183" s="33" t="n">
        <v>3.955</v>
      </c>
      <c r="F183" s="33" t="n">
        <v>1.373999938964844</v>
      </c>
      <c r="G183" s="33" t="n">
        <v>1.4</v>
      </c>
      <c r="H183" s="33" t="n">
        <v>0.855999984741211</v>
      </c>
      <c r="I183" s="33" t="n">
        <v>0.835999984741211</v>
      </c>
      <c r="J183" s="33" t="n">
        <v>37.79999923706055</v>
      </c>
      <c r="K183" s="33" t="n">
        <v>9910</v>
      </c>
      <c r="L183" s="33" t="n">
        <v>20.56999969482422</v>
      </c>
      <c r="M183" s="33" t="n">
        <v>79.80999755859375</v>
      </c>
      <c r="N183" s="33" t="n">
        <v>91.26000213623047</v>
      </c>
      <c r="O183" s="33" t="n">
        <v>20.06999969482422</v>
      </c>
      <c r="P183" s="33" t="n">
        <v>13.51000022888184</v>
      </c>
    </row>
    <row r="184">
      <c r="B184" s="32" t="n">
        <v>46266</v>
      </c>
      <c r="C184" s="33" t="n">
        <v>61.56000137329102</v>
      </c>
      <c r="D184" s="33" t="n">
        <v>27.36</v>
      </c>
      <c r="E184" s="33" t="n">
        <v>3.945</v>
      </c>
      <c r="F184" s="33" t="n">
        <v>1.341999969482422</v>
      </c>
      <c r="G184" s="33" t="n">
        <v>1.388000030517578</v>
      </c>
      <c r="H184" s="33" t="n">
        <v>0.8490000152587891</v>
      </c>
      <c r="I184" s="33" t="n">
        <v>0.830999984741211</v>
      </c>
      <c r="J184" s="33" t="n">
        <v>35.54999923706055</v>
      </c>
      <c r="K184" s="33" t="n">
        <v>9790</v>
      </c>
      <c r="L184" s="33" t="n">
        <v>20.43000030517578</v>
      </c>
      <c r="M184" s="33" t="n">
        <v>77.20999908447266</v>
      </c>
      <c r="N184" s="33" t="n">
        <v>88.59999847412109</v>
      </c>
      <c r="O184" s="33" t="n">
        <v>19.10000038146973</v>
      </c>
      <c r="P184" s="33" t="n">
        <v>12.89000034332275</v>
      </c>
    </row>
  </sheetData>
  <mergeCells count="1">
    <mergeCell ref="B3:P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P184"/>
  <sheetViews>
    <sheetView showGridLines="0" workbookViewId="0">
      <selection activeCell="A1" sqref="A1"/>
    </sheetView>
  </sheetViews>
  <sheetFormatPr baseColWidth="8" defaultRowHeight="15"/>
  <cols>
    <col width="2" customWidth="1" min="1" max="1"/>
    <col width="1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2">
      <c r="B2" s="1" t="inlineStr">
        <is>
          <t>BRUT AJUSTÉ - clôture de fin de mois, devise de cotation (LSE en livres)</t>
        </is>
      </c>
    </row>
    <row r="3" ht="42" customHeight="1">
      <c r="B3" s="2" t="inlineStr">
        <is>
          <t>Clôture ajustée des dividendes telle que téléchargée (Yahoo Finance). Aucune correction : les corrections paramétrées sont appliquées dans l'onglet Historique ajusté.</t>
        </is>
      </c>
    </row>
    <row r="5" ht="30" customHeight="1">
      <c r="B5" s="3" t="inlineStr">
        <is>
          <t>Mois</t>
        </is>
      </c>
      <c r="C5" s="4" t="inlineStr">
        <is>
          <t>NasdaqGM:IGF</t>
        </is>
      </c>
      <c r="D5" s="4" t="inlineStr">
        <is>
          <t>LSE:INFR</t>
        </is>
      </c>
      <c r="E5" s="4" t="inlineStr">
        <is>
          <t>LSE:3IN</t>
        </is>
      </c>
      <c r="F5" s="4" t="inlineStr">
        <is>
          <t>LSE:HICL</t>
        </is>
      </c>
      <c r="G5" s="4" t="inlineStr">
        <is>
          <t>LSE:INPP</t>
        </is>
      </c>
      <c r="H5" s="4" t="inlineStr">
        <is>
          <t>LSE:SEQI</t>
        </is>
      </c>
      <c r="I5" s="4" t="inlineStr">
        <is>
          <t>LSE:GCP</t>
        </is>
      </c>
      <c r="J5" s="4" t="inlineStr">
        <is>
          <t>NYSE:BIP</t>
        </is>
      </c>
      <c r="K5" s="4" t="inlineStr">
        <is>
          <t>KOSE:A088980</t>
        </is>
      </c>
      <c r="L5" s="4" t="inlineStr">
        <is>
          <t>ARCA:BKLN</t>
        </is>
      </c>
      <c r="M5" s="4" t="inlineStr">
        <is>
          <t>ARCA:HYG</t>
        </is>
      </c>
      <c r="N5" s="4" t="inlineStr">
        <is>
          <t>LSE:IHYG</t>
        </is>
      </c>
      <c r="O5" s="4" t="inlineStr">
        <is>
          <t>NasdaqGS:ARCC</t>
        </is>
      </c>
      <c r="P5" s="4" t="inlineStr">
        <is>
          <t>ARCA:BIZD</t>
        </is>
      </c>
    </row>
    <row r="6">
      <c r="B6" s="32" t="n">
        <v>40848</v>
      </c>
      <c r="C6" s="33" t="n">
        <v>21.1645450592041</v>
      </c>
      <c r="D6" s="33" t="n">
        <v>13.6083203125</v>
      </c>
      <c r="E6" s="33" t="n">
        <v>1.688811340332031</v>
      </c>
      <c r="F6" s="33" t="n">
        <v>1.163746719360352</v>
      </c>
      <c r="G6" s="33" t="n">
        <v>1.175607452392578</v>
      </c>
      <c r="I6" s="33" t="n">
        <v>0.9928948974609375</v>
      </c>
      <c r="J6" s="33" t="n">
        <v>5.210301876068115</v>
      </c>
      <c r="K6" s="33" t="n">
        <v>1939.785400390625</v>
      </c>
      <c r="L6" s="33" t="n">
        <v>11.24518299102783</v>
      </c>
      <c r="M6" s="33" t="n">
        <v>38.25222778320312</v>
      </c>
      <c r="N6" s="33" t="n">
        <v>49.06601715087891</v>
      </c>
      <c r="O6" s="33" t="n">
        <v>3.733223438262939</v>
      </c>
    </row>
    <row r="7">
      <c r="B7" s="32" t="n">
        <v>40878</v>
      </c>
      <c r="C7" s="33" t="n">
        <v>21.10562133789062</v>
      </c>
      <c r="D7" s="33" t="n">
        <v>13.9697119140625</v>
      </c>
      <c r="E7" s="33" t="n">
        <v>1.675269622802734</v>
      </c>
      <c r="F7" s="33" t="n">
        <v>1.168707275390625</v>
      </c>
      <c r="G7" s="33" t="n">
        <v>1.200077362060547</v>
      </c>
      <c r="I7" s="33" t="n">
        <v>1.030406265258789</v>
      </c>
      <c r="J7" s="33" t="n">
        <v>5.626719951629639</v>
      </c>
      <c r="K7" s="33" t="n">
        <v>1985.055297851562</v>
      </c>
      <c r="L7" s="33" t="n">
        <v>11.25299453735352</v>
      </c>
      <c r="M7" s="33" t="n">
        <v>39.99348831176758</v>
      </c>
      <c r="N7" s="33" t="n">
        <v>50.212158203125</v>
      </c>
      <c r="O7" s="33" t="n">
        <v>3.795618534088135</v>
      </c>
    </row>
    <row r="8">
      <c r="B8" s="32" t="n">
        <v>40909</v>
      </c>
      <c r="C8" s="33" t="n">
        <v>21.69683265686035</v>
      </c>
      <c r="D8" s="33" t="n">
        <v>13.41390991210938</v>
      </c>
      <c r="E8" s="33" t="n">
        <v>1.676665649414063</v>
      </c>
      <c r="F8" s="33" t="n">
        <v>1.167715454101563</v>
      </c>
      <c r="G8" s="33" t="n">
        <v>1.196441268920899</v>
      </c>
      <c r="I8" s="33" t="n">
        <v>1.065041732788086</v>
      </c>
      <c r="J8" s="33" t="n">
        <v>5.925323009490967</v>
      </c>
      <c r="K8" s="33" t="n">
        <v>2016.816284179688</v>
      </c>
      <c r="L8" s="33" t="n">
        <v>11.58930587768555</v>
      </c>
      <c r="M8" s="33" t="n">
        <v>40.57934188842773</v>
      </c>
      <c r="N8" s="33" t="n">
        <v>53.29384613037109</v>
      </c>
      <c r="O8" s="33" t="n">
        <v>3.893886089324951</v>
      </c>
    </row>
    <row r="9">
      <c r="B9" s="32" t="n">
        <v>40940</v>
      </c>
      <c r="C9" s="33" t="n">
        <v>22.46603584289551</v>
      </c>
      <c r="D9" s="33" t="n">
        <v>13.62327758789062</v>
      </c>
      <c r="E9" s="33" t="n">
        <v>1.694814147949219</v>
      </c>
      <c r="F9" s="33" t="n">
        <v>1.180612640380859</v>
      </c>
      <c r="G9" s="33" t="n">
        <v>1.169654388427734</v>
      </c>
      <c r="I9" s="33" t="n">
        <v>1.046486740112305</v>
      </c>
      <c r="J9" s="33" t="n">
        <v>6.111354351043701</v>
      </c>
      <c r="K9" s="33" t="n">
        <v>2135.919189453125</v>
      </c>
      <c r="L9" s="33" t="n">
        <v>11.65621471405029</v>
      </c>
      <c r="M9" s="33" t="n">
        <v>41.43245315551758</v>
      </c>
      <c r="N9" s="33" t="n">
        <v>53.15747833251953</v>
      </c>
      <c r="O9" s="33" t="n">
        <v>4.095338344573975</v>
      </c>
    </row>
    <row r="10">
      <c r="B10" s="32" t="n">
        <v>40969</v>
      </c>
      <c r="C10" s="33" t="n">
        <v>22.51054191589355</v>
      </c>
      <c r="D10" s="33" t="n">
        <v>13.770322265625</v>
      </c>
      <c r="E10" s="33" t="n">
        <v>1.738092193603516</v>
      </c>
      <c r="F10" s="33" t="n">
        <v>1.194502105712891</v>
      </c>
      <c r="G10" s="33" t="n">
        <v>1.187173233032227</v>
      </c>
      <c r="I10" s="33" t="n">
        <v>1.04525016784668</v>
      </c>
      <c r="J10" s="33" t="n">
        <v>6.500129699707031</v>
      </c>
      <c r="K10" s="33" t="n">
        <v>2215.3212890625</v>
      </c>
      <c r="L10" s="33" t="n">
        <v>11.76175117492676</v>
      </c>
      <c r="M10" s="33" t="n">
        <v>41.03754425048828</v>
      </c>
      <c r="N10" s="33" t="n">
        <v>53.83413696289062</v>
      </c>
      <c r="O10" s="33" t="n">
        <v>4.109148025512695</v>
      </c>
    </row>
    <row r="11">
      <c r="B11" s="32" t="n">
        <v>41000</v>
      </c>
      <c r="C11" s="33" t="n">
        <v>22.58046913146973</v>
      </c>
      <c r="D11" s="33" t="n">
        <v>13.40892822265625</v>
      </c>
      <c r="E11" s="33" t="n">
        <v>1.761825561523438</v>
      </c>
      <c r="F11" s="33" t="n">
        <v>1.190871124267578</v>
      </c>
      <c r="G11" s="33" t="n">
        <v>1.167952423095703</v>
      </c>
      <c r="I11" s="33" t="n">
        <v>1.042775955200195</v>
      </c>
      <c r="J11" s="33" t="n">
        <v>6.487786293029785</v>
      </c>
      <c r="K11" s="33" t="n">
        <v>2199.44140625</v>
      </c>
      <c r="L11" s="33" t="n">
        <v>11.81807041168213</v>
      </c>
      <c r="M11" s="33" t="n">
        <v>41.50400543212891</v>
      </c>
      <c r="N11" s="33" t="n">
        <v>53.32534408569336</v>
      </c>
      <c r="O11" s="33" t="n">
        <v>4.031236171722412</v>
      </c>
    </row>
    <row r="12">
      <c r="B12" s="32" t="n">
        <v>41030</v>
      </c>
      <c r="C12" s="33" t="n">
        <v>20.81319046020508</v>
      </c>
      <c r="D12" s="33" t="n">
        <v>13.3491162109375</v>
      </c>
      <c r="E12" s="33" t="n">
        <v>1.731112060546875</v>
      </c>
      <c r="F12" s="33" t="n">
        <v>1.197817764282227</v>
      </c>
      <c r="G12" s="33" t="n">
        <v>1.156680755615234</v>
      </c>
      <c r="I12" s="33" t="n">
        <v>1.030766448974609</v>
      </c>
      <c r="J12" s="33" t="n">
        <v>6.516490936279297</v>
      </c>
      <c r="K12" s="33" t="n">
        <v>2334.4248046875</v>
      </c>
      <c r="L12" s="33" t="n">
        <v>11.65136909484863</v>
      </c>
      <c r="M12" s="33" t="n">
        <v>40.16724395751953</v>
      </c>
      <c r="N12" s="33" t="n">
        <v>52.09788513183594</v>
      </c>
      <c r="O12" s="33" t="n">
        <v>3.792478561401367</v>
      </c>
    </row>
    <row r="13">
      <c r="B13" s="32" t="n">
        <v>41061</v>
      </c>
      <c r="C13" s="33" t="n">
        <v>22.03239822387695</v>
      </c>
      <c r="D13" s="33" t="n">
        <v>13.88995971679688</v>
      </c>
      <c r="E13" s="33" t="n">
        <v>1.695221405029297</v>
      </c>
      <c r="F13" s="33" t="n">
        <v>1.175984954833984</v>
      </c>
      <c r="G13" s="33" t="n">
        <v>1.175544967651367</v>
      </c>
      <c r="I13" s="33" t="n">
        <v>1.03447868347168</v>
      </c>
      <c r="J13" s="33" t="n">
        <v>6.989094734191895</v>
      </c>
      <c r="K13" s="33" t="n">
        <v>2489.217529296875</v>
      </c>
      <c r="L13" s="33" t="n">
        <v>11.81582832336426</v>
      </c>
      <c r="M13" s="33" t="n">
        <v>42.03773498535156</v>
      </c>
      <c r="N13" s="33" t="n">
        <v>53.89184951782227</v>
      </c>
      <c r="O13" s="33" t="n">
        <v>4.109029293060303</v>
      </c>
    </row>
    <row r="14">
      <c r="B14" s="32" t="n">
        <v>41091</v>
      </c>
      <c r="C14" s="33" t="n">
        <v>22.2335205078125</v>
      </c>
      <c r="D14" s="33" t="n">
        <v>13.74540283203125</v>
      </c>
      <c r="E14" s="33" t="n">
        <v>1.721753540039062</v>
      </c>
      <c r="F14" s="33" t="n">
        <v>1.203772125244141</v>
      </c>
      <c r="G14" s="33" t="n">
        <v>1.208309173583984</v>
      </c>
      <c r="I14" s="33" t="n">
        <v>1.056751937866211</v>
      </c>
      <c r="J14" s="33" t="n">
        <v>6.926633358001709</v>
      </c>
      <c r="K14" s="33" t="n">
        <v>2538.6728515625</v>
      </c>
      <c r="L14" s="33" t="n">
        <v>11.95869922637939</v>
      </c>
      <c r="M14" s="33" t="n">
        <v>42.46750259399414</v>
      </c>
      <c r="N14" s="33" t="n">
        <v>54.75472259521484</v>
      </c>
      <c r="O14" s="33" t="n">
        <v>4.281524181365967</v>
      </c>
    </row>
    <row r="15">
      <c r="B15" s="32" t="n">
        <v>41122</v>
      </c>
      <c r="C15" s="33" t="n">
        <v>22.35030364990234</v>
      </c>
      <c r="D15" s="33" t="n">
        <v>13.5335498046875</v>
      </c>
      <c r="E15" s="33" t="n">
        <v>1.756662902832031</v>
      </c>
      <c r="F15" s="33" t="n">
        <v>1.220642776489258</v>
      </c>
      <c r="G15" s="33" t="n">
        <v>1.23412353515625</v>
      </c>
      <c r="I15" s="33" t="n">
        <v>1.055514526367187</v>
      </c>
      <c r="J15" s="33" t="n">
        <v>7.192087650299072</v>
      </c>
      <c r="K15" s="33" t="n">
        <v>2757.09716796875</v>
      </c>
      <c r="L15" s="33" t="n">
        <v>12.10055541992188</v>
      </c>
      <c r="M15" s="33" t="n">
        <v>42.99607849121094</v>
      </c>
      <c r="N15" s="33" t="n">
        <v>53.83413696289062</v>
      </c>
      <c r="O15" s="33" t="n">
        <v>4.446297168731689</v>
      </c>
    </row>
    <row r="16">
      <c r="B16" s="32" t="n">
        <v>41153</v>
      </c>
      <c r="C16" s="33" t="n">
        <v>22.86932182312012</v>
      </c>
      <c r="D16" s="33" t="n">
        <v>13.496162109375</v>
      </c>
      <c r="E16" s="33" t="n">
        <v>1.766437683105469</v>
      </c>
      <c r="F16" s="33" t="n">
        <v>1.204764556884766</v>
      </c>
      <c r="G16" s="33" t="n">
        <v>1.208603591918945</v>
      </c>
      <c r="I16" s="33" t="n">
        <v>1.055514526367187</v>
      </c>
      <c r="J16" s="33" t="n">
        <v>7.48036003112793</v>
      </c>
      <c r="K16" s="33" t="n">
        <v>2678.794677734375</v>
      </c>
      <c r="L16" s="33" t="n">
        <v>12.23293018341064</v>
      </c>
      <c r="M16" s="33" t="n">
        <v>43.21989822387695</v>
      </c>
      <c r="N16" s="33" t="n">
        <v>54.44523620605469</v>
      </c>
      <c r="O16" s="33" t="n">
        <v>4.5228271484375</v>
      </c>
    </row>
    <row r="17">
      <c r="B17" s="32" t="n">
        <v>41183</v>
      </c>
      <c r="C17" s="33" t="n">
        <v>23.23263168334961</v>
      </c>
      <c r="D17" s="33" t="n">
        <v>13.51610107421875</v>
      </c>
      <c r="E17" s="33" t="n">
        <v>1.753869781494141</v>
      </c>
      <c r="F17" s="33" t="n">
        <v>1.23949821472168</v>
      </c>
      <c r="G17" s="33" t="n">
        <v>1.233430938720703</v>
      </c>
      <c r="I17" s="33" t="n">
        <v>1.096349487304688</v>
      </c>
      <c r="J17" s="33" t="n">
        <v>7.227855682373047</v>
      </c>
      <c r="K17" s="33" t="n">
        <v>2761.218505859375</v>
      </c>
      <c r="L17" s="33" t="n">
        <v>12.22939682006836</v>
      </c>
      <c r="M17" s="33" t="n">
        <v>43.58467864990234</v>
      </c>
      <c r="N17" s="33" t="n">
        <v>55.80380630493164</v>
      </c>
      <c r="O17" s="33" t="n">
        <v>4.601991176605225</v>
      </c>
    </row>
    <row r="18">
      <c r="B18" s="32" t="n">
        <v>41214</v>
      </c>
      <c r="C18" s="33" t="n">
        <v>22.86932182312012</v>
      </c>
      <c r="D18" s="33" t="n">
        <v>13.24443115234375</v>
      </c>
      <c r="E18" s="33" t="n">
        <v>1.76364501953125</v>
      </c>
      <c r="F18" s="33" t="n">
        <v>1.239837646484375</v>
      </c>
      <c r="G18" s="33" t="n">
        <v>1.243361968994141</v>
      </c>
      <c r="I18" s="33" t="n">
        <v>1.064540328979492</v>
      </c>
      <c r="J18" s="33" t="n">
        <v>7.228332996368408</v>
      </c>
      <c r="K18" s="33" t="n">
        <v>2715.88525390625</v>
      </c>
      <c r="L18" s="33" t="n">
        <v>12.22005462646484</v>
      </c>
      <c r="M18" s="33" t="n">
        <v>43.80122756958008</v>
      </c>
      <c r="N18" s="33" t="n">
        <v>56.57226943969727</v>
      </c>
      <c r="O18" s="33" t="n">
        <v>4.681154251098633</v>
      </c>
    </row>
    <row r="19">
      <c r="B19" s="32" t="n">
        <v>41244</v>
      </c>
      <c r="C19" s="33" t="n">
        <v>23.68743324279785</v>
      </c>
      <c r="D19" s="33" t="n">
        <v>13.1945849609375</v>
      </c>
      <c r="E19" s="33" t="n">
        <v>1.702603607177734</v>
      </c>
      <c r="F19" s="33" t="n">
        <v>1.230903701782227</v>
      </c>
      <c r="G19" s="33" t="n">
        <v>1.247334365844727</v>
      </c>
      <c r="I19" s="33" t="n">
        <v>1.068254089355469</v>
      </c>
      <c r="J19" s="33" t="n">
        <v>7.500696659088135</v>
      </c>
      <c r="K19" s="33" t="n">
        <v>2926.697998046875</v>
      </c>
      <c r="L19" s="33" t="n">
        <v>12.39730739593506</v>
      </c>
      <c r="M19" s="33" t="n">
        <v>44.41503524780273</v>
      </c>
      <c r="N19" s="33" t="n">
        <v>57.80758285522461</v>
      </c>
      <c r="O19" s="33" t="n">
        <v>4.734079360961914</v>
      </c>
    </row>
    <row r="20">
      <c r="B20" s="32" t="n">
        <v>41275</v>
      </c>
      <c r="C20" s="33" t="n">
        <v>24.24461936950684</v>
      </c>
      <c r="D20" s="33" t="n">
        <v>13.90490966796875</v>
      </c>
      <c r="E20" s="33" t="n">
        <v>1.747298583984375</v>
      </c>
      <c r="F20" s="33" t="n">
        <v>1.225940399169922</v>
      </c>
      <c r="G20" s="33" t="n">
        <v>1.248327407836914</v>
      </c>
      <c r="I20" s="33" t="n">
        <v>1.079394302368164</v>
      </c>
      <c r="J20" s="33" t="n">
        <v>7.945420742034912</v>
      </c>
      <c r="K20" s="33" t="n">
        <v>2845.400390625</v>
      </c>
      <c r="L20" s="33" t="n">
        <v>12.52937698364258</v>
      </c>
      <c r="M20" s="33" t="n">
        <v>44.56727600097656</v>
      </c>
      <c r="N20" s="33" t="n">
        <v>57.01289367675781</v>
      </c>
      <c r="O20" s="33" t="n">
        <v>4.84499454498291</v>
      </c>
    </row>
    <row r="21">
      <c r="B21" s="32" t="n">
        <v>41306</v>
      </c>
      <c r="C21" s="33" t="n">
        <v>24.11196136474609</v>
      </c>
      <c r="D21" s="33" t="n">
        <v>14.50557373046875</v>
      </c>
      <c r="E21" s="33" t="n">
        <v>1.810152282714844</v>
      </c>
      <c r="F21" s="33" t="n">
        <v>1.222317810058594</v>
      </c>
      <c r="G21" s="33" t="n">
        <v>1.25428596496582</v>
      </c>
      <c r="I21" s="33" t="n">
        <v>1.106626815795898</v>
      </c>
      <c r="J21" s="33" t="n">
        <v>8.529809951782227</v>
      </c>
      <c r="K21" s="33" t="n">
        <v>2879.631591796875</v>
      </c>
      <c r="L21" s="33" t="n">
        <v>12.50954437255859</v>
      </c>
      <c r="M21" s="33" t="n">
        <v>44.9829216003418</v>
      </c>
      <c r="N21" s="33" t="n">
        <v>57.69712066650391</v>
      </c>
      <c r="O21" s="33" t="n">
        <v>5.010009288787842</v>
      </c>
    </row>
    <row r="22">
      <c r="B22" s="32" t="n">
        <v>41334</v>
      </c>
      <c r="C22" s="33" t="n">
        <v>24.6558895111084</v>
      </c>
      <c r="D22" s="33" t="n">
        <v>22.80373291015625</v>
      </c>
      <c r="E22" s="33" t="n">
        <v>1.852053680419922</v>
      </c>
      <c r="F22" s="33" t="n">
        <v>1.155790176391602</v>
      </c>
      <c r="G22" s="33" t="n">
        <v>1.283086090087891</v>
      </c>
      <c r="I22" s="33" t="n">
        <v>1.131383666992188</v>
      </c>
      <c r="J22" s="33" t="n">
        <v>8.187756538391113</v>
      </c>
      <c r="K22" s="33" t="n">
        <v>2883.90966796875</v>
      </c>
      <c r="L22" s="33" t="n">
        <v>12.60768604278564</v>
      </c>
      <c r="M22" s="33" t="n">
        <v>45.37538146972656</v>
      </c>
      <c r="N22" s="33" t="n">
        <v>57.93597030639648</v>
      </c>
      <c r="O22" s="33" t="n">
        <v>4.999304294586182</v>
      </c>
      <c r="P22" s="33" t="n">
        <v>5.454098701477051</v>
      </c>
    </row>
    <row r="23">
      <c r="B23" s="32" t="n">
        <v>41365</v>
      </c>
      <c r="C23" s="33" t="n">
        <v>25.79018402099609</v>
      </c>
      <c r="D23" s="33" t="n">
        <v>15.42026977539063</v>
      </c>
      <c r="E23" s="33" t="n">
        <v>1.850657501220703</v>
      </c>
      <c r="F23" s="33" t="n">
        <v>1.294802856445312</v>
      </c>
      <c r="G23" s="33" t="n">
        <v>1.276424179077148</v>
      </c>
      <c r="I23" s="33" t="n">
        <v>1.111577987670898</v>
      </c>
      <c r="J23" s="33" t="n">
        <v>8.314685821533203</v>
      </c>
      <c r="K23" s="33" t="n">
        <v>2986.600830078125</v>
      </c>
      <c r="L23" s="33" t="n">
        <v>12.70080757141113</v>
      </c>
      <c r="M23" s="33" t="n">
        <v>46.3364143371582</v>
      </c>
      <c r="N23" s="33" t="n">
        <v>59.206298828125</v>
      </c>
      <c r="O23" s="33" t="n">
        <v>5.015876293182373</v>
      </c>
      <c r="P23" s="33" t="n">
        <v>5.596158981323242</v>
      </c>
    </row>
    <row r="24">
      <c r="B24" s="32" t="n">
        <v>41395</v>
      </c>
      <c r="C24" s="33" t="n">
        <v>24.28442573547363</v>
      </c>
      <c r="D24" s="33" t="n">
        <v>15.02896728515625</v>
      </c>
      <c r="E24" s="33" t="n">
        <v>1.831103057861328</v>
      </c>
      <c r="F24" s="33" t="n">
        <v>1.271965179443359</v>
      </c>
      <c r="G24" s="33" t="n">
        <v>1.282384185791016</v>
      </c>
      <c r="I24" s="33" t="n">
        <v>1.05747932434082</v>
      </c>
      <c r="J24" s="33" t="n">
        <v>7.901690483093262</v>
      </c>
      <c r="K24" s="33" t="n">
        <v>3166.310546875</v>
      </c>
      <c r="L24" s="33" t="n">
        <v>12.69150066375732</v>
      </c>
      <c r="M24" s="33" t="n">
        <v>45.14040374755859</v>
      </c>
      <c r="N24" s="33" t="n">
        <v>58.83987045288086</v>
      </c>
      <c r="O24" s="33" t="n">
        <v>4.736910820007324</v>
      </c>
      <c r="P24" s="33" t="n">
        <v>5.385899543762207</v>
      </c>
    </row>
    <row r="25">
      <c r="B25" s="32" t="n">
        <v>41426</v>
      </c>
      <c r="C25" s="33" t="n">
        <v>23.92012023925781</v>
      </c>
      <c r="D25" s="33" t="n">
        <v>14.7074560546875</v>
      </c>
      <c r="E25" s="33" t="n">
        <v>1.876283264160156</v>
      </c>
      <c r="F25" s="33" t="n">
        <v>1.317641143798828</v>
      </c>
      <c r="G25" s="33" t="n">
        <v>1.278411254882813</v>
      </c>
      <c r="I25" s="33" t="n">
        <v>1.074815139770508</v>
      </c>
      <c r="J25" s="33" t="n">
        <v>7.945198059082031</v>
      </c>
      <c r="K25" s="33" t="n">
        <v>3021.985595703125</v>
      </c>
      <c r="L25" s="33" t="n">
        <v>12.56984233856201</v>
      </c>
      <c r="M25" s="33" t="n">
        <v>44.37814712524414</v>
      </c>
      <c r="N25" s="33" t="n">
        <v>57.70253753662109</v>
      </c>
      <c r="O25" s="33" t="n">
        <v>4.860394477844238</v>
      </c>
      <c r="P25" s="33" t="n">
        <v>5.372420310974121</v>
      </c>
    </row>
    <row r="26">
      <c r="B26" s="32" t="n">
        <v>41456</v>
      </c>
      <c r="C26" s="33" t="n">
        <v>24.91254615783691</v>
      </c>
      <c r="D26" s="33" t="n">
        <v>15.13613647460937</v>
      </c>
      <c r="E26" s="33" t="n">
        <v>1.900034027099609</v>
      </c>
      <c r="F26" s="33" t="n">
        <v>1.294802856445312</v>
      </c>
      <c r="G26" s="33" t="n">
        <v>1.306224670410156</v>
      </c>
      <c r="I26" s="33" t="n">
        <v>1.089674301147461</v>
      </c>
      <c r="J26" s="33" t="n">
        <v>8.110544204711914</v>
      </c>
      <c r="K26" s="33" t="n">
        <v>3008.731201171875</v>
      </c>
      <c r="L26" s="33" t="n">
        <v>12.71733474731445</v>
      </c>
      <c r="M26" s="33" t="n">
        <v>45.6446647644043</v>
      </c>
      <c r="N26" s="33" t="n">
        <v>58.96745300292969</v>
      </c>
      <c r="O26" s="33" t="n">
        <v>5.024293422698975</v>
      </c>
      <c r="P26" s="33" t="n">
        <v>5.574432849884033</v>
      </c>
    </row>
    <row r="27">
      <c r="B27" s="32" t="n">
        <v>41487</v>
      </c>
      <c r="C27" s="33" t="n">
        <v>24.06286430358887</v>
      </c>
      <c r="D27" s="33" t="n">
        <v>14.19402221679688</v>
      </c>
      <c r="E27" s="33" t="n">
        <v>1.873489379882812</v>
      </c>
      <c r="F27" s="33" t="n">
        <v>1.311682586669922</v>
      </c>
      <c r="G27" s="33" t="n">
        <v>1.319137268066406</v>
      </c>
      <c r="I27" s="33" t="n">
        <v>1.097103958129883</v>
      </c>
      <c r="J27" s="33" t="n">
        <v>7.794275760650635</v>
      </c>
      <c r="K27" s="33" t="n">
        <v>3021.985595703125</v>
      </c>
      <c r="L27" s="33" t="n">
        <v>12.64585018157959</v>
      </c>
      <c r="M27" s="33" t="n">
        <v>45.06402587890625</v>
      </c>
      <c r="N27" s="33" t="n">
        <v>58.91186141967773</v>
      </c>
      <c r="O27" s="33" t="n">
        <v>4.967776775360107</v>
      </c>
      <c r="P27" s="33" t="n">
        <v>5.402449131011963</v>
      </c>
    </row>
    <row r="28">
      <c r="B28" s="32" t="n">
        <v>41518</v>
      </c>
      <c r="C28" s="33" t="n">
        <v>25.67385292053223</v>
      </c>
      <c r="D28" s="33" t="n">
        <v>14.16162231445313</v>
      </c>
      <c r="E28" s="33" t="n">
        <v>1.860915374755859</v>
      </c>
      <c r="F28" s="33" t="n">
        <v>1.289838409423828</v>
      </c>
      <c r="G28" s="33" t="n">
        <v>1.232021942138672</v>
      </c>
      <c r="I28" s="33" t="n">
        <v>1.082244720458984</v>
      </c>
      <c r="J28" s="33" t="n">
        <v>8.373508453369141</v>
      </c>
      <c r="K28" s="33" t="n">
        <v>2920.369140625</v>
      </c>
      <c r="L28" s="33" t="n">
        <v>12.66777896881104</v>
      </c>
      <c r="M28" s="33" t="n">
        <v>45.41615676879883</v>
      </c>
      <c r="N28" s="33" t="n">
        <v>59.80412292480469</v>
      </c>
      <c r="O28" s="33" t="n">
        <v>4.992224216461182</v>
      </c>
      <c r="P28" s="33" t="n">
        <v>5.609920501708984</v>
      </c>
    </row>
    <row r="29">
      <c r="B29" s="32" t="n">
        <v>41548</v>
      </c>
      <c r="C29" s="33" t="n">
        <v>26.63908386230469</v>
      </c>
      <c r="D29" s="33" t="n">
        <v>14.58034057617188</v>
      </c>
      <c r="E29" s="33" t="n">
        <v>1.900034027099609</v>
      </c>
      <c r="F29" s="33" t="n">
        <v>1.319626312255859</v>
      </c>
      <c r="G29" s="33" t="n">
        <v>1.247919082641602</v>
      </c>
      <c r="I29" s="33" t="n">
        <v>1.097103958129883</v>
      </c>
      <c r="J29" s="33" t="n">
        <v>8.670833587646484</v>
      </c>
      <c r="K29" s="33" t="n">
        <v>2915.951171875</v>
      </c>
      <c r="L29" s="33" t="n">
        <v>12.78770732879639</v>
      </c>
      <c r="M29" s="33" t="n">
        <v>46.55985260009766</v>
      </c>
      <c r="N29" s="33" t="n">
        <v>60.82826232910156</v>
      </c>
      <c r="O29" s="33" t="n">
        <v>5.015323162078857</v>
      </c>
      <c r="P29" s="33" t="n">
        <v>5.698702335357666</v>
      </c>
    </row>
    <row r="30">
      <c r="B30" s="32" t="n">
        <v>41579</v>
      </c>
      <c r="C30" s="33" t="n">
        <v>26.35359191894531</v>
      </c>
      <c r="D30" s="33" t="n">
        <v>14.1067919921875</v>
      </c>
      <c r="E30" s="33" t="n">
        <v>1.774752807617187</v>
      </c>
      <c r="F30" s="33" t="n">
        <v>1.284215545654297</v>
      </c>
      <c r="G30" s="33" t="n">
        <v>1.23698974609375</v>
      </c>
      <c r="I30" s="33" t="n">
        <v>1.075183181762695</v>
      </c>
      <c r="J30" s="33" t="n">
        <v>8.524059295654297</v>
      </c>
      <c r="K30" s="33" t="n">
        <v>2920.369140625</v>
      </c>
      <c r="L30" s="33" t="n">
        <v>12.82586574554443</v>
      </c>
      <c r="M30" s="33" t="n">
        <v>46.78018188476562</v>
      </c>
      <c r="N30" s="33" t="n">
        <v>61.24353790283203</v>
      </c>
      <c r="O30" s="33" t="n">
        <v>5.30694580078125</v>
      </c>
      <c r="P30" s="33" t="n">
        <v>5.984471797943115</v>
      </c>
    </row>
    <row r="31">
      <c r="B31" s="32" t="n">
        <v>41609</v>
      </c>
      <c r="C31" s="33" t="n">
        <v>26.82172203063965</v>
      </c>
      <c r="D31" s="33" t="n">
        <v>14.08187133789063</v>
      </c>
      <c r="E31" s="33" t="n">
        <v>1.865587310791016</v>
      </c>
      <c r="F31" s="33" t="n">
        <v>1.335861511230469</v>
      </c>
      <c r="G31" s="33" t="n">
        <v>1.26779052734375</v>
      </c>
      <c r="I31" s="33" t="n">
        <v>1.117298583984375</v>
      </c>
      <c r="J31" s="33" t="n">
        <v>8.73337459564209</v>
      </c>
      <c r="K31" s="33" t="n">
        <v>2830.817138671875</v>
      </c>
      <c r="L31" s="33" t="n">
        <v>12.90049648284912</v>
      </c>
      <c r="M31" s="33" t="n">
        <v>46.97040939331055</v>
      </c>
      <c r="N31" s="33" t="n">
        <v>61.77663421630859</v>
      </c>
      <c r="O31" s="33" t="n">
        <v>5.258492946624756</v>
      </c>
      <c r="P31" s="33" t="n">
        <v>5.919764041900635</v>
      </c>
    </row>
    <row r="32">
      <c r="B32" s="32" t="n">
        <v>41640</v>
      </c>
      <c r="C32" s="33" t="n">
        <v>26.47043228149414</v>
      </c>
      <c r="D32" s="33" t="n">
        <v>14.06525268554688</v>
      </c>
      <c r="E32" s="33" t="n">
        <v>1.894933013916016</v>
      </c>
      <c r="F32" s="33" t="n">
        <v>1.338841247558594</v>
      </c>
      <c r="G32" s="33" t="n">
        <v>1.273751831054688</v>
      </c>
      <c r="I32" s="33" t="n">
        <v>1.077844543457031</v>
      </c>
      <c r="J32" s="33" t="n">
        <v>8.192273139953613</v>
      </c>
      <c r="K32" s="33" t="n">
        <v>2784.486083984375</v>
      </c>
      <c r="L32" s="33" t="n">
        <v>12.9595890045166</v>
      </c>
      <c r="M32" s="33" t="n">
        <v>47.15751266479492</v>
      </c>
      <c r="N32" s="33" t="n">
        <v>61.70088577270508</v>
      </c>
      <c r="O32" s="33" t="n">
        <v>5.240736484527588</v>
      </c>
      <c r="P32" s="33" t="n">
        <v>5.885906219482422</v>
      </c>
    </row>
    <row r="33">
      <c r="B33" s="32" t="n">
        <v>41671</v>
      </c>
      <c r="C33" s="33" t="n">
        <v>27.68959999084473</v>
      </c>
      <c r="D33" s="33" t="n">
        <v>14.46655151367188</v>
      </c>
      <c r="E33" s="33" t="n">
        <v>1.890740814208984</v>
      </c>
      <c r="F33" s="33" t="n">
        <v>1.372609558105469</v>
      </c>
      <c r="G33" s="33" t="n">
        <v>1.294616851806641</v>
      </c>
      <c r="I33" s="33" t="n">
        <v>1.097667007446289</v>
      </c>
      <c r="J33" s="33" t="n">
        <v>8.43691349029541</v>
      </c>
      <c r="K33" s="33" t="n">
        <v>2877.148193359375</v>
      </c>
      <c r="L33" s="33" t="n">
        <v>12.98205757141113</v>
      </c>
      <c r="M33" s="33" t="n">
        <v>48.24615859985352</v>
      </c>
      <c r="N33" s="33" t="n">
        <v>62.62728500366211</v>
      </c>
      <c r="O33" s="33" t="n">
        <v>5.335433483123779</v>
      </c>
      <c r="P33" s="33" t="n">
        <v>5.984664916992188</v>
      </c>
    </row>
    <row r="34">
      <c r="B34" s="32" t="n">
        <v>41699</v>
      </c>
      <c r="C34" s="33" t="n">
        <v>28.6883659362793</v>
      </c>
      <c r="D34" s="33" t="n">
        <v>14.86535400390625</v>
      </c>
      <c r="E34" s="33" t="n">
        <v>1.879561309814453</v>
      </c>
      <c r="F34" s="33" t="n">
        <v>1.349766540527344</v>
      </c>
      <c r="G34" s="33" t="n">
        <v>1.275738906860352</v>
      </c>
      <c r="I34" s="33" t="n">
        <v>1.092711639404297</v>
      </c>
      <c r="J34" s="33" t="n">
        <v>8.899359703063965</v>
      </c>
      <c r="K34" s="33" t="n">
        <v>2997.607666015625</v>
      </c>
      <c r="L34" s="33" t="n">
        <v>12.99414253234863</v>
      </c>
      <c r="M34" s="33" t="n">
        <v>48.20685577392578</v>
      </c>
      <c r="N34" s="33" t="n">
        <v>62.88093185424805</v>
      </c>
      <c r="O34" s="33" t="n">
        <v>5.343631744384766</v>
      </c>
      <c r="P34" s="33" t="n">
        <v>5.860509872436523</v>
      </c>
    </row>
    <row r="35">
      <c r="B35" s="32" t="n">
        <v>41730</v>
      </c>
      <c r="C35" s="33" t="n">
        <v>29.10851860046387</v>
      </c>
      <c r="D35" s="33" t="n">
        <v>15.01818603515625</v>
      </c>
      <c r="E35" s="33" t="n">
        <v>1.868380737304687</v>
      </c>
      <c r="F35" s="33" t="n">
        <v>1.352745513916016</v>
      </c>
      <c r="G35" s="33" t="n">
        <v>1.267098236083984</v>
      </c>
      <c r="I35" s="33" t="n">
        <v>1.122632446289062</v>
      </c>
      <c r="J35" s="33" t="n">
        <v>8.795591354370117</v>
      </c>
      <c r="K35" s="33" t="n">
        <v>2965.177001953125</v>
      </c>
      <c r="L35" s="33" t="n">
        <v>12.99951267242432</v>
      </c>
      <c r="M35" s="33" t="n">
        <v>48.40951919555664</v>
      </c>
      <c r="N35" s="33" t="n">
        <v>63.37090682983398</v>
      </c>
      <c r="O35" s="33" t="n">
        <v>5.20715856552124</v>
      </c>
      <c r="P35" s="33" t="n">
        <v>5.702738761901855</v>
      </c>
    </row>
    <row r="36">
      <c r="B36" s="32" t="n">
        <v>41760</v>
      </c>
      <c r="C36" s="33" t="n">
        <v>29.89374732971191</v>
      </c>
      <c r="D36" s="33" t="n">
        <v>15.32478637695313</v>
      </c>
      <c r="E36" s="33" t="n">
        <v>1.936856231689453</v>
      </c>
      <c r="F36" s="33" t="n">
        <v>1.360051116943359</v>
      </c>
      <c r="G36" s="33" t="n">
        <v>1.287968139648437</v>
      </c>
      <c r="I36" s="33" t="n">
        <v>1.149892730712891</v>
      </c>
      <c r="J36" s="33" t="n">
        <v>9.283049583435059</v>
      </c>
      <c r="K36" s="33" t="n">
        <v>2951.27734375</v>
      </c>
      <c r="L36" s="33" t="n">
        <v>13.08946132659912</v>
      </c>
      <c r="M36" s="33" t="n">
        <v>48.99353790283203</v>
      </c>
      <c r="N36" s="33" t="n">
        <v>63.51502227783203</v>
      </c>
      <c r="O36" s="33" t="n">
        <v>5.228384971618652</v>
      </c>
      <c r="P36" s="33" t="n">
        <v>5.702738761901855</v>
      </c>
    </row>
    <row r="37">
      <c r="B37" s="32" t="n">
        <v>41791</v>
      </c>
      <c r="C37" s="33" t="n">
        <v>30.9671630859375</v>
      </c>
      <c r="D37" s="33" t="n">
        <v>15.6363623046875</v>
      </c>
      <c r="E37" s="33" t="n">
        <v>1.905176544189453</v>
      </c>
      <c r="F37" s="33" t="n">
        <v>1.389855346679687</v>
      </c>
      <c r="G37" s="33" t="n">
        <v>1.324739074707031</v>
      </c>
      <c r="I37" s="33" t="n">
        <v>1.135023651123047</v>
      </c>
      <c r="J37" s="33" t="n">
        <v>9.520374298095703</v>
      </c>
      <c r="K37" s="33" t="n">
        <v>3005.7119140625</v>
      </c>
      <c r="L37" s="33" t="n">
        <v>13.15333557128906</v>
      </c>
      <c r="M37" s="33" t="n">
        <v>49.29333114624023</v>
      </c>
      <c r="N37" s="33" t="n">
        <v>63.85514450073242</v>
      </c>
      <c r="O37" s="33" t="n">
        <v>5.538708209991455</v>
      </c>
      <c r="P37" s="33" t="n">
        <v>6.044098854064941</v>
      </c>
    </row>
    <row r="38">
      <c r="B38" s="32" t="n">
        <v>41821</v>
      </c>
      <c r="C38" s="33" t="n">
        <v>30.163818359375</v>
      </c>
      <c r="D38" s="33" t="n">
        <v>15.10970703125</v>
      </c>
      <c r="E38" s="33" t="n">
        <v>1.909369506835938</v>
      </c>
      <c r="F38" s="33" t="n">
        <v>1.432574310302734</v>
      </c>
      <c r="G38" s="33" t="n">
        <v>1.310825805664062</v>
      </c>
      <c r="I38" s="33" t="n">
        <v>1.130253677368164</v>
      </c>
      <c r="J38" s="33" t="n">
        <v>9.048005104064941</v>
      </c>
      <c r="K38" s="33" t="n">
        <v>3153.846923828125</v>
      </c>
      <c r="L38" s="33" t="n">
        <v>13.05885124206543</v>
      </c>
      <c r="M38" s="33" t="n">
        <v>48.09462738037109</v>
      </c>
      <c r="N38" s="33" t="n">
        <v>63.59573745727539</v>
      </c>
      <c r="O38" s="33" t="n">
        <v>5.182074069976807</v>
      </c>
      <c r="P38" s="33" t="n">
        <v>5.831261157989502</v>
      </c>
    </row>
    <row r="39">
      <c r="B39" s="32" t="n">
        <v>41852</v>
      </c>
      <c r="C39" s="33" t="n">
        <v>30.93223190307617</v>
      </c>
      <c r="D39" s="33" t="n">
        <v>26.13327392578125</v>
      </c>
      <c r="E39" s="33" t="n">
        <v>1.952701110839844</v>
      </c>
      <c r="F39" s="33" t="n">
        <v>1.454610900878906</v>
      </c>
      <c r="G39" s="33" t="n">
        <v>1.346602478027344</v>
      </c>
      <c r="I39" s="33" t="n">
        <v>1.157519149780273</v>
      </c>
      <c r="J39" s="33" t="n">
        <v>9.797219276428223</v>
      </c>
      <c r="K39" s="33" t="n">
        <v>3316.317626953125</v>
      </c>
      <c r="L39" s="33" t="n">
        <v>13.16750621795654</v>
      </c>
      <c r="M39" s="33" t="n">
        <v>49.23937225341797</v>
      </c>
      <c r="N39" s="33" t="n">
        <v>64.04523468017578</v>
      </c>
      <c r="O39" s="33" t="n">
        <v>5.318526268005371</v>
      </c>
      <c r="P39" s="33" t="n">
        <v>5.994534492492676</v>
      </c>
    </row>
    <row r="40">
      <c r="B40" s="32" t="n">
        <v>41883</v>
      </c>
      <c r="C40" s="33" t="n">
        <v>29.6398983001709</v>
      </c>
      <c r="D40" s="33" t="n">
        <v>25.30682373046875</v>
      </c>
      <c r="E40" s="33" t="n">
        <v>1.958291625976563</v>
      </c>
      <c r="F40" s="33" t="n">
        <v>1.431759490966797</v>
      </c>
      <c r="G40" s="33" t="n">
        <v>1.348905944824219</v>
      </c>
      <c r="I40" s="33" t="n">
        <v>1.169912185668945</v>
      </c>
      <c r="J40" s="33" t="n">
        <v>8.770184516906738</v>
      </c>
      <c r="K40" s="33" t="n">
        <v>3459.674560546875</v>
      </c>
      <c r="L40" s="33" t="n">
        <v>12.97334289550781</v>
      </c>
      <c r="M40" s="33" t="n">
        <v>48.26310348510742</v>
      </c>
      <c r="N40" s="33" t="n">
        <v>63.41307067871094</v>
      </c>
      <c r="O40" s="33" t="n">
        <v>5.125818729400635</v>
      </c>
      <c r="P40" s="33" t="n">
        <v>5.714633941650391</v>
      </c>
    </row>
    <row r="41">
      <c r="B41" s="32" t="n">
        <v>41913</v>
      </c>
      <c r="C41" s="33" t="n">
        <v>30.23366737365723</v>
      </c>
      <c r="D41" s="33" t="n">
        <v>16.19499633789063</v>
      </c>
      <c r="E41" s="33" t="n">
        <v>2.046351623535156</v>
      </c>
      <c r="F41" s="33" t="n">
        <v>1.472496185302734</v>
      </c>
      <c r="G41" s="33" t="n">
        <v>1.378726959228516</v>
      </c>
      <c r="I41" s="33" t="n">
        <v>1.130441360473633</v>
      </c>
      <c r="J41" s="33" t="n">
        <v>9.367942810058594</v>
      </c>
      <c r="K41" s="33" t="n">
        <v>3407.111083984375</v>
      </c>
      <c r="L41" s="33" t="n">
        <v>13.07486915588379</v>
      </c>
      <c r="M41" s="33" t="n">
        <v>48.77494049072266</v>
      </c>
      <c r="N41" s="33" t="n">
        <v>63.67304611206055</v>
      </c>
      <c r="O41" s="33" t="n">
        <v>5.07189416885376</v>
      </c>
      <c r="P41" s="33" t="n">
        <v>5.778677940368652</v>
      </c>
    </row>
    <row r="42">
      <c r="B42" s="32" t="n">
        <v>41944</v>
      </c>
      <c r="C42" s="33" t="n">
        <v>30.21270561218262</v>
      </c>
      <c r="D42" s="33" t="n">
        <v>16.60885131835937</v>
      </c>
      <c r="E42" s="33" t="n">
        <v>2.045417785644531</v>
      </c>
      <c r="F42" s="33" t="n">
        <v>1.509437713623047</v>
      </c>
      <c r="G42" s="33" t="n">
        <v>1.355863952636719</v>
      </c>
      <c r="I42" s="33" t="n">
        <v>1.17010627746582</v>
      </c>
      <c r="J42" s="33" t="n">
        <v>9.689174652099609</v>
      </c>
      <c r="K42" s="33" t="n">
        <v>3387.995849609375</v>
      </c>
      <c r="L42" s="33" t="n">
        <v>13.10167026519775</v>
      </c>
      <c r="M42" s="33" t="n">
        <v>48.24759674072266</v>
      </c>
      <c r="N42" s="33" t="n">
        <v>64.18705749511719</v>
      </c>
      <c r="O42" s="33" t="n">
        <v>5.217804908752441</v>
      </c>
      <c r="P42" s="33" t="n">
        <v>5.787612915039062</v>
      </c>
    </row>
    <row r="43">
      <c r="B43" s="32" t="n">
        <v>41974</v>
      </c>
      <c r="C43" s="33" t="n">
        <v>29.89329147338867</v>
      </c>
      <c r="D43" s="33" t="n">
        <v>16.7908447265625</v>
      </c>
      <c r="E43" s="33" t="n">
        <v>2.139090270996094</v>
      </c>
      <c r="F43" s="33" t="n">
        <v>1.515399780273438</v>
      </c>
      <c r="G43" s="33" t="n">
        <v>1.343936004638672</v>
      </c>
      <c r="I43" s="33" t="n">
        <v>1.212249908447266</v>
      </c>
      <c r="J43" s="33" t="n">
        <v>9.77556324005127</v>
      </c>
      <c r="K43" s="33" t="n">
        <v>3378.90087890625</v>
      </c>
      <c r="L43" s="33" t="n">
        <v>12.97086048126221</v>
      </c>
      <c r="M43" s="33" t="n">
        <v>47.86019134521484</v>
      </c>
      <c r="N43" s="33" t="n">
        <v>64.07479095458984</v>
      </c>
      <c r="O43" s="33" t="n">
        <v>5.070520877838135</v>
      </c>
      <c r="P43" s="33" t="n">
        <v>5.468413829803467</v>
      </c>
    </row>
    <row r="44">
      <c r="B44" s="32" t="n">
        <v>42005</v>
      </c>
      <c r="C44" s="33" t="n">
        <v>29.97839736938477</v>
      </c>
      <c r="D44" s="33" t="n">
        <v>17.13330200195313</v>
      </c>
      <c r="E44" s="33" t="n">
        <v>2.154468841552734</v>
      </c>
      <c r="F44" s="33" t="n">
        <v>1.510431365966797</v>
      </c>
      <c r="G44" s="33" t="n">
        <v>1.346917724609375</v>
      </c>
      <c r="I44" s="33" t="n">
        <v>1.18516716003418</v>
      </c>
      <c r="J44" s="33" t="n">
        <v>9.796572685241699</v>
      </c>
      <c r="K44" s="33" t="n">
        <v>3625.53662109375</v>
      </c>
      <c r="L44" s="33" t="n">
        <v>12.97914505004883</v>
      </c>
      <c r="M44" s="33" t="n">
        <v>48.19668579101562</v>
      </c>
      <c r="N44" s="33" t="n">
        <v>64.45291900634766</v>
      </c>
      <c r="O44" s="33" t="n">
        <v>5.408339023590088</v>
      </c>
      <c r="P44" s="33" t="n">
        <v>5.40131664276123</v>
      </c>
    </row>
    <row r="45">
      <c r="B45" s="32" t="n">
        <v>42036</v>
      </c>
      <c r="C45" s="33" t="n">
        <v>29.99966621398926</v>
      </c>
      <c r="D45" s="33" t="n">
        <v>16.17591430664062</v>
      </c>
      <c r="E45" s="33" t="n">
        <v>2.207596740722656</v>
      </c>
      <c r="F45" s="33" t="n">
        <v>1.548370819091797</v>
      </c>
      <c r="G45" s="33" t="n">
        <v>1.369780578613281</v>
      </c>
      <c r="I45" s="33" t="n">
        <v>1.155414047241211</v>
      </c>
      <c r="J45" s="33" t="n">
        <v>10.73565864562988</v>
      </c>
      <c r="K45" s="33" t="n">
        <v>3660.06494140625</v>
      </c>
      <c r="L45" s="33" t="n">
        <v>13.13861846923828</v>
      </c>
      <c r="M45" s="33" t="n">
        <v>49.27200698852539</v>
      </c>
      <c r="N45" s="33" t="n">
        <v>65.60868835449219</v>
      </c>
      <c r="O45" s="33" t="n">
        <v>5.6194748878479</v>
      </c>
      <c r="P45" s="33" t="n">
        <v>5.697153568267822</v>
      </c>
    </row>
    <row r="46">
      <c r="B46" s="32" t="n">
        <v>42064</v>
      </c>
      <c r="C46" s="33" t="n">
        <v>29.67343902587891</v>
      </c>
      <c r="D46" s="33" t="n">
        <v>16.57980834960938</v>
      </c>
      <c r="E46" s="33" t="n">
        <v>2.239752807617188</v>
      </c>
      <c r="F46" s="33" t="n">
        <v>1.555327758789063</v>
      </c>
      <c r="G46" s="33" t="n">
        <v>1.369780578613281</v>
      </c>
      <c r="I46" s="33" t="n">
        <v>1.165331649780273</v>
      </c>
      <c r="J46" s="33" t="n">
        <v>10.75691795349121</v>
      </c>
      <c r="K46" s="33" t="n">
        <v>3862.30615234375</v>
      </c>
      <c r="L46" s="33" t="n">
        <v>13.12396430969238</v>
      </c>
      <c r="M46" s="33" t="n">
        <v>48.80501556396484</v>
      </c>
      <c r="N46" s="33" t="n">
        <v>65.41552734375</v>
      </c>
      <c r="O46" s="33" t="n">
        <v>5.718568801879883</v>
      </c>
      <c r="P46" s="33" t="n">
        <v>5.703254222869873</v>
      </c>
    </row>
    <row r="47">
      <c r="B47" s="32" t="n">
        <v>42095</v>
      </c>
      <c r="C47" s="33" t="n">
        <v>30.99966049194336</v>
      </c>
      <c r="D47" s="33" t="n">
        <v>16.30144653320313</v>
      </c>
      <c r="E47" s="33" t="n">
        <v>2.228568420410156</v>
      </c>
      <c r="F47" s="33" t="n">
        <v>1.522531585693359</v>
      </c>
      <c r="G47" s="33" t="n">
        <v>1.358159637451172</v>
      </c>
      <c r="H47" s="33" t="n">
        <v>1.038846893310547</v>
      </c>
      <c r="I47" s="33" t="n">
        <v>1.140718460083008</v>
      </c>
      <c r="J47" s="33" t="n">
        <v>10.37662506103516</v>
      </c>
      <c r="K47" s="33" t="n">
        <v>3901.768310546875</v>
      </c>
      <c r="L47" s="33" t="n">
        <v>13.21275520324707</v>
      </c>
      <c r="M47" s="33" t="n">
        <v>49.23027420043945</v>
      </c>
      <c r="N47" s="33" t="n">
        <v>65.5362548828125</v>
      </c>
      <c r="O47" s="33" t="n">
        <v>5.668612480163574</v>
      </c>
      <c r="P47" s="33" t="n">
        <v>5.762243747711182</v>
      </c>
    </row>
    <row r="48">
      <c r="B48" s="32" t="n">
        <v>42125</v>
      </c>
      <c r="C48" s="33" t="n">
        <v>30.58122444152832</v>
      </c>
      <c r="D48" s="33" t="n">
        <v>16.30144653320313</v>
      </c>
      <c r="E48" s="33" t="n">
        <v>2.348804321289062</v>
      </c>
      <c r="F48" s="33" t="n">
        <v>1.520728759765625</v>
      </c>
      <c r="G48" s="33" t="n">
        <v>1.365119323730469</v>
      </c>
      <c r="H48" s="33" t="n">
        <v>1.047411651611328</v>
      </c>
      <c r="I48" s="33" t="n">
        <v>1.172955703735352</v>
      </c>
      <c r="J48" s="33" t="n">
        <v>10.33970260620117</v>
      </c>
      <c r="K48" s="33" t="n">
        <v>3872.172119140625</v>
      </c>
      <c r="L48" s="33" t="n">
        <v>13.23134994506836</v>
      </c>
      <c r="M48" s="33" t="n">
        <v>49.4052734375</v>
      </c>
      <c r="N48" s="33" t="n">
        <v>65.79579925537109</v>
      </c>
      <c r="O48" s="33" t="n">
        <v>5.578685283660889</v>
      </c>
      <c r="P48" s="33" t="n">
        <v>5.693941116333008</v>
      </c>
    </row>
    <row r="49">
      <c r="B49" s="32" t="n">
        <v>42156</v>
      </c>
      <c r="C49" s="33" t="n">
        <v>29.17085838317871</v>
      </c>
      <c r="D49" s="33" t="n">
        <v>15.08968872070312</v>
      </c>
      <c r="E49" s="33" t="n">
        <v>2.34930908203125</v>
      </c>
      <c r="F49" s="33" t="n">
        <v>1.530667877197266</v>
      </c>
      <c r="G49" s="33" t="n">
        <v>1.34921142578125</v>
      </c>
      <c r="H49" s="33" t="n">
        <v>1.042517776489258</v>
      </c>
      <c r="I49" s="33" t="n">
        <v>1.135758590698242</v>
      </c>
      <c r="J49" s="33" t="n">
        <v>10.6696195602417</v>
      </c>
      <c r="K49" s="33" t="n">
        <v>4076.64794921875</v>
      </c>
      <c r="L49" s="33" t="n">
        <v>13.08047294616699</v>
      </c>
      <c r="M49" s="33" t="n">
        <v>48.4729118347168</v>
      </c>
      <c r="N49" s="33" t="n">
        <v>64.45587158203125</v>
      </c>
      <c r="O49" s="33" t="n">
        <v>5.611973762512207</v>
      </c>
      <c r="P49" s="33" t="n">
        <v>5.554230690002441</v>
      </c>
    </row>
    <row r="50">
      <c r="B50" s="32" t="n">
        <v>42186</v>
      </c>
      <c r="C50" s="33" t="n">
        <v>29.30730628967285</v>
      </c>
      <c r="D50" s="33" t="n">
        <v>15.50531372070312</v>
      </c>
      <c r="E50" s="33" t="n">
        <v>2.12891372680664</v>
      </c>
      <c r="F50" s="33" t="n">
        <v>1.514765167236328</v>
      </c>
      <c r="G50" s="33" t="n">
        <v>1.362136993408203</v>
      </c>
      <c r="H50" s="33" t="n">
        <v>1.013246765136719</v>
      </c>
      <c r="I50" s="33" t="n">
        <v>1.164712524414063</v>
      </c>
      <c r="J50" s="33" t="n">
        <v>10.00739669799805</v>
      </c>
      <c r="K50" s="33" t="n">
        <v>4000.685546875</v>
      </c>
      <c r="L50" s="33" t="n">
        <v>13.06695461273193</v>
      </c>
      <c r="M50" s="33" t="n">
        <v>48.23442077636719</v>
      </c>
      <c r="N50" s="33" t="n">
        <v>65.1016845703125</v>
      </c>
      <c r="O50" s="33" t="n">
        <v>5.485824108123779</v>
      </c>
      <c r="P50" s="33" t="n">
        <v>5.3956298828125</v>
      </c>
    </row>
    <row r="51">
      <c r="B51" s="32" t="n">
        <v>42217</v>
      </c>
      <c r="C51" s="33" t="n">
        <v>27.75612258911133</v>
      </c>
      <c r="D51" s="33" t="n">
        <v>22.8643798828125</v>
      </c>
      <c r="E51" s="33" t="n">
        <v>2.073486938476563</v>
      </c>
      <c r="F51" s="33" t="n">
        <v>1.505008544921875</v>
      </c>
      <c r="G51" s="33" t="n">
        <v>1.350205383300781</v>
      </c>
      <c r="H51" s="33" t="n">
        <v>1.02058837890625</v>
      </c>
      <c r="I51" s="33" t="n">
        <v>1.177609786987305</v>
      </c>
      <c r="J51" s="33" t="n">
        <v>9.573394775390625</v>
      </c>
      <c r="K51" s="33" t="n">
        <v>4015.877197265625</v>
      </c>
      <c r="L51" s="33" t="n">
        <v>12.93898487091064</v>
      </c>
      <c r="M51" s="33" t="n">
        <v>47.49965667724609</v>
      </c>
      <c r="N51" s="33" t="n">
        <v>64.42991638183594</v>
      </c>
      <c r="O51" s="33" t="n">
        <v>5.37672233581543</v>
      </c>
      <c r="P51" s="33" t="n">
        <v>5.436865329742432</v>
      </c>
    </row>
    <row r="52">
      <c r="B52" s="32" t="n">
        <v>42248</v>
      </c>
      <c r="C52" s="33" t="n">
        <v>27.09543800354004</v>
      </c>
      <c r="D52" s="33" t="n">
        <v>14.6973828125</v>
      </c>
      <c r="E52" s="33" t="n">
        <v>2.107499237060547</v>
      </c>
      <c r="F52" s="33" t="n">
        <v>1.513955383300781</v>
      </c>
      <c r="G52" s="33" t="n">
        <v>1.301800384521484</v>
      </c>
      <c r="H52" s="33" t="n">
        <v>1.02058837890625</v>
      </c>
      <c r="I52" s="33" t="n">
        <v>1.203404006958008</v>
      </c>
      <c r="J52" s="33" t="n">
        <v>8.911740303039551</v>
      </c>
      <c r="K52" s="33" t="n">
        <v>4020.941162109375</v>
      </c>
      <c r="L52" s="33" t="n">
        <v>12.79395580291748</v>
      </c>
      <c r="M52" s="33" t="n">
        <v>46.07949829101562</v>
      </c>
      <c r="N52" s="33" t="n">
        <v>62.90618896484375</v>
      </c>
      <c r="O52" s="33" t="n">
        <v>5.062136650085449</v>
      </c>
      <c r="P52" s="33" t="n">
        <v>4.98326587677002</v>
      </c>
    </row>
    <row r="53">
      <c r="B53" s="32" t="n">
        <v>42278</v>
      </c>
      <c r="C53" s="33" t="n">
        <v>28.25881767272949</v>
      </c>
      <c r="D53" s="33" t="n">
        <v>15.05396728515625</v>
      </c>
      <c r="E53" s="33" t="n">
        <v>2.171744689941406</v>
      </c>
      <c r="F53" s="33" t="n">
        <v>1.537813110351562</v>
      </c>
      <c r="G53" s="33" t="n">
        <v>1.310750732421875</v>
      </c>
      <c r="H53" s="33" t="n">
        <v>1.008351516723633</v>
      </c>
      <c r="I53" s="33" t="n">
        <v>1.203591461181641</v>
      </c>
      <c r="J53" s="33" t="n">
        <v>10.19385051727295</v>
      </c>
      <c r="K53" s="33" t="n">
        <v>4051.3271484375</v>
      </c>
      <c r="L53" s="33" t="n">
        <v>12.81605434417725</v>
      </c>
      <c r="M53" s="33" t="n">
        <v>47.56819534301758</v>
      </c>
      <c r="N53" s="33" t="n">
        <v>65.06707000732422</v>
      </c>
      <c r="O53" s="33" t="n">
        <v>5.324333190917969</v>
      </c>
      <c r="P53" s="33" t="n">
        <v>5.197111129760742</v>
      </c>
    </row>
    <row r="54">
      <c r="B54" s="32" t="n">
        <v>42309</v>
      </c>
      <c r="C54" s="33" t="n">
        <v>27.08825302124023</v>
      </c>
      <c r="D54" s="33" t="n">
        <v>14.73085693359375</v>
      </c>
      <c r="E54" s="33" t="n">
        <v>2.174709167480469</v>
      </c>
      <c r="F54" s="33" t="n">
        <v>1.516127471923828</v>
      </c>
      <c r="G54" s="33" t="n">
        <v>1.372409362792969</v>
      </c>
      <c r="H54" s="33" t="n">
        <v>1.018240127563476</v>
      </c>
      <c r="I54" s="33" t="n">
        <v>1.175808639526367</v>
      </c>
      <c r="J54" s="33" t="n">
        <v>10.19519996643066</v>
      </c>
      <c r="K54" s="33" t="n">
        <v>4020.941162109375</v>
      </c>
      <c r="L54" s="33" t="n">
        <v>12.68827533721924</v>
      </c>
      <c r="M54" s="33" t="n">
        <v>46.38088989257812</v>
      </c>
      <c r="N54" s="33" t="n">
        <v>65.18437957763672</v>
      </c>
      <c r="O54" s="33" t="n">
        <v>5.530593872070312</v>
      </c>
      <c r="P54" s="33" t="n">
        <v>5.611842155456543</v>
      </c>
    </row>
    <row r="55">
      <c r="B55" s="32" t="n">
        <v>42339</v>
      </c>
      <c r="C55" s="33" t="n">
        <v>26.27713012695312</v>
      </c>
      <c r="D55" s="33" t="n">
        <v>14.79320556640625</v>
      </c>
      <c r="E55" s="33" t="n">
        <v>2.164629974365234</v>
      </c>
      <c r="F55" s="33" t="n">
        <v>1.498231964111328</v>
      </c>
      <c r="G55" s="33" t="n">
        <v>1.385338439941406</v>
      </c>
      <c r="H55" s="33" t="n">
        <v>1.010896835327148</v>
      </c>
      <c r="I55" s="33" t="n">
        <v>1.191684494018555</v>
      </c>
      <c r="J55" s="33" t="n">
        <v>9.304286003112793</v>
      </c>
      <c r="K55" s="33" t="n">
        <v>4196.3447265625</v>
      </c>
      <c r="L55" s="33" t="n">
        <v>12.57339096069336</v>
      </c>
      <c r="M55" s="33" t="n">
        <v>45.45682144165039</v>
      </c>
      <c r="N55" s="33" t="n">
        <v>63.40937042236328</v>
      </c>
      <c r="O55" s="33" t="n">
        <v>5.10929536819458</v>
      </c>
      <c r="P55" s="33" t="n">
        <v>5.237916946411133</v>
      </c>
    </row>
    <row r="56">
      <c r="B56" s="32" t="n">
        <v>42370</v>
      </c>
      <c r="C56" s="33" t="n">
        <v>26.24057388305664</v>
      </c>
      <c r="D56" s="33" t="n">
        <v>15.61615600585938</v>
      </c>
      <c r="E56" s="33" t="n">
        <v>2.154550476074219</v>
      </c>
      <c r="F56" s="33" t="n">
        <v>1.504196624755859</v>
      </c>
      <c r="G56" s="33" t="n">
        <v>1.397272186279297</v>
      </c>
      <c r="H56" s="33" t="n">
        <v>0.9890140533447266</v>
      </c>
      <c r="I56" s="33" t="n">
        <v>1.141264877319336</v>
      </c>
      <c r="J56" s="33" t="n">
        <v>8.823241233825684</v>
      </c>
      <c r="K56" s="33" t="n">
        <v>4269.505859375</v>
      </c>
      <c r="L56" s="33" t="n">
        <v>12.49699592590332</v>
      </c>
      <c r="M56" s="33" t="n">
        <v>44.72912979125977</v>
      </c>
      <c r="N56" s="33" t="n">
        <v>62.9123649597168</v>
      </c>
      <c r="O56" s="33" t="n">
        <v>4.983802318572998</v>
      </c>
      <c r="P56" s="33" t="n">
        <v>4.915737628936768</v>
      </c>
    </row>
    <row r="57">
      <c r="B57" s="32" t="n">
        <v>42401</v>
      </c>
      <c r="C57" s="33" t="n">
        <v>26.31369018554688</v>
      </c>
      <c r="D57" s="33" t="n">
        <v>15.95873901367188</v>
      </c>
      <c r="E57" s="33" t="n">
        <v>2.182268524169922</v>
      </c>
      <c r="F57" s="33" t="n">
        <v>1.548123168945313</v>
      </c>
      <c r="G57" s="33" t="n">
        <v>1.415173492431641</v>
      </c>
      <c r="H57" s="33" t="n">
        <v>1.013495407104492</v>
      </c>
      <c r="I57" s="33" t="n">
        <v>1.18294548034668</v>
      </c>
      <c r="J57" s="33" t="n">
        <v>9.386375427246094</v>
      </c>
      <c r="K57" s="33" t="n">
        <v>4426.28125</v>
      </c>
      <c r="L57" s="33" t="n">
        <v>12.51120567321777</v>
      </c>
      <c r="M57" s="33" t="n">
        <v>45.39866256713867</v>
      </c>
      <c r="N57" s="33" t="n">
        <v>62.9123649597168</v>
      </c>
      <c r="O57" s="33" t="n">
        <v>4.89775276184082</v>
      </c>
      <c r="P57" s="33" t="n">
        <v>5.018702030181885</v>
      </c>
    </row>
    <row r="58">
      <c r="B58" s="32" t="n">
        <v>42430</v>
      </c>
      <c r="C58" s="33" t="n">
        <v>28.5802116394043</v>
      </c>
      <c r="D58" s="33" t="n">
        <v>16.57972778320313</v>
      </c>
      <c r="E58" s="33" t="n">
        <v>2.173449859619141</v>
      </c>
      <c r="F58" s="33" t="n">
        <v>1.583918151855469</v>
      </c>
      <c r="G58" s="33" t="n">
        <v>1.430090789794922</v>
      </c>
      <c r="H58" s="33" t="n">
        <v>1.040423355102539</v>
      </c>
      <c r="I58" s="33" t="n">
        <v>1.166074523925781</v>
      </c>
      <c r="J58" s="33" t="n">
        <v>10.50326633453369</v>
      </c>
      <c r="K58" s="33" t="n">
        <v>4374.0234375</v>
      </c>
      <c r="L58" s="33" t="n">
        <v>12.89962959289551</v>
      </c>
      <c r="M58" s="33" t="n">
        <v>46.55497360229492</v>
      </c>
      <c r="N58" s="33" t="n">
        <v>64.780517578125</v>
      </c>
      <c r="O58" s="33" t="n">
        <v>5.469180583953857</v>
      </c>
      <c r="P58" s="33" t="n">
        <v>5.47706127166748</v>
      </c>
    </row>
    <row r="59">
      <c r="B59" s="32" t="n">
        <v>42461</v>
      </c>
      <c r="C59" s="33" t="n">
        <v>29.22362327575684</v>
      </c>
      <c r="D59" s="33" t="n">
        <v>16.35028930664063</v>
      </c>
      <c r="E59" s="33" t="n">
        <v>2.267947998046875</v>
      </c>
      <c r="F59" s="33" t="n">
        <v>1.613746948242188</v>
      </c>
      <c r="G59" s="33" t="n">
        <v>1.431409912109375</v>
      </c>
      <c r="H59" s="33" t="n">
        <v>1.02343147277832</v>
      </c>
      <c r="I59" s="33" t="n">
        <v>1.181149749755859</v>
      </c>
      <c r="J59" s="33" t="n">
        <v>10.51573181152344</v>
      </c>
      <c r="K59" s="33" t="n">
        <v>4426.28125</v>
      </c>
      <c r="L59" s="33" t="n">
        <v>13.16154766082764</v>
      </c>
      <c r="M59" s="33" t="n">
        <v>48.00872421264648</v>
      </c>
      <c r="N59" s="33" t="n">
        <v>65.77750396728516</v>
      </c>
      <c r="O59" s="33" t="n">
        <v>5.598169803619385</v>
      </c>
      <c r="P59" s="33" t="n">
        <v>5.596275329589844</v>
      </c>
    </row>
    <row r="60">
      <c r="B60" s="32" t="n">
        <v>42491</v>
      </c>
      <c r="C60" s="33" t="n">
        <v>29.11394882202148</v>
      </c>
      <c r="D60" s="33" t="n">
        <v>16.40358154296875</v>
      </c>
      <c r="E60" s="33" t="n">
        <v>2.151225433349609</v>
      </c>
      <c r="F60" s="33" t="n">
        <v>1.617907409667969</v>
      </c>
      <c r="G60" s="33" t="n">
        <v>1.454288482666016</v>
      </c>
      <c r="H60" s="33" t="n">
        <v>1.018534545898438</v>
      </c>
      <c r="I60" s="33" t="n">
        <v>1.196038208007812</v>
      </c>
      <c r="J60" s="33" t="n">
        <v>10.80483245849609</v>
      </c>
      <c r="K60" s="33" t="n">
        <v>4572.6044921875</v>
      </c>
      <c r="L60" s="33" t="n">
        <v>13.20466327667236</v>
      </c>
      <c r="M60" s="33" t="n">
        <v>48.09039688110352</v>
      </c>
      <c r="N60" s="33" t="n">
        <v>65.64499664306641</v>
      </c>
      <c r="O60" s="33" t="n">
        <v>5.469180583953857</v>
      </c>
      <c r="P60" s="33" t="n">
        <v>5.538370609283447</v>
      </c>
    </row>
    <row r="61">
      <c r="B61" s="32" t="n">
        <v>42522</v>
      </c>
      <c r="C61" s="33" t="n">
        <v>30.05046272277832</v>
      </c>
      <c r="D61" s="33" t="n">
        <v>18.6831689453125</v>
      </c>
      <c r="E61" s="33" t="n">
        <v>2.243222351074219</v>
      </c>
      <c r="F61" s="33" t="n">
        <v>1.695471649169922</v>
      </c>
      <c r="G61" s="33" t="n">
        <v>1.507009124755859</v>
      </c>
      <c r="H61" s="33" t="n">
        <v>1.052812423706055</v>
      </c>
      <c r="I61" s="33" t="n">
        <v>1.181149749755859</v>
      </c>
      <c r="J61" s="33" t="n">
        <v>11.43654823303223</v>
      </c>
      <c r="K61" s="33" t="n">
        <v>4682.94775390625</v>
      </c>
      <c r="L61" s="33" t="n">
        <v>13.20195293426514</v>
      </c>
      <c r="M61" s="33" t="n">
        <v>48.95267486572266</v>
      </c>
      <c r="N61" s="33" t="n">
        <v>65.71440124511719</v>
      </c>
      <c r="O61" s="33" t="n">
        <v>5.374251842498779</v>
      </c>
      <c r="P61" s="33" t="n">
        <v>5.674616813659668</v>
      </c>
    </row>
    <row r="62">
      <c r="B62" s="32" t="n">
        <v>42552</v>
      </c>
      <c r="C62" s="33" t="n">
        <v>30.83775520324707</v>
      </c>
      <c r="D62" s="33" t="n">
        <v>18.98744873046875</v>
      </c>
      <c r="E62" s="33" t="n">
        <v>2.400753021240234</v>
      </c>
      <c r="F62" s="33" t="n">
        <v>1.735248413085938</v>
      </c>
      <c r="G62" s="33" t="n">
        <v>1.576640167236328</v>
      </c>
      <c r="H62" s="33" t="n">
        <v>1.09213508605957</v>
      </c>
      <c r="I62" s="33" t="n">
        <v>1.255787582397461</v>
      </c>
      <c r="J62" s="33" t="n">
        <v>11.89138221740723</v>
      </c>
      <c r="K62" s="33" t="n">
        <v>4784.51953125</v>
      </c>
      <c r="L62" s="33" t="n">
        <v>13.39077949523926</v>
      </c>
      <c r="M62" s="33" t="n">
        <v>49.59548187255859</v>
      </c>
      <c r="N62" s="33" t="n">
        <v>66.95121002197266</v>
      </c>
      <c r="O62" s="33" t="n">
        <v>5.730012893676758</v>
      </c>
      <c r="P62" s="33" t="n">
        <v>5.987430572509766</v>
      </c>
    </row>
    <row r="63">
      <c r="B63" s="32" t="n">
        <v>42583</v>
      </c>
      <c r="C63" s="33" t="n">
        <v>30.3029842376709</v>
      </c>
      <c r="D63" s="33" t="n">
        <v>18.2536572265625</v>
      </c>
      <c r="E63" s="33" t="n">
        <v>2.352863006591797</v>
      </c>
      <c r="F63" s="33" t="n">
        <v>1.753336334228516</v>
      </c>
      <c r="G63" s="33" t="n">
        <v>1.56370849609375</v>
      </c>
      <c r="H63" s="33" t="n">
        <v>1.106826858520508</v>
      </c>
      <c r="I63" s="33" t="n">
        <v>1.262736587524414</v>
      </c>
      <c r="J63" s="33" t="n">
        <v>12.26239585876465</v>
      </c>
      <c r="K63" s="33" t="n">
        <v>4698.98486328125</v>
      </c>
      <c r="L63" s="33" t="n">
        <v>13.46485042572021</v>
      </c>
      <c r="M63" s="33" t="n">
        <v>50.57133865356445</v>
      </c>
      <c r="N63" s="33" t="n">
        <v>67.79046630859375</v>
      </c>
      <c r="O63" s="33" t="n">
        <v>6.116049289703369</v>
      </c>
      <c r="P63" s="33" t="n">
        <v>6.291163921356201</v>
      </c>
    </row>
    <row r="64">
      <c r="B64" s="32" t="n">
        <v>42614</v>
      </c>
      <c r="C64" s="33" t="n">
        <v>30.86745643615723</v>
      </c>
      <c r="D64" s="33" t="n">
        <v>18.86726806640625</v>
      </c>
      <c r="E64" s="33" t="n">
        <v>2.44486068725586</v>
      </c>
      <c r="F64" s="33" t="n">
        <v>1.687698059082031</v>
      </c>
      <c r="G64" s="33" t="n">
        <v>1.534190673828125</v>
      </c>
      <c r="H64" s="33" t="n">
        <v>1.10437873840332</v>
      </c>
      <c r="I64" s="33" t="n">
        <v>1.306416473388672</v>
      </c>
      <c r="J64" s="33" t="n">
        <v>13.2906551361084</v>
      </c>
      <c r="K64" s="33" t="n">
        <v>4709.67626953125</v>
      </c>
      <c r="L64" s="33" t="n">
        <v>13.51036548614502</v>
      </c>
      <c r="M64" s="33" t="n">
        <v>51.11669921875</v>
      </c>
      <c r="N64" s="33" t="n">
        <v>67.53235626220703</v>
      </c>
      <c r="O64" s="33" t="n">
        <v>6.010171413421631</v>
      </c>
      <c r="P64" s="33" t="n">
        <v>6.214358329772949</v>
      </c>
    </row>
    <row r="65">
      <c r="B65" s="32" t="n">
        <v>42644</v>
      </c>
      <c r="C65" s="33" t="n">
        <v>29.87220764160156</v>
      </c>
      <c r="D65" s="33" t="n">
        <v>19.70038330078125</v>
      </c>
      <c r="E65" s="33" t="n">
        <v>2.4133544921875</v>
      </c>
      <c r="F65" s="33" t="n">
        <v>1.696648864746094</v>
      </c>
      <c r="G65" s="33" t="n">
        <v>1.584933013916016</v>
      </c>
      <c r="H65" s="33" t="n">
        <v>1.077586135864258</v>
      </c>
      <c r="I65" s="33" t="n">
        <v>1.276817932128906</v>
      </c>
      <c r="J65" s="33" t="n">
        <v>12.97987937927246</v>
      </c>
      <c r="K65" s="33" t="n">
        <v>4709.67626953125</v>
      </c>
      <c r="L65" s="33" t="n">
        <v>13.54124641418457</v>
      </c>
      <c r="M65" s="33" t="n">
        <v>50.61421966552734</v>
      </c>
      <c r="N65" s="33" t="n">
        <v>67.87338256835938</v>
      </c>
      <c r="O65" s="33" t="n">
        <v>5.93262243270874</v>
      </c>
      <c r="P65" s="33" t="n">
        <v>6.136713981628418</v>
      </c>
    </row>
    <row r="66">
      <c r="B66" s="32" t="n">
        <v>42675</v>
      </c>
      <c r="C66" s="33" t="n">
        <v>28.65414619445801</v>
      </c>
      <c r="D66" s="33" t="n">
        <v>18.2896337890625</v>
      </c>
      <c r="E66" s="33" t="n">
        <v>2.326851196289062</v>
      </c>
      <c r="F66" s="33" t="n">
        <v>1.586439514160156</v>
      </c>
      <c r="G66" s="33" t="n">
        <v>1.517277069091797</v>
      </c>
      <c r="H66" s="33" t="n">
        <v>1.040850067138672</v>
      </c>
      <c r="I66" s="33" t="n">
        <v>1.228167953491211</v>
      </c>
      <c r="J66" s="33" t="n">
        <v>12.23027038574219</v>
      </c>
      <c r="K66" s="33" t="n">
        <v>4517.2275390625</v>
      </c>
      <c r="L66" s="33" t="n">
        <v>13.55963325500488</v>
      </c>
      <c r="M66" s="33" t="n">
        <v>50.62366104125977</v>
      </c>
      <c r="N66" s="33" t="n">
        <v>67.43582153320312</v>
      </c>
      <c r="O66" s="33" t="n">
        <v>6.219559192657471</v>
      </c>
      <c r="P66" s="33" t="n">
        <v>6.364663600921631</v>
      </c>
    </row>
    <row r="67">
      <c r="B67" s="32" t="n">
        <v>42705</v>
      </c>
      <c r="C67" s="33" t="n">
        <v>29.39275550842285</v>
      </c>
      <c r="D67" s="33" t="n">
        <v>19.190146484375</v>
      </c>
      <c r="E67" s="33" t="n">
        <v>2.35458251953125</v>
      </c>
      <c r="F67" s="33" t="n">
        <v>1.466089019775391</v>
      </c>
      <c r="G67" s="33" t="n">
        <v>1.532200469970703</v>
      </c>
      <c r="H67" s="33" t="n">
        <v>1.117996139526367</v>
      </c>
      <c r="I67" s="33" t="n">
        <v>1.221217727661133</v>
      </c>
      <c r="J67" s="33" t="n">
        <v>12.99514007568359</v>
      </c>
      <c r="K67" s="33" t="n">
        <v>4463.11669921875</v>
      </c>
      <c r="L67" s="33" t="n">
        <v>13.73559379577637</v>
      </c>
      <c r="M67" s="33" t="n">
        <v>51.55460357666016</v>
      </c>
      <c r="N67" s="33" t="n">
        <v>68.46537017822266</v>
      </c>
      <c r="O67" s="33" t="n">
        <v>6.541482925415039</v>
      </c>
      <c r="P67" s="33" t="n">
        <v>6.54477596282959</v>
      </c>
    </row>
    <row r="68">
      <c r="B68" s="32" t="n">
        <v>42736</v>
      </c>
      <c r="C68" s="33" t="n">
        <v>29.90472984313965</v>
      </c>
      <c r="D68" s="33" t="n">
        <v>18.86336181640625</v>
      </c>
      <c r="E68" s="33" t="n">
        <v>2.405001983642578</v>
      </c>
      <c r="F68" s="33" t="n">
        <v>1.601359558105469</v>
      </c>
      <c r="G68" s="33" t="n">
        <v>1.529216613769531</v>
      </c>
      <c r="H68" s="33" t="n">
        <v>1.092427062988281</v>
      </c>
      <c r="I68" s="33" t="n">
        <v>1.229348373413086</v>
      </c>
      <c r="J68" s="33" t="n">
        <v>13.56977272033691</v>
      </c>
      <c r="K68" s="33" t="n">
        <v>4413.8310546875</v>
      </c>
      <c r="L68" s="33" t="n">
        <v>13.74139595031738</v>
      </c>
      <c r="M68" s="33" t="n">
        <v>52.02517700195312</v>
      </c>
      <c r="N68" s="33" t="n">
        <v>68.78068542480469</v>
      </c>
      <c r="O68" s="33" t="n">
        <v>6.704126358032227</v>
      </c>
      <c r="P68" s="33" t="n">
        <v>6.610188007354736</v>
      </c>
    </row>
    <row r="69">
      <c r="B69" s="32" t="n">
        <v>42767</v>
      </c>
      <c r="C69" s="33" t="n">
        <v>30.72536849975586</v>
      </c>
      <c r="D69" s="33" t="n">
        <v>19.62303588867188</v>
      </c>
      <c r="E69" s="33" t="n">
        <v>2.452899780273437</v>
      </c>
      <c r="F69" s="33" t="n">
        <v>1.643134155273438</v>
      </c>
      <c r="G69" s="33" t="n">
        <v>1.584933013916016</v>
      </c>
      <c r="H69" s="33" t="n">
        <v>1.075281219482422</v>
      </c>
      <c r="I69" s="33" t="n">
        <v>1.266089859008789</v>
      </c>
      <c r="J69" s="33" t="n">
        <v>14.17557334899902</v>
      </c>
      <c r="K69" s="33" t="n">
        <v>4512.40283203125</v>
      </c>
      <c r="L69" s="33" t="n">
        <v>13.8230619430542</v>
      </c>
      <c r="M69" s="33" t="n">
        <v>52.82208251953125</v>
      </c>
      <c r="N69" s="33" t="n">
        <v>69.39196014404297</v>
      </c>
      <c r="O69" s="33" t="n">
        <v>7.041316986083984</v>
      </c>
      <c r="P69" s="33" t="n">
        <v>6.933609485626221</v>
      </c>
    </row>
    <row r="70">
      <c r="B70" s="32" t="n">
        <v>42795</v>
      </c>
      <c r="C70" s="33" t="n">
        <v>31.86223983764648</v>
      </c>
      <c r="D70" s="33" t="n">
        <v>19.83758056640625</v>
      </c>
      <c r="E70" s="33" t="n">
        <v>2.382312927246094</v>
      </c>
      <c r="F70" s="33" t="n">
        <v>1.681124572753906</v>
      </c>
      <c r="G70" s="33" t="n">
        <v>1.552099914550781</v>
      </c>
      <c r="H70" s="33" t="n">
        <v>1.080179214477539</v>
      </c>
      <c r="I70" s="33" t="n">
        <v>1.278999328613281</v>
      </c>
      <c r="J70" s="33" t="n">
        <v>15.19316673278809</v>
      </c>
      <c r="K70" s="33" t="n">
        <v>4556.2109375</v>
      </c>
      <c r="L70" s="33" t="n">
        <v>13.79650402069092</v>
      </c>
      <c r="M70" s="33" t="n">
        <v>52.7463493347168</v>
      </c>
      <c r="N70" s="33" t="n">
        <v>69.28968048095703</v>
      </c>
      <c r="O70" s="33" t="n">
        <v>7.046157836914062</v>
      </c>
      <c r="P70" s="33" t="n">
        <v>7.002655506134033</v>
      </c>
    </row>
    <row r="71">
      <c r="B71" s="32" t="n">
        <v>42826</v>
      </c>
      <c r="C71" s="33" t="n">
        <v>32.32902526855469</v>
      </c>
      <c r="D71" s="33" t="n">
        <v>19.3486181640625</v>
      </c>
      <c r="E71" s="33" t="n">
        <v>2.452899780273437</v>
      </c>
      <c r="F71" s="33" t="n">
        <v>1.733845977783203</v>
      </c>
      <c r="G71" s="33" t="n">
        <v>1.547449951171875</v>
      </c>
      <c r="H71" s="33" t="n">
        <v>1.087672958374023</v>
      </c>
      <c r="I71" s="33" t="n">
        <v>1.273225021362305</v>
      </c>
      <c r="J71" s="33" t="n">
        <v>15.46819305419922</v>
      </c>
      <c r="K71" s="33" t="n">
        <v>4725.97607421875</v>
      </c>
      <c r="L71" s="33" t="n">
        <v>13.84697532653809</v>
      </c>
      <c r="M71" s="33" t="n">
        <v>53.17660522460938</v>
      </c>
      <c r="N71" s="33" t="n">
        <v>69.89944458007812</v>
      </c>
      <c r="O71" s="33" t="n">
        <v>7.135348796844482</v>
      </c>
      <c r="P71" s="33" t="n">
        <v>7.090362071990967</v>
      </c>
    </row>
    <row r="72">
      <c r="B72" s="32" t="n">
        <v>42856</v>
      </c>
      <c r="C72" s="33" t="n">
        <v>33.62398910522461</v>
      </c>
      <c r="D72" s="33" t="n">
        <v>19.96588989257813</v>
      </c>
      <c r="E72" s="33" t="n">
        <v>2.504579162597656</v>
      </c>
      <c r="F72" s="33" t="n">
        <v>1.701208953857422</v>
      </c>
      <c r="G72" s="33" t="n">
        <v>1.604172821044922</v>
      </c>
      <c r="H72" s="33" t="n">
        <v>1.107270584106445</v>
      </c>
      <c r="I72" s="33" t="n">
        <v>1.244423370361328</v>
      </c>
      <c r="J72" s="33" t="n">
        <v>16.08609580993652</v>
      </c>
      <c r="K72" s="33" t="n">
        <v>4758.8330078125</v>
      </c>
      <c r="L72" s="33" t="n">
        <v>13.90241527557373</v>
      </c>
      <c r="M72" s="33" t="n">
        <v>53.72509384155273</v>
      </c>
      <c r="N72" s="33" t="n">
        <v>70.31904602050781</v>
      </c>
      <c r="O72" s="33" t="n">
        <v>6.75020170211792</v>
      </c>
      <c r="P72" s="33" t="n">
        <v>6.661090850830078</v>
      </c>
    </row>
    <row r="73">
      <c r="B73" s="32" t="n">
        <v>42887</v>
      </c>
      <c r="C73" s="33" t="n">
        <v>33.65087509155273</v>
      </c>
      <c r="D73" s="33" t="n">
        <v>19.67150390625</v>
      </c>
      <c r="E73" s="33" t="n">
        <v>2.407997741699219</v>
      </c>
      <c r="F73" s="33" t="n">
        <v>1.597744445800781</v>
      </c>
      <c r="G73" s="33" t="n">
        <v>1.575314178466797</v>
      </c>
      <c r="H73" s="33" t="n">
        <v>1.092572708129883</v>
      </c>
      <c r="I73" s="33" t="n">
        <v>1.251375427246094</v>
      </c>
      <c r="J73" s="33" t="n">
        <v>16.24893951416016</v>
      </c>
      <c r="K73" s="33" t="n">
        <v>4858.0419921875</v>
      </c>
      <c r="L73" s="33" t="n">
        <v>13.83856105804443</v>
      </c>
      <c r="M73" s="33" t="n">
        <v>53.79629516601562</v>
      </c>
      <c r="N73" s="33" t="n">
        <v>70.38462829589844</v>
      </c>
      <c r="O73" s="33" t="n">
        <v>6.793956756591797</v>
      </c>
      <c r="P73" s="33" t="n">
        <v>6.794314861297607</v>
      </c>
    </row>
    <row r="74">
      <c r="B74" s="32" t="n">
        <v>42917</v>
      </c>
      <c r="C74" s="33" t="n">
        <v>34.64578628540039</v>
      </c>
      <c r="D74" s="33" t="n">
        <v>19.711416015625</v>
      </c>
      <c r="E74" s="33" t="n">
        <v>2.476077270507813</v>
      </c>
      <c r="F74" s="33" t="n">
        <v>1.591774749755859</v>
      </c>
      <c r="G74" s="33" t="n">
        <v>1.602182922363281</v>
      </c>
      <c r="H74" s="33" t="n">
        <v>1.087820205688476</v>
      </c>
      <c r="I74" s="33" t="n">
        <v>1.271238555908203</v>
      </c>
      <c r="J74" s="33" t="n">
        <v>16.07021141052246</v>
      </c>
      <c r="K74" s="33" t="n">
        <v>4762.23486328125</v>
      </c>
      <c r="L74" s="33" t="n">
        <v>13.95481014251709</v>
      </c>
      <c r="M74" s="33" t="n">
        <v>54.34455490112305</v>
      </c>
      <c r="N74" s="33" t="n">
        <v>71.01405334472656</v>
      </c>
      <c r="O74" s="33" t="n">
        <v>6.798102378845215</v>
      </c>
      <c r="P74" s="33" t="n">
        <v>6.835855484008789</v>
      </c>
    </row>
    <row r="75">
      <c r="B75" s="32" t="n">
        <v>42948</v>
      </c>
      <c r="C75" s="33" t="n">
        <v>35.22742080688477</v>
      </c>
      <c r="D75" s="33" t="n">
        <v>20.34201049804688</v>
      </c>
      <c r="E75" s="33" t="n">
        <v>2.484903106689453</v>
      </c>
      <c r="F75" s="33" t="n">
        <v>1.617837219238281</v>
      </c>
      <c r="G75" s="33" t="n">
        <v>1.612134246826172</v>
      </c>
      <c r="H75" s="33" t="n">
        <v>1.114770812988281</v>
      </c>
      <c r="I75" s="33" t="n">
        <v>1.251561889648438</v>
      </c>
      <c r="J75" s="33" t="n">
        <v>17.70383453369141</v>
      </c>
      <c r="K75" s="33" t="n">
        <v>4790.41259765625</v>
      </c>
      <c r="L75" s="33" t="n">
        <v>13.91826725006104</v>
      </c>
      <c r="M75" s="33" t="n">
        <v>54.38015365600586</v>
      </c>
      <c r="N75" s="33" t="n">
        <v>71.21730804443359</v>
      </c>
      <c r="O75" s="33" t="n">
        <v>6.661228656768799</v>
      </c>
      <c r="P75" s="33" t="n">
        <v>6.477068424224854</v>
      </c>
    </row>
    <row r="76">
      <c r="B76" s="32" t="n">
        <v>42979</v>
      </c>
      <c r="C76" s="33" t="n">
        <v>34.63813400268555</v>
      </c>
      <c r="D76" s="33" t="n">
        <v>19.403876953125</v>
      </c>
      <c r="E76" s="33" t="n">
        <v>2.44960205078125</v>
      </c>
      <c r="F76" s="33" t="n">
        <v>1.488887939453125</v>
      </c>
      <c r="G76" s="33" t="n">
        <v>1.57166259765625</v>
      </c>
      <c r="H76" s="33" t="n">
        <v>1.105460510253906</v>
      </c>
      <c r="I76" s="33" t="n">
        <v>1.255535202026367</v>
      </c>
      <c r="J76" s="33" t="n">
        <v>17.30666923522949</v>
      </c>
      <c r="K76" s="33" t="n">
        <v>4790.41259765625</v>
      </c>
      <c r="L76" s="33" t="n">
        <v>13.97262001037598</v>
      </c>
      <c r="M76" s="33" t="n">
        <v>54.70682907104492</v>
      </c>
      <c r="N76" s="33" t="n">
        <v>71.42604064941406</v>
      </c>
      <c r="O76" s="33" t="n">
        <v>6.962852478027344</v>
      </c>
      <c r="P76" s="33" t="n">
        <v>6.745216846466064</v>
      </c>
    </row>
    <row r="77">
      <c r="B77" s="32" t="n">
        <v>43009</v>
      </c>
      <c r="C77" s="33" t="n">
        <v>34.85242080688477</v>
      </c>
      <c r="D77" s="33" t="n">
        <v>19.835517578125</v>
      </c>
      <c r="E77" s="33" t="n">
        <v>2.489945220947266</v>
      </c>
      <c r="F77" s="33" t="n">
        <v>1.551173553466797</v>
      </c>
      <c r="G77" s="33" t="n">
        <v>1.599532470703125</v>
      </c>
      <c r="H77" s="33" t="n">
        <v>1.097766265869141</v>
      </c>
      <c r="I77" s="33" t="n">
        <v>1.218969802856445</v>
      </c>
      <c r="J77" s="33" t="n">
        <v>16.99776268005371</v>
      </c>
      <c r="K77" s="33" t="n">
        <v>4801.68505859375</v>
      </c>
      <c r="L77" s="33" t="n">
        <v>13.99067306518555</v>
      </c>
      <c r="M77" s="33" t="n">
        <v>54.75323486328125</v>
      </c>
      <c r="N77" s="33" t="n">
        <v>72.14778900146484</v>
      </c>
      <c r="O77" s="33" t="n">
        <v>6.831156730651855</v>
      </c>
      <c r="P77" s="33" t="n">
        <v>6.557740211486816</v>
      </c>
    </row>
    <row r="78">
      <c r="B78" s="32" t="n">
        <v>43040</v>
      </c>
      <c r="C78" s="33" t="n">
        <v>35.44171524047852</v>
      </c>
      <c r="D78" s="33" t="n">
        <v>19.7193212890625</v>
      </c>
      <c r="E78" s="33" t="n">
        <v>2.487906036376953</v>
      </c>
      <c r="F78" s="33" t="n">
        <v>1.548381500244141</v>
      </c>
      <c r="G78" s="33" t="n">
        <v>1.505969390869141</v>
      </c>
      <c r="H78" s="33" t="n">
        <v>1.060520782470703</v>
      </c>
      <c r="I78" s="33" t="n">
        <v>1.209035263061524</v>
      </c>
      <c r="J78" s="33" t="n">
        <v>17.35816383361816</v>
      </c>
      <c r="K78" s="33" t="n">
        <v>4722.78369140625</v>
      </c>
      <c r="L78" s="33" t="n">
        <v>13.98656463623047</v>
      </c>
      <c r="M78" s="33" t="n">
        <v>54.5518684387207</v>
      </c>
      <c r="N78" s="33" t="n">
        <v>71.82034301757812</v>
      </c>
      <c r="O78" s="33" t="n">
        <v>6.890634059906006</v>
      </c>
      <c r="P78" s="33" t="n">
        <v>6.60788631439209</v>
      </c>
    </row>
    <row r="79">
      <c r="B79" s="32" t="n">
        <v>43070</v>
      </c>
      <c r="C79" s="33" t="n">
        <v>35.06874465942383</v>
      </c>
      <c r="D79" s="33" t="n">
        <v>19.53717407226562</v>
      </c>
      <c r="E79" s="33" t="n">
        <v>2.622830200195313</v>
      </c>
      <c r="F79" s="33" t="n">
        <v>1.574253997802734</v>
      </c>
      <c r="G79" s="33" t="n">
        <v>1.559718475341797</v>
      </c>
      <c r="H79" s="33" t="n">
        <v>1.107568130493164</v>
      </c>
      <c r="I79" s="33" t="n">
        <v>1.281557769775391</v>
      </c>
      <c r="J79" s="33" t="n">
        <v>18.1563777923584</v>
      </c>
      <c r="K79" s="33" t="n">
        <v>4813.953125</v>
      </c>
      <c r="L79" s="33" t="n">
        <v>14.0279655456543</v>
      </c>
      <c r="M79" s="33" t="n">
        <v>54.68590545654297</v>
      </c>
      <c r="N79" s="33" t="n">
        <v>71.76018524169922</v>
      </c>
      <c r="O79" s="33" t="n">
        <v>6.835551738739014</v>
      </c>
      <c r="P79" s="33" t="n">
        <v>6.56704044342041</v>
      </c>
    </row>
    <row r="80">
      <c r="B80" s="32" t="n">
        <v>43101</v>
      </c>
      <c r="C80" s="33" t="n">
        <v>35.49528121948242</v>
      </c>
      <c r="D80" s="33" t="n">
        <v>18.38440551757813</v>
      </c>
      <c r="E80" s="33" t="n">
        <v>2.534561614990234</v>
      </c>
      <c r="F80" s="33" t="n">
        <v>1.473749237060547</v>
      </c>
      <c r="G80" s="33" t="n">
        <v>1.497011108398437</v>
      </c>
      <c r="H80" s="33" t="n">
        <v>1.068505172729492</v>
      </c>
      <c r="I80" s="33" t="n">
        <v>1.196311874389648</v>
      </c>
      <c r="J80" s="33" t="n">
        <v>17.39058113098145</v>
      </c>
      <c r="K80" s="33" t="n">
        <v>4808.1181640625</v>
      </c>
      <c r="L80" s="33" t="n">
        <v>14.18403339385986</v>
      </c>
      <c r="M80" s="33" t="n">
        <v>54.71098709106445</v>
      </c>
      <c r="N80" s="33" t="n">
        <v>71.80028533935547</v>
      </c>
      <c r="O80" s="33" t="n">
        <v>6.935562133789062</v>
      </c>
      <c r="P80" s="33" t="n">
        <v>6.468136787414551</v>
      </c>
    </row>
    <row r="81">
      <c r="B81" s="32" t="n">
        <v>43132</v>
      </c>
      <c r="C81" s="33" t="n">
        <v>33.08342361450195</v>
      </c>
      <c r="D81" s="33" t="n">
        <v>18.11832763671875</v>
      </c>
      <c r="E81" s="33" t="n">
        <v>2.481601867675781</v>
      </c>
      <c r="F81" s="33" t="n">
        <v>1.452851257324219</v>
      </c>
      <c r="G81" s="33" t="n">
        <v>1.502982940673828</v>
      </c>
      <c r="H81" s="33" t="n">
        <v>1.043998489379883</v>
      </c>
      <c r="I81" s="33" t="n">
        <v>1.166503372192383</v>
      </c>
      <c r="J81" s="33" t="n">
        <v>16.53778266906738</v>
      </c>
      <c r="K81" s="33" t="n">
        <v>4901.47998046875</v>
      </c>
      <c r="L81" s="33" t="n">
        <v>14.1474494934082</v>
      </c>
      <c r="M81" s="33" t="n">
        <v>54.23648071289062</v>
      </c>
      <c r="N81" s="33" t="n">
        <v>71.35253143310547</v>
      </c>
      <c r="O81" s="33" t="n">
        <v>6.865989208221436</v>
      </c>
      <c r="P81" s="33" t="n">
        <v>6.242642402648926</v>
      </c>
    </row>
    <row r="82">
      <c r="B82" s="32" t="n">
        <v>43160</v>
      </c>
      <c r="C82" s="33" t="n">
        <v>33.23077011108398</v>
      </c>
      <c r="D82" s="33" t="n">
        <v>17.93367553710938</v>
      </c>
      <c r="E82" s="33" t="n">
        <v>2.129877624511719</v>
      </c>
      <c r="F82" s="33" t="n">
        <v>1.469269256591797</v>
      </c>
      <c r="G82" s="33" t="n">
        <v>1.389513244628906</v>
      </c>
      <c r="H82" s="33" t="n">
        <v>1.0390966796875</v>
      </c>
      <c r="I82" s="33" t="n">
        <v>1.170477905273438</v>
      </c>
      <c r="J82" s="33" t="n">
        <v>17.07073402404785</v>
      </c>
      <c r="K82" s="33" t="n">
        <v>5134.8828125</v>
      </c>
      <c r="L82" s="33" t="n">
        <v>14.21244239807129</v>
      </c>
      <c r="M82" s="33" t="n">
        <v>54.11073303222656</v>
      </c>
      <c r="N82" s="33" t="n">
        <v>71.41989135742188</v>
      </c>
      <c r="O82" s="33" t="n">
        <v>7.068550586700439</v>
      </c>
      <c r="P82" s="33" t="n">
        <v>6.43253231048584</v>
      </c>
    </row>
    <row r="83">
      <c r="B83" s="32" t="n">
        <v>43191</v>
      </c>
      <c r="C83" s="33" t="n">
        <v>33.89771270751953</v>
      </c>
      <c r="D83" s="33" t="n">
        <v>18.68725708007813</v>
      </c>
      <c r="E83" s="33" t="n">
        <v>2.188209838867187</v>
      </c>
      <c r="F83" s="33" t="n">
        <v>1.447075042724609</v>
      </c>
      <c r="G83" s="33" t="n">
        <v>1.443596649169922</v>
      </c>
      <c r="H83" s="33" t="n">
        <v>1.05394775390625</v>
      </c>
      <c r="I83" s="33" t="n">
        <v>1.206248168945313</v>
      </c>
      <c r="J83" s="33" t="n">
        <v>16.7509593963623</v>
      </c>
      <c r="K83" s="33" t="n">
        <v>5222.40966796875</v>
      </c>
      <c r="L83" s="33" t="n">
        <v>14.24447250366211</v>
      </c>
      <c r="M83" s="33" t="n">
        <v>54.37025833129883</v>
      </c>
      <c r="N83" s="33" t="n">
        <v>71.79386901855469</v>
      </c>
      <c r="O83" s="33" t="n">
        <v>7.144268989562988</v>
      </c>
      <c r="P83" s="33" t="n">
        <v>6.518828392028809</v>
      </c>
    </row>
    <row r="84">
      <c r="B84" s="32" t="n">
        <v>43221</v>
      </c>
      <c r="C84" s="33" t="n">
        <v>33.33159255981445</v>
      </c>
      <c r="D84" s="33" t="n">
        <v>19.27980712890625</v>
      </c>
      <c r="E84" s="33" t="n">
        <v>2.261499176025391</v>
      </c>
      <c r="F84" s="33" t="n">
        <v>1.4034765625</v>
      </c>
      <c r="G84" s="33" t="n">
        <v>1.421693572998047</v>
      </c>
      <c r="H84" s="33" t="n">
        <v>1.068653335571289</v>
      </c>
      <c r="I84" s="33" t="n">
        <v>1.186561889648438</v>
      </c>
      <c r="J84" s="33" t="n">
        <v>15.81676197052002</v>
      </c>
      <c r="K84" s="33" t="n">
        <v>5199.06884765625</v>
      </c>
      <c r="L84" s="33" t="n">
        <v>14.21605396270752</v>
      </c>
      <c r="M84" s="33" t="n">
        <v>54.39760971069336</v>
      </c>
      <c r="N84" s="33" t="n">
        <v>70.96434783935547</v>
      </c>
      <c r="O84" s="33" t="n">
        <v>7.518405914306641</v>
      </c>
      <c r="P84" s="33" t="n">
        <v>6.786228656768799</v>
      </c>
    </row>
    <row r="85">
      <c r="B85" s="32" t="n">
        <v>43252</v>
      </c>
      <c r="C85" s="33" t="n">
        <v>33.85619354248047</v>
      </c>
      <c r="D85" s="33" t="n">
        <v>19.72400146484375</v>
      </c>
      <c r="E85" s="33" t="n">
        <v>2.229965667724609</v>
      </c>
      <c r="F85" s="33" t="n">
        <v>1.439310302734375</v>
      </c>
      <c r="G85" s="33" t="n">
        <v>1.427667236328125</v>
      </c>
      <c r="H85" s="33" t="n">
        <v>1.10786979675293</v>
      </c>
      <c r="I85" s="33" t="n">
        <v>1.190537185668945</v>
      </c>
      <c r="J85" s="33" t="n">
        <v>15.94130706787109</v>
      </c>
      <c r="K85" s="33" t="n">
        <v>5414.3251953125</v>
      </c>
      <c r="L85" s="33" t="n">
        <v>14.20903396606445</v>
      </c>
      <c r="M85" s="33" t="n">
        <v>54.45137405395508</v>
      </c>
      <c r="N85" s="33" t="n">
        <v>70.73996734619141</v>
      </c>
      <c r="O85" s="33" t="n">
        <v>7.495522499084473</v>
      </c>
      <c r="P85" s="33" t="n">
        <v>6.741661071777344</v>
      </c>
    </row>
    <row r="86">
      <c r="B86" s="32" t="n">
        <v>43282</v>
      </c>
      <c r="C86" s="33" t="n">
        <v>34.48681640625</v>
      </c>
      <c r="D86" s="33" t="n">
        <v>20.33538452148438</v>
      </c>
      <c r="E86" s="33" t="n">
        <v>2.478293762207031</v>
      </c>
      <c r="F86" s="33" t="n">
        <v>1.592597503662109</v>
      </c>
      <c r="G86" s="33" t="n">
        <v>1.567048492431641</v>
      </c>
      <c r="H86" s="33" t="n">
        <v>1.108015823364258</v>
      </c>
      <c r="I86" s="33" t="n">
        <v>1.218551864624023</v>
      </c>
      <c r="J86" s="33" t="n">
        <v>16.99575614929199</v>
      </c>
      <c r="K86" s="33" t="n">
        <v>5468.70947265625</v>
      </c>
      <c r="L86" s="33" t="n">
        <v>14.33316135406494</v>
      </c>
      <c r="M86" s="33" t="n">
        <v>55.36492156982422</v>
      </c>
      <c r="N86" s="33" t="n">
        <v>71.71226501464844</v>
      </c>
      <c r="O86" s="33" t="n">
        <v>7.677782535552979</v>
      </c>
      <c r="P86" s="33" t="n">
        <v>7.052051544189453</v>
      </c>
    </row>
    <row r="87">
      <c r="B87" s="32" t="n">
        <v>43313</v>
      </c>
      <c r="C87" s="33" t="n">
        <v>33.59607315063477</v>
      </c>
      <c r="D87" s="33" t="n">
        <v>20.27691040039063</v>
      </c>
      <c r="E87" s="33" t="n">
        <v>2.471811370849609</v>
      </c>
      <c r="F87" s="33" t="n">
        <v>1.560939788818359</v>
      </c>
      <c r="G87" s="33" t="n">
        <v>1.553110656738281</v>
      </c>
      <c r="H87" s="33" t="n">
        <v>1.073697509765625</v>
      </c>
      <c r="I87" s="33" t="n">
        <v>1.226503295898437</v>
      </c>
      <c r="J87" s="33" t="n">
        <v>16.38000869750977</v>
      </c>
      <c r="K87" s="33" t="n">
        <v>5438.49560546875</v>
      </c>
      <c r="L87" s="33" t="n">
        <v>14.40799617767334</v>
      </c>
      <c r="M87" s="33" t="n">
        <v>55.75680541992188</v>
      </c>
      <c r="N87" s="33" t="n">
        <v>71.61367034912109</v>
      </c>
      <c r="O87" s="33" t="n">
        <v>7.955733299255371</v>
      </c>
      <c r="P87" s="33" t="n">
        <v>7.17620849609375</v>
      </c>
    </row>
    <row r="88">
      <c r="B88" s="32" t="n">
        <v>43344</v>
      </c>
      <c r="C88" s="33" t="n">
        <v>33.20193099975586</v>
      </c>
      <c r="D88" s="33" t="n">
        <v>20.1845751953125</v>
      </c>
      <c r="E88" s="33" t="n">
        <v>2.433414916992187</v>
      </c>
      <c r="F88" s="33" t="n">
        <v>1.536947937011719</v>
      </c>
      <c r="G88" s="33" t="n">
        <v>1.505665283203125</v>
      </c>
      <c r="H88" s="33" t="n">
        <v>1.091063003540039</v>
      </c>
      <c r="I88" s="33" t="n">
        <v>1.236442413330078</v>
      </c>
      <c r="J88" s="33" t="n">
        <v>16.74960708618164</v>
      </c>
      <c r="K88" s="33" t="n">
        <v>5498.92333984375</v>
      </c>
      <c r="L88" s="33" t="n">
        <v>14.52621555328369</v>
      </c>
      <c r="M88" s="33" t="n">
        <v>56.04924774169922</v>
      </c>
      <c r="N88" s="33" t="n">
        <v>71.77419281005859</v>
      </c>
      <c r="O88" s="33" t="n">
        <v>8.012503623962402</v>
      </c>
      <c r="P88" s="33" t="n">
        <v>7.068604946136475</v>
      </c>
    </row>
    <row r="89">
      <c r="B89" s="32" t="n">
        <v>43374</v>
      </c>
      <c r="C89" s="33" t="n">
        <v>31.97223472595215</v>
      </c>
      <c r="D89" s="33" t="n">
        <v>20.2294970703125</v>
      </c>
      <c r="E89" s="33" t="n">
        <v>2.416460723876953</v>
      </c>
      <c r="F89" s="33" t="n">
        <v>1.575872344970703</v>
      </c>
      <c r="G89" s="33" t="n">
        <v>1.515623779296875</v>
      </c>
      <c r="H89" s="33" t="n">
        <v>1.081335067749023</v>
      </c>
      <c r="I89" s="33" t="n">
        <v>1.246381759643555</v>
      </c>
      <c r="J89" s="33" t="n">
        <v>15.67440414428711</v>
      </c>
      <c r="K89" s="33" t="n">
        <v>5474.7529296875</v>
      </c>
      <c r="L89" s="33" t="n">
        <v>14.4759407043457</v>
      </c>
      <c r="M89" s="33" t="n">
        <v>54.9412841796875</v>
      </c>
      <c r="N89" s="33" t="n">
        <v>71.13748168945312</v>
      </c>
      <c r="O89" s="33" t="n">
        <v>7.998519420623779</v>
      </c>
      <c r="P89" s="33" t="n">
        <v>6.771326541900635</v>
      </c>
    </row>
    <row r="90">
      <c r="B90" s="32" t="n">
        <v>43405</v>
      </c>
      <c r="C90" s="33" t="n">
        <v>32.58708572387695</v>
      </c>
      <c r="D90" s="33" t="n">
        <v>20.66724609375</v>
      </c>
      <c r="E90" s="33" t="n">
        <v>2.563498229980469</v>
      </c>
      <c r="F90" s="33" t="n">
        <v>1.602950592041016</v>
      </c>
      <c r="G90" s="33" t="n">
        <v>1.569397125244141</v>
      </c>
      <c r="H90" s="33" t="n">
        <v>1.086272506713867</v>
      </c>
      <c r="I90" s="33" t="n">
        <v>1.25651123046875</v>
      </c>
      <c r="J90" s="33" t="n">
        <v>16.22600555419922</v>
      </c>
      <c r="K90" s="33" t="n">
        <v>5662.0791015625</v>
      </c>
      <c r="L90" s="33" t="n">
        <v>14.30886840820312</v>
      </c>
      <c r="M90" s="33" t="n">
        <v>54.72204971313477</v>
      </c>
      <c r="N90" s="33" t="n">
        <v>69.6080322265625</v>
      </c>
      <c r="O90" s="33" t="n">
        <v>7.942588806152344</v>
      </c>
      <c r="P90" s="33" t="n">
        <v>6.800970554351807</v>
      </c>
    </row>
    <row r="91">
      <c r="B91" s="32" t="n">
        <v>43435</v>
      </c>
      <c r="C91" s="33" t="n">
        <v>31.57912826538086</v>
      </c>
      <c r="D91" s="33" t="n">
        <v>19.78624755859375</v>
      </c>
      <c r="E91" s="33" t="n">
        <v>2.578460693359375</v>
      </c>
      <c r="F91" s="33" t="n">
        <v>1.570095367431641</v>
      </c>
      <c r="G91" s="33" t="n">
        <v>1.525581207275391</v>
      </c>
      <c r="H91" s="33" t="n">
        <v>1.120836563110352</v>
      </c>
      <c r="I91" s="33" t="n">
        <v>1.26446403503418</v>
      </c>
      <c r="J91" s="33" t="n">
        <v>14.67864608764648</v>
      </c>
      <c r="K91" s="33" t="n">
        <v>5806.46142578125</v>
      </c>
      <c r="L91" s="33" t="n">
        <v>13.84290409088135</v>
      </c>
      <c r="M91" s="33" t="n">
        <v>53.57898712158203</v>
      </c>
      <c r="N91" s="33" t="n">
        <v>69.19624328613281</v>
      </c>
      <c r="O91" s="33" t="n">
        <v>7.437755107879639</v>
      </c>
      <c r="P91" s="33" t="n">
        <v>6.115452289581299</v>
      </c>
    </row>
    <row r="92">
      <c r="B92" s="32" t="n">
        <v>43466</v>
      </c>
      <c r="C92" s="33" t="n">
        <v>34.25749969482422</v>
      </c>
      <c r="D92" s="33" t="n">
        <v>20.6273095703125</v>
      </c>
      <c r="E92" s="33" t="n">
        <v>2.643794860839844</v>
      </c>
      <c r="F92" s="33" t="n">
        <v>1.652732086181641</v>
      </c>
      <c r="G92" s="33" t="n">
        <v>1.535539398193359</v>
      </c>
      <c r="H92" s="33" t="n">
        <v>1.101231918334961</v>
      </c>
      <c r="I92" s="33" t="n">
        <v>1.252720794677734</v>
      </c>
      <c r="J92" s="33" t="n">
        <v>16.6468505859375</v>
      </c>
      <c r="K92" s="33" t="n">
        <v>6175.2236328125</v>
      </c>
      <c r="L92" s="33" t="n">
        <v>14.32081031799316</v>
      </c>
      <c r="M92" s="33" t="n">
        <v>56.22826385498047</v>
      </c>
      <c r="N92" s="33" t="n">
        <v>70.90217590332031</v>
      </c>
      <c r="O92" s="33" t="n">
        <v>7.781476020812988</v>
      </c>
      <c r="P92" s="33" t="n">
        <v>6.947397708892822</v>
      </c>
    </row>
    <row r="93">
      <c r="B93" s="32" t="n">
        <v>43497</v>
      </c>
      <c r="C93" s="33" t="n">
        <v>35.17969131469727</v>
      </c>
      <c r="D93" s="33" t="n">
        <v>20.99776123046875</v>
      </c>
      <c r="E93" s="33" t="n">
        <v>2.693668823242187</v>
      </c>
      <c r="F93" s="33" t="n">
        <v>1.655916595458985</v>
      </c>
      <c r="G93" s="33" t="n">
        <v>1.573380279541016</v>
      </c>
      <c r="H93" s="33" t="n">
        <v>1.096293792724609</v>
      </c>
      <c r="I93" s="33" t="n">
        <v>1.278570938110352</v>
      </c>
      <c r="J93" s="33" t="n">
        <v>17.22362899780273</v>
      </c>
      <c r="K93" s="33" t="n">
        <v>6237.7265625</v>
      </c>
      <c r="L93" s="33" t="n">
        <v>14.61176013946533</v>
      </c>
      <c r="M93" s="33" t="n">
        <v>56.91112518310547</v>
      </c>
      <c r="N93" s="33" t="n">
        <v>72.07869720458984</v>
      </c>
      <c r="O93" s="33" t="n">
        <v>8.268417358398438</v>
      </c>
      <c r="P93" s="33" t="n">
        <v>7.165184497833252</v>
      </c>
    </row>
    <row r="94">
      <c r="B94" s="32" t="n">
        <v>43525</v>
      </c>
      <c r="C94" s="33" t="n">
        <v>35.94150924682617</v>
      </c>
      <c r="D94" s="33" t="n">
        <v>21.92123046875</v>
      </c>
      <c r="E94" s="33" t="n">
        <v>2.747032775878906</v>
      </c>
      <c r="F94" s="33" t="n">
        <v>1.548177185058594</v>
      </c>
      <c r="G94" s="33" t="n">
        <v>1.523589935302734</v>
      </c>
      <c r="H94" s="33" t="n">
        <v>1.116047058105469</v>
      </c>
      <c r="I94" s="33" t="n">
        <v>1.254709548950195</v>
      </c>
      <c r="J94" s="33" t="n">
        <v>18.01982498168945</v>
      </c>
      <c r="K94" s="33" t="n">
        <v>6656.49267578125</v>
      </c>
      <c r="L94" s="33" t="n">
        <v>14.56353378295898</v>
      </c>
      <c r="M94" s="33" t="n">
        <v>57.64580535888672</v>
      </c>
      <c r="N94" s="33" t="n">
        <v>72.73859405517578</v>
      </c>
      <c r="O94" s="33" t="n">
        <v>8.384640693664551</v>
      </c>
      <c r="P94" s="33" t="n">
        <v>7.125982284545898</v>
      </c>
    </row>
    <row r="95">
      <c r="B95" s="32" t="n">
        <v>43556</v>
      </c>
      <c r="C95" s="33" t="n">
        <v>36.47878265380859</v>
      </c>
      <c r="D95" s="33" t="n">
        <v>22.05101806640625</v>
      </c>
      <c r="E95" s="33" t="n">
        <v>2.872713623046875</v>
      </c>
      <c r="F95" s="33" t="n">
        <v>1.654921112060547</v>
      </c>
      <c r="G95" s="33" t="n">
        <v>1.605596008300781</v>
      </c>
      <c r="H95" s="33" t="n">
        <v>1.123948364257813</v>
      </c>
      <c r="I95" s="33" t="n">
        <v>1.292489471435547</v>
      </c>
      <c r="J95" s="33" t="n">
        <v>17.80893898010254</v>
      </c>
      <c r="K95" s="33" t="n">
        <v>7031.505859375</v>
      </c>
      <c r="L95" s="33" t="n">
        <v>14.8346118927002</v>
      </c>
      <c r="M95" s="33" t="n">
        <v>58.21430969238281</v>
      </c>
      <c r="N95" s="33" t="n">
        <v>73.47098541259766</v>
      </c>
      <c r="O95" s="33" t="n">
        <v>8.805340766906738</v>
      </c>
      <c r="P95" s="33" t="n">
        <v>7.402981281280518</v>
      </c>
    </row>
    <row r="96">
      <c r="B96" s="32" t="n">
        <v>43586</v>
      </c>
      <c r="C96" s="33" t="n">
        <v>35.85329437255859</v>
      </c>
      <c r="D96" s="33" t="n">
        <v>22.493984375</v>
      </c>
      <c r="E96" s="33" t="n">
        <v>2.882688903808594</v>
      </c>
      <c r="F96" s="33" t="n">
        <v>1.61907470703125</v>
      </c>
      <c r="G96" s="33" t="n">
        <v>1.50599365234375</v>
      </c>
      <c r="H96" s="33" t="n">
        <v>1.108291625976562</v>
      </c>
      <c r="I96" s="33" t="n">
        <v>1.290690002441406</v>
      </c>
      <c r="J96" s="33" t="n">
        <v>17.98870086669922</v>
      </c>
      <c r="K96" s="33" t="n">
        <v>7469.02099609375</v>
      </c>
      <c r="L96" s="33" t="n">
        <v>14.68236446380615</v>
      </c>
      <c r="M96" s="33" t="n">
        <v>57.08862686157227</v>
      </c>
      <c r="N96" s="33" t="n">
        <v>72.24565124511719</v>
      </c>
      <c r="O96" s="33" t="n">
        <v>8.590096473693848</v>
      </c>
      <c r="P96" s="33" t="n">
        <v>7.152788639068604</v>
      </c>
    </row>
    <row r="97">
      <c r="B97" s="32" t="n">
        <v>43617</v>
      </c>
      <c r="C97" s="33" t="n">
        <v>37.68877029418945</v>
      </c>
      <c r="D97" s="33" t="n">
        <v>23.0730517578125</v>
      </c>
      <c r="E97" s="33" t="n">
        <v>2.9679150390625</v>
      </c>
      <c r="F97" s="33" t="n">
        <v>1.591396179199219</v>
      </c>
      <c r="G97" s="33" t="n">
        <v>1.488064880371094</v>
      </c>
      <c r="H97" s="33" t="n">
        <v>1.126807174682617</v>
      </c>
      <c r="I97" s="33" t="n">
        <v>1.268813781738281</v>
      </c>
      <c r="J97" s="33" t="n">
        <v>18.70302391052246</v>
      </c>
      <c r="K97" s="33" t="n">
        <v>7594.95654296875</v>
      </c>
      <c r="L97" s="33" t="n">
        <v>14.75953578948975</v>
      </c>
      <c r="M97" s="33" t="n">
        <v>58.88953399658203</v>
      </c>
      <c r="N97" s="33" t="n">
        <v>74.00617980957031</v>
      </c>
      <c r="O97" s="33" t="n">
        <v>8.985299110412598</v>
      </c>
      <c r="P97" s="33" t="n">
        <v>7.425318717956543</v>
      </c>
    </row>
    <row r="98">
      <c r="B98" s="32" t="n">
        <v>43647</v>
      </c>
      <c r="C98" s="33" t="n">
        <v>36.91378021240234</v>
      </c>
      <c r="D98" s="33" t="n">
        <v>24.07146240234375</v>
      </c>
      <c r="E98" s="33" t="n">
        <v>2.843212890625</v>
      </c>
      <c r="F98" s="33" t="n">
        <v>1.641189727783203</v>
      </c>
      <c r="G98" s="33" t="n">
        <v>1.597628021240235</v>
      </c>
      <c r="H98" s="33" t="n">
        <v>1.124976501464844</v>
      </c>
      <c r="I98" s="33" t="n">
        <v>1.25110107421875</v>
      </c>
      <c r="J98" s="33" t="n">
        <v>19.28668403625488</v>
      </c>
      <c r="K98" s="33" t="n">
        <v>7498.41259765625</v>
      </c>
      <c r="L98" s="33" t="n">
        <v>14.92786884307861</v>
      </c>
      <c r="M98" s="33" t="n">
        <v>58.98176574707031</v>
      </c>
      <c r="N98" s="33" t="n">
        <v>74.06251525878906</v>
      </c>
      <c r="O98" s="33" t="n">
        <v>9.300833702087402</v>
      </c>
      <c r="P98" s="33" t="n">
        <v>7.510394096374512</v>
      </c>
    </row>
    <row r="99">
      <c r="B99" s="32" t="n">
        <v>43678</v>
      </c>
      <c r="C99" s="33" t="n">
        <v>37.08509063720703</v>
      </c>
      <c r="D99" s="33" t="n">
        <v>24.0581201171875</v>
      </c>
      <c r="E99" s="33" t="n">
        <v>2.982879638671875</v>
      </c>
      <c r="F99" s="33" t="n">
        <v>1.686999206542969</v>
      </c>
      <c r="G99" s="33" t="n">
        <v>1.639461059570313</v>
      </c>
      <c r="H99" s="33" t="n">
        <v>1.158706588745117</v>
      </c>
      <c r="I99" s="33" t="n">
        <v>1.255078811645508</v>
      </c>
      <c r="J99" s="33" t="n">
        <v>20.69100189208984</v>
      </c>
      <c r="K99" s="33" t="n">
        <v>7434.046875</v>
      </c>
      <c r="L99" s="33" t="n">
        <v>14.85429763793945</v>
      </c>
      <c r="M99" s="33" t="n">
        <v>59.38857650756836</v>
      </c>
      <c r="N99" s="33" t="n">
        <v>74.71040344238281</v>
      </c>
      <c r="O99" s="33" t="n">
        <v>9.446081161499023</v>
      </c>
      <c r="P99" s="33" t="n">
        <v>7.528688430786133</v>
      </c>
    </row>
    <row r="100">
      <c r="B100" s="32" t="n">
        <v>43709</v>
      </c>
      <c r="C100" s="33" t="n">
        <v>37.90902709960938</v>
      </c>
      <c r="D100" s="33" t="n">
        <v>24.3926123046875</v>
      </c>
      <c r="E100" s="33" t="n">
        <v>2.947962646484375</v>
      </c>
      <c r="F100" s="33" t="n">
        <v>1.655337066650391</v>
      </c>
      <c r="G100" s="33" t="n">
        <v>1.532233123779297</v>
      </c>
      <c r="H100" s="33" t="n">
        <v>1.146801605224609</v>
      </c>
      <c r="I100" s="33" t="n">
        <v>1.259057235717773</v>
      </c>
      <c r="J100" s="33" t="n">
        <v>21.84001159667969</v>
      </c>
      <c r="K100" s="33" t="n">
        <v>7562.77490234375</v>
      </c>
      <c r="L100" s="33" t="n">
        <v>14.90213584899902</v>
      </c>
      <c r="M100" s="33" t="n">
        <v>59.64929962158203</v>
      </c>
      <c r="N100" s="33" t="n">
        <v>74.38043975830078</v>
      </c>
      <c r="O100" s="33" t="n">
        <v>9.544796943664551</v>
      </c>
      <c r="P100" s="33" t="n">
        <v>7.711648464202881</v>
      </c>
    </row>
    <row r="101">
      <c r="B101" s="32" t="n">
        <v>43739</v>
      </c>
      <c r="C101" s="33" t="n">
        <v>38.48006439208984</v>
      </c>
      <c r="D101" s="33" t="n">
        <v>23.20443115234375</v>
      </c>
      <c r="E101" s="33" t="n">
        <v>2.858176879882813</v>
      </c>
      <c r="F101" s="33" t="n">
        <v>1.705137329101563</v>
      </c>
      <c r="G101" s="33" t="n">
        <v>1.572082977294922</v>
      </c>
      <c r="H101" s="33" t="n">
        <v>1.131081619262695</v>
      </c>
      <c r="I101" s="33" t="n">
        <v>1.277142715454102</v>
      </c>
      <c r="J101" s="33" t="n">
        <v>22.0865421295166</v>
      </c>
      <c r="K101" s="33" t="n">
        <v>7627.13916015625</v>
      </c>
      <c r="L101" s="33" t="n">
        <v>14.84276962280273</v>
      </c>
      <c r="M101" s="33" t="n">
        <v>59.64242172241211</v>
      </c>
      <c r="N101" s="33" t="n">
        <v>74.29415893554688</v>
      </c>
      <c r="O101" s="33" t="n">
        <v>9.370693206787109</v>
      </c>
      <c r="P101" s="33" t="n">
        <v>7.649461269378662</v>
      </c>
    </row>
    <row r="102">
      <c r="B102" s="32" t="n">
        <v>43770</v>
      </c>
      <c r="C102" s="33" t="n">
        <v>38.1863899230957</v>
      </c>
      <c r="D102" s="33" t="n">
        <v>22.965869140625</v>
      </c>
      <c r="E102" s="33" t="n">
        <v>2.903523559570313</v>
      </c>
      <c r="F102" s="33" t="n">
        <v>1.605737609863281</v>
      </c>
      <c r="G102" s="33" t="n">
        <v>1.576068115234375</v>
      </c>
      <c r="H102" s="33" t="n">
        <v>1.146956481933594</v>
      </c>
      <c r="I102" s="33" t="n">
        <v>1.295046539306641</v>
      </c>
      <c r="J102" s="33" t="n">
        <v>23.15728569030762</v>
      </c>
      <c r="K102" s="33" t="n">
        <v>7691.50341796875</v>
      </c>
      <c r="L102" s="33" t="n">
        <v>14.9333667755127</v>
      </c>
      <c r="M102" s="33" t="n">
        <v>59.98115921020508</v>
      </c>
      <c r="N102" s="33" t="n">
        <v>75.14968872070312</v>
      </c>
      <c r="O102" s="33" t="n">
        <v>9.590880393981934</v>
      </c>
      <c r="P102" s="33" t="n">
        <v>7.887921810150146</v>
      </c>
    </row>
    <row r="103">
      <c r="B103" s="32" t="n">
        <v>43800</v>
      </c>
      <c r="C103" s="33" t="n">
        <v>39.73403930664062</v>
      </c>
      <c r="D103" s="33" t="n">
        <v>23.2554443359375</v>
      </c>
      <c r="E103" s="33" t="n">
        <v>2.938445129394531</v>
      </c>
      <c r="F103" s="33" t="n">
        <v>1.699372711181641</v>
      </c>
      <c r="G103" s="33" t="n">
        <v>1.66174545288086</v>
      </c>
      <c r="H103" s="33" t="n">
        <v>1.156877822875977</v>
      </c>
      <c r="I103" s="33" t="n">
        <v>1.310961151123047</v>
      </c>
      <c r="J103" s="33" t="n">
        <v>22.21944236755371</v>
      </c>
      <c r="K103" s="33" t="n">
        <v>7692.47900390625</v>
      </c>
      <c r="L103" s="33" t="n">
        <v>15.23066520690918</v>
      </c>
      <c r="M103" s="33" t="n">
        <v>61.12759399414062</v>
      </c>
      <c r="N103" s="33" t="n">
        <v>75.91175842285156</v>
      </c>
      <c r="O103" s="33" t="n">
        <v>9.765561103820801</v>
      </c>
      <c r="P103" s="33" t="n">
        <v>8.002903938293457</v>
      </c>
    </row>
    <row r="104">
      <c r="B104" s="32" t="n">
        <v>43831</v>
      </c>
      <c r="C104" s="33" t="n">
        <v>40.22335815429688</v>
      </c>
      <c r="D104" s="33" t="n">
        <v>24.01930419921875</v>
      </c>
      <c r="E104" s="33" t="n">
        <v>3.098089294433594</v>
      </c>
      <c r="F104" s="33" t="n">
        <v>1.771092224121094</v>
      </c>
      <c r="G104" s="33" t="n">
        <v>1.665730438232422</v>
      </c>
      <c r="H104" s="33" t="n">
        <v>1.135201950073242</v>
      </c>
      <c r="I104" s="33" t="n">
        <v>1.273163986206055</v>
      </c>
      <c r="J104" s="33" t="n">
        <v>24.17958068847656</v>
      </c>
      <c r="K104" s="33" t="n">
        <v>7692.47900390625</v>
      </c>
      <c r="L104" s="33" t="n">
        <v>15.14616012573242</v>
      </c>
      <c r="M104" s="33" t="n">
        <v>60.84258270263672</v>
      </c>
      <c r="N104" s="33" t="n">
        <v>75.62418365478516</v>
      </c>
      <c r="O104" s="33" t="n">
        <v>9.854574203491211</v>
      </c>
      <c r="P104" s="33" t="n">
        <v>8.036346435546875</v>
      </c>
    </row>
    <row r="105">
      <c r="B105" s="32" t="n">
        <v>43862</v>
      </c>
      <c r="C105" s="33" t="n">
        <v>36.60739517211914</v>
      </c>
      <c r="D105" s="33" t="n">
        <v>22.2578955078125</v>
      </c>
      <c r="E105" s="33" t="n">
        <v>2.95840087890625</v>
      </c>
      <c r="F105" s="33" t="n">
        <v>1.713318481445313</v>
      </c>
      <c r="G105" s="33" t="n">
        <v>1.605955505371094</v>
      </c>
      <c r="H105" s="33" t="n">
        <v>1.128517684936523</v>
      </c>
      <c r="I105" s="33" t="n">
        <v>1.169894027709961</v>
      </c>
      <c r="J105" s="33" t="n">
        <v>22.69141006469727</v>
      </c>
      <c r="K105" s="33" t="n">
        <v>7360.90625</v>
      </c>
      <c r="L105" s="33" t="n">
        <v>14.78299808502197</v>
      </c>
      <c r="M105" s="33" t="n">
        <v>60.05801773071289</v>
      </c>
      <c r="N105" s="33" t="n">
        <v>73.76215362548828</v>
      </c>
      <c r="O105" s="33" t="n">
        <v>9.001070976257324</v>
      </c>
      <c r="P105" s="33" t="n">
        <v>7.209779739379883</v>
      </c>
    </row>
    <row r="106">
      <c r="B106" s="32" t="n">
        <v>43891</v>
      </c>
      <c r="C106" s="33" t="n">
        <v>28.32221984863281</v>
      </c>
      <c r="D106" s="33" t="n">
        <v>20.450498046875</v>
      </c>
      <c r="E106" s="33" t="n">
        <v>2.469491729736328</v>
      </c>
      <c r="F106" s="33" t="n">
        <v>1.611904296875</v>
      </c>
      <c r="G106" s="33" t="n">
        <v>1.554150695800781</v>
      </c>
      <c r="H106" s="33" t="n">
        <v>0.9354553985595704</v>
      </c>
      <c r="I106" s="33" t="n">
        <v>1.124132766723633</v>
      </c>
      <c r="J106" s="33" t="n">
        <v>18.0877571105957</v>
      </c>
      <c r="K106" s="33" t="n">
        <v>7195.11962890625</v>
      </c>
      <c r="L106" s="33" t="n">
        <v>13.81643295288086</v>
      </c>
      <c r="M106" s="33" t="n">
        <v>54.03536605834961</v>
      </c>
      <c r="N106" s="33" t="n">
        <v>64.64411926269531</v>
      </c>
      <c r="O106" s="33" t="n">
        <v>5.807671070098877</v>
      </c>
      <c r="P106" s="33" t="n">
        <v>4.457736015319824</v>
      </c>
    </row>
    <row r="107">
      <c r="B107" s="32" t="n">
        <v>43922</v>
      </c>
      <c r="C107" s="33" t="n">
        <v>30.54487609863281</v>
      </c>
      <c r="D107" s="33" t="n">
        <v>21.29427734375</v>
      </c>
      <c r="E107" s="33" t="n">
        <v>2.5942138671875</v>
      </c>
      <c r="F107" s="33" t="n">
        <v>1.641791687011719</v>
      </c>
      <c r="G107" s="33" t="n">
        <v>1.552522430419922</v>
      </c>
      <c r="H107" s="33" t="n">
        <v>0.9853611755371094</v>
      </c>
      <c r="I107" s="33" t="n">
        <v>1.144028854370117</v>
      </c>
      <c r="J107" s="33" t="n">
        <v>19.70695686340332</v>
      </c>
      <c r="K107" s="33" t="n">
        <v>7593.005859375</v>
      </c>
      <c r="L107" s="33" t="n">
        <v>14.2192907333374</v>
      </c>
      <c r="M107" s="33" t="n">
        <v>56.67426300048828</v>
      </c>
      <c r="N107" s="33" t="n">
        <v>67.97879791259766</v>
      </c>
      <c r="O107" s="33" t="n">
        <v>6.917487621307373</v>
      </c>
      <c r="P107" s="33" t="n">
        <v>5.35484790802002</v>
      </c>
    </row>
    <row r="108">
      <c r="B108" s="32" t="n">
        <v>43952</v>
      </c>
      <c r="C108" s="33" t="n">
        <v>32.38601684570312</v>
      </c>
      <c r="D108" s="33" t="n">
        <v>22.48377197265625</v>
      </c>
      <c r="E108" s="33" t="n">
        <v>2.768823852539063</v>
      </c>
      <c r="F108" s="33" t="n">
        <v>1.717504425048828</v>
      </c>
      <c r="G108" s="33" t="n">
        <v>1.600353698730469</v>
      </c>
      <c r="H108" s="33" t="n">
        <v>1.009248657226562</v>
      </c>
      <c r="I108" s="33" t="n">
        <v>1.142229537963867</v>
      </c>
      <c r="J108" s="33" t="n">
        <v>20.69127464294434</v>
      </c>
      <c r="K108" s="33" t="n">
        <v>7858.263671875</v>
      </c>
      <c r="L108" s="33" t="n">
        <v>14.51949214935303</v>
      </c>
      <c r="M108" s="33" t="n">
        <v>58.34415435791016</v>
      </c>
      <c r="N108" s="33" t="n">
        <v>70.14559936523438</v>
      </c>
      <c r="O108" s="33" t="n">
        <v>7.946489810943604</v>
      </c>
      <c r="P108" s="33" t="n">
        <v>5.975769996643066</v>
      </c>
    </row>
    <row r="109">
      <c r="B109" s="32" t="n">
        <v>43983</v>
      </c>
      <c r="C109" s="33" t="n">
        <v>32.11574935913086</v>
      </c>
      <c r="D109" s="33" t="n">
        <v>21.91705322265625</v>
      </c>
      <c r="E109" s="33" t="n">
        <v>2.918969116210937</v>
      </c>
      <c r="F109" s="33" t="n">
        <v>1.721694030761719</v>
      </c>
      <c r="G109" s="33" t="n">
        <v>1.674093627929688</v>
      </c>
      <c r="H109" s="33" t="n">
        <v>1.035126800537109</v>
      </c>
      <c r="I109" s="33" t="n">
        <v>1.11635986328125</v>
      </c>
      <c r="J109" s="33" t="n">
        <v>20.92027282714844</v>
      </c>
      <c r="K109" s="33" t="n">
        <v>7799.8447265625</v>
      </c>
      <c r="L109" s="33" t="n">
        <v>14.55019569396973</v>
      </c>
      <c r="M109" s="33" t="n">
        <v>58.00378036499023</v>
      </c>
      <c r="N109" s="33" t="n">
        <v>71.52647399902344</v>
      </c>
      <c r="O109" s="33" t="n">
        <v>8.00262451171875</v>
      </c>
      <c r="P109" s="33" t="n">
        <v>6.035380363464355</v>
      </c>
    </row>
    <row r="110">
      <c r="B110" s="32" t="n">
        <v>44013</v>
      </c>
      <c r="C110" s="33" t="n">
        <v>32.82868957519531</v>
      </c>
      <c r="D110" s="33" t="n">
        <v>21.24548583984375</v>
      </c>
      <c r="E110" s="33" t="n">
        <v>2.894021606445313</v>
      </c>
      <c r="F110" s="33" t="n">
        <v>1.671876678466797</v>
      </c>
      <c r="G110" s="33" t="n">
        <v>1.626262512207031</v>
      </c>
      <c r="H110" s="33" t="n">
        <v>1.045236663818359</v>
      </c>
      <c r="I110" s="33" t="n">
        <v>1.150373458862305</v>
      </c>
      <c r="J110" s="33" t="n">
        <v>21.29175758361816</v>
      </c>
      <c r="K110" s="33" t="n">
        <v>7731.4248046875</v>
      </c>
      <c r="L110" s="33" t="n">
        <v>14.78612232208252</v>
      </c>
      <c r="M110" s="33" t="n">
        <v>60.93904876708984</v>
      </c>
      <c r="N110" s="33" t="n">
        <v>72.08470916748047</v>
      </c>
      <c r="O110" s="33" t="n">
        <v>7.808791160583496</v>
      </c>
      <c r="P110" s="33" t="n">
        <v>5.991775512695312</v>
      </c>
    </row>
    <row r="111">
      <c r="B111" s="32" t="n">
        <v>44044</v>
      </c>
      <c r="C111" s="33" t="n">
        <v>33.33193588256836</v>
      </c>
      <c r="D111" s="33" t="n">
        <v>21.0172216796875</v>
      </c>
      <c r="E111" s="33" t="n">
        <v>2.918969116210937</v>
      </c>
      <c r="F111" s="33" t="n">
        <v>1.670083465576172</v>
      </c>
      <c r="G111" s="33" t="n">
        <v>1.656156768798828</v>
      </c>
      <c r="H111" s="33" t="n">
        <v>1.081073226928711</v>
      </c>
      <c r="I111" s="33" t="n">
        <v>1.204110641479492</v>
      </c>
      <c r="J111" s="33" t="n">
        <v>22.40324592590332</v>
      </c>
      <c r="K111" s="33" t="n">
        <v>7526.166015625</v>
      </c>
      <c r="L111" s="33" t="n">
        <v>14.97974491119385</v>
      </c>
      <c r="M111" s="33" t="n">
        <v>60.92543029785156</v>
      </c>
      <c r="N111" s="33" t="n">
        <v>73.43619537353516</v>
      </c>
      <c r="O111" s="33" t="n">
        <v>8.14661693572998</v>
      </c>
      <c r="P111" s="33" t="n">
        <v>6.263662815093994</v>
      </c>
    </row>
    <row r="112">
      <c r="B112" s="32" t="n">
        <v>44075</v>
      </c>
      <c r="C112" s="33" t="n">
        <v>32.35898590087891</v>
      </c>
      <c r="D112" s="33" t="n">
        <v>21.70630859375</v>
      </c>
      <c r="E112" s="33" t="n">
        <v>2.889031372070312</v>
      </c>
      <c r="F112" s="33" t="n">
        <v>1.652146911621094</v>
      </c>
      <c r="G112" s="33" t="n">
        <v>1.608687438964844</v>
      </c>
      <c r="H112" s="33" t="n">
        <v>1.03926383972168</v>
      </c>
      <c r="I112" s="33" t="n">
        <v>1.160324935913086</v>
      </c>
      <c r="J112" s="33" t="n">
        <v>24.4969654083252</v>
      </c>
      <c r="K112" s="33" t="n">
        <v>7526.166015625</v>
      </c>
      <c r="L112" s="33" t="n">
        <v>14.92937469482422</v>
      </c>
      <c r="M112" s="33" t="n">
        <v>60.35781478881836</v>
      </c>
      <c r="N112" s="33" t="n">
        <v>72.82834625244141</v>
      </c>
      <c r="O112" s="33" t="n">
        <v>7.943804264068604</v>
      </c>
      <c r="P112" s="33" t="n">
        <v>6.232883453369141</v>
      </c>
    </row>
    <row r="113">
      <c r="B113" s="32" t="n">
        <v>44105</v>
      </c>
      <c r="C113" s="33" t="n">
        <v>31.97315979003906</v>
      </c>
      <c r="D113" s="33" t="n">
        <v>21.37424560546875</v>
      </c>
      <c r="E113" s="33" t="n">
        <v>2.94391845703125</v>
      </c>
      <c r="F113" s="33" t="n">
        <v>1.751793823242187</v>
      </c>
      <c r="G113" s="33" t="n">
        <v>1.674470367431641</v>
      </c>
      <c r="H113" s="33" t="n">
        <v>1.041404876708984</v>
      </c>
      <c r="I113" s="33" t="n">
        <v>1.094646148681641</v>
      </c>
      <c r="J113" s="33" t="n">
        <v>22.06887435913086</v>
      </c>
      <c r="K113" s="33" t="n">
        <v>7526.166015625</v>
      </c>
      <c r="L113" s="33" t="n">
        <v>14.80539226531982</v>
      </c>
      <c r="M113" s="33" t="n">
        <v>60.60124588012695</v>
      </c>
      <c r="N113" s="33" t="n">
        <v>72.73118591308594</v>
      </c>
      <c r="O113" s="33" t="n">
        <v>7.875470638275146</v>
      </c>
      <c r="P113" s="33" t="n">
        <v>5.942121505737305</v>
      </c>
    </row>
    <row r="114">
      <c r="B114" s="32" t="n">
        <v>44136</v>
      </c>
      <c r="C114" s="33" t="n">
        <v>36.06626892089844</v>
      </c>
      <c r="D114" s="33" t="n">
        <v>22.00193359375</v>
      </c>
      <c r="E114" s="33" t="n">
        <v>2.994296569824219</v>
      </c>
      <c r="F114" s="33" t="n">
        <v>1.706161499023438</v>
      </c>
      <c r="G114" s="33" t="n">
        <v>1.730286102294922</v>
      </c>
      <c r="H114" s="33" t="n">
        <v>1.057334442138672</v>
      </c>
      <c r="I114" s="33" t="n">
        <v>1.090855255126953</v>
      </c>
      <c r="J114" s="33" t="n">
        <v>25.86653900146484</v>
      </c>
      <c r="K114" s="33" t="n">
        <v>7389.32763671875</v>
      </c>
      <c r="L114" s="33" t="n">
        <v>15.20017337799072</v>
      </c>
      <c r="M114" s="33" t="n">
        <v>62.6321907043457</v>
      </c>
      <c r="N114" s="33" t="n">
        <v>76.07215118408203</v>
      </c>
      <c r="O114" s="33" t="n">
        <v>9.38450813293457</v>
      </c>
      <c r="P114" s="33" t="n">
        <v>7.258480072021484</v>
      </c>
    </row>
    <row r="115">
      <c r="B115" s="32" t="n">
        <v>44166</v>
      </c>
      <c r="C115" s="33" t="n">
        <v>37.15256118774414</v>
      </c>
      <c r="D115" s="33" t="n">
        <v>21.57497314453125</v>
      </c>
      <c r="E115" s="33" t="n">
        <v>3.074144592285156</v>
      </c>
      <c r="F115" s="33" t="n">
        <v>1.734066314697266</v>
      </c>
      <c r="G115" s="33" t="n">
        <v>1.696397705078125</v>
      </c>
      <c r="H115" s="33" t="n">
        <v>1.093176345825195</v>
      </c>
      <c r="I115" s="33" t="n">
        <v>1.084883499145508</v>
      </c>
      <c r="J115" s="33" t="n">
        <v>25.65362548828125</v>
      </c>
      <c r="K115" s="33" t="n">
        <v>7527.5810546875</v>
      </c>
      <c r="L115" s="33" t="n">
        <v>15.43171119689941</v>
      </c>
      <c r="M115" s="33" t="n">
        <v>63.85846710205078</v>
      </c>
      <c r="N115" s="33" t="n">
        <v>76.77471923828125</v>
      </c>
      <c r="O115" s="33" t="n">
        <v>9.850019454956055</v>
      </c>
      <c r="P115" s="33" t="n">
        <v>7.433027267456055</v>
      </c>
    </row>
    <row r="116">
      <c r="B116" s="32" t="n">
        <v>44197</v>
      </c>
      <c r="C116" s="33" t="n">
        <v>36.23458862304688</v>
      </c>
      <c r="D116" s="33" t="n">
        <v>21.3927099609375</v>
      </c>
      <c r="E116" s="33" t="n">
        <v>2.979325256347656</v>
      </c>
      <c r="F116" s="33" t="n">
        <v>1.742038726806641</v>
      </c>
      <c r="G116" s="33" t="n">
        <v>1.710351867675781</v>
      </c>
      <c r="H116" s="33" t="n">
        <v>1.077400512695313</v>
      </c>
      <c r="I116" s="33" t="n">
        <v>1.062986831665039</v>
      </c>
      <c r="J116" s="33" t="n">
        <v>27.09209060668945</v>
      </c>
      <c r="K116" s="33" t="n">
        <v>7598.26025390625</v>
      </c>
      <c r="L116" s="33" t="n">
        <v>15.43490409851074</v>
      </c>
      <c r="M116" s="33" t="n">
        <v>63.61705780029297</v>
      </c>
      <c r="N116" s="33" t="n">
        <v>76.62522888183594</v>
      </c>
      <c r="O116" s="33" t="n">
        <v>10.08912754058838</v>
      </c>
      <c r="P116" s="33" t="n">
        <v>7.584612369537354</v>
      </c>
    </row>
    <row r="117">
      <c r="B117" s="32" t="n">
        <v>44228</v>
      </c>
      <c r="C117" s="33" t="n">
        <v>36.54058456420898</v>
      </c>
      <c r="D117" s="33" t="n">
        <v>20.8793798828125</v>
      </c>
      <c r="E117" s="33" t="n">
        <v>2.904468078613281</v>
      </c>
      <c r="F117" s="33" t="n">
        <v>1.6583251953125</v>
      </c>
      <c r="G117" s="33" t="n">
        <v>1.66649642944336</v>
      </c>
      <c r="H117" s="33" t="n">
        <v>1.051511001586914</v>
      </c>
      <c r="I117" s="33" t="n">
        <v>1.019358215332031</v>
      </c>
      <c r="J117" s="33" t="n">
        <v>26.71640586853027</v>
      </c>
      <c r="K117" s="33" t="n">
        <v>7880.9873046875</v>
      </c>
      <c r="L117" s="33" t="n">
        <v>15.46457099914551</v>
      </c>
      <c r="M117" s="33" t="n">
        <v>63.46142959594727</v>
      </c>
      <c r="N117" s="33" t="n">
        <v>76.89430236816406</v>
      </c>
      <c r="O117" s="33" t="n">
        <v>10.6898078918457</v>
      </c>
      <c r="P117" s="33" t="n">
        <v>8.385839462280273</v>
      </c>
    </row>
    <row r="118">
      <c r="B118" s="32" t="n">
        <v>44256</v>
      </c>
      <c r="C118" s="33" t="n">
        <v>38.30853271484375</v>
      </c>
      <c r="D118" s="33" t="n">
        <v>22.53234619140625</v>
      </c>
      <c r="E118" s="33" t="n">
        <v>2.959363403320312</v>
      </c>
      <c r="F118" s="33" t="n">
        <v>1.644571380615234</v>
      </c>
      <c r="G118" s="33" t="n">
        <v>1.676463623046875</v>
      </c>
      <c r="H118" s="33" t="n">
        <v>1.037570495605469</v>
      </c>
      <c r="I118" s="33" t="n">
        <v>1.023340225219727</v>
      </c>
      <c r="J118" s="33" t="n">
        <v>27.92244148254395</v>
      </c>
      <c r="K118" s="33" t="n">
        <v>8234.3955078125</v>
      </c>
      <c r="L118" s="33" t="n">
        <v>15.45830535888672</v>
      </c>
      <c r="M118" s="33" t="n">
        <v>64.23284912109375</v>
      </c>
      <c r="N118" s="33" t="n">
        <v>77.70817565917969</v>
      </c>
      <c r="O118" s="33" t="n">
        <v>11.14320755004883</v>
      </c>
      <c r="P118" s="33" t="n">
        <v>8.770217895507812</v>
      </c>
    </row>
    <row r="119">
      <c r="B119" s="32" t="n">
        <v>44287</v>
      </c>
      <c r="C119" s="33" t="n">
        <v>39.64299774169922</v>
      </c>
      <c r="D119" s="33" t="n">
        <v>23.1391015625</v>
      </c>
      <c r="E119" s="33" t="n">
        <v>2.964353942871094</v>
      </c>
      <c r="F119" s="33" t="n">
        <v>1.700387115478516</v>
      </c>
      <c r="G119" s="33" t="n">
        <v>1.680811614990234</v>
      </c>
      <c r="H119" s="33" t="n">
        <v>1.063615570068359</v>
      </c>
      <c r="I119" s="33" t="n">
        <v>1.005421600341797</v>
      </c>
      <c r="J119" s="33" t="n">
        <v>28.19512176513672</v>
      </c>
      <c r="K119" s="33" t="n">
        <v>8517.1201171875</v>
      </c>
      <c r="L119" s="33" t="n">
        <v>15.51281261444092</v>
      </c>
      <c r="M119" s="33" t="n">
        <v>64.64241027832031</v>
      </c>
      <c r="N119" s="33" t="n">
        <v>77.80690002441406</v>
      </c>
      <c r="O119" s="33" t="n">
        <v>11.46482086181641</v>
      </c>
      <c r="P119" s="33" t="n">
        <v>9.302666664123535</v>
      </c>
    </row>
    <row r="120">
      <c r="B120" s="32" t="n">
        <v>44317</v>
      </c>
      <c r="C120" s="33" t="n">
        <v>39.9319953918457</v>
      </c>
      <c r="D120" s="33" t="n">
        <v>22.6882177734375</v>
      </c>
      <c r="E120" s="33" t="n">
        <v>3.079135131835938</v>
      </c>
      <c r="F120" s="33" t="n">
        <v>1.724515686035156</v>
      </c>
      <c r="G120" s="33" t="n">
        <v>1.724676208496094</v>
      </c>
      <c r="H120" s="33" t="n">
        <v>1.075566024780273</v>
      </c>
      <c r="I120" s="33" t="n">
        <v>0.9836917877197265</v>
      </c>
      <c r="J120" s="33" t="n">
        <v>28.70089530944824</v>
      </c>
      <c r="K120" s="33" t="n">
        <v>8835.1884765625</v>
      </c>
      <c r="L120" s="33" t="n">
        <v>15.58573150634766</v>
      </c>
      <c r="M120" s="33" t="n">
        <v>64.66761779785156</v>
      </c>
      <c r="N120" s="33" t="n">
        <v>78.15617370605469</v>
      </c>
      <c r="O120" s="33" t="n">
        <v>11.59584522247314</v>
      </c>
      <c r="P120" s="33" t="n">
        <v>9.468886375427246</v>
      </c>
    </row>
    <row r="121">
      <c r="B121" s="32" t="n">
        <v>44348</v>
      </c>
      <c r="C121" s="33" t="n">
        <v>39.12607192993164</v>
      </c>
      <c r="D121" s="33" t="n">
        <v>22.95790283203125</v>
      </c>
      <c r="E121" s="33" t="n">
        <v>2.974816589355469</v>
      </c>
      <c r="F121" s="33" t="n">
        <v>1.652744140625</v>
      </c>
      <c r="G121" s="33" t="n">
        <v>1.664861145019531</v>
      </c>
      <c r="H121" s="33" t="n">
        <v>1.107434768676758</v>
      </c>
      <c r="I121" s="33" t="n">
        <v>1.007587203979492</v>
      </c>
      <c r="J121" s="33" t="n">
        <v>29.4049186706543</v>
      </c>
      <c r="K121" s="33" t="n">
        <v>9137.80078125</v>
      </c>
      <c r="L121" s="33" t="n">
        <v>15.58853912353516</v>
      </c>
      <c r="M121" s="33" t="n">
        <v>65.5242919921875</v>
      </c>
      <c r="N121" s="33" t="n">
        <v>78.399169921875</v>
      </c>
      <c r="O121" s="33" t="n">
        <v>11.90591049194336</v>
      </c>
      <c r="P121" s="33" t="n">
        <v>9.507668495178223</v>
      </c>
    </row>
    <row r="122">
      <c r="B122" s="32" t="n">
        <v>44378</v>
      </c>
      <c r="C122" s="33" t="n">
        <v>39.55716323852539</v>
      </c>
      <c r="D122" s="33" t="n">
        <v>23.25755126953125</v>
      </c>
      <c r="E122" s="33" t="n">
        <v>3.054677734375</v>
      </c>
      <c r="F122" s="33" t="n">
        <v>1.694611206054688</v>
      </c>
      <c r="G122" s="33" t="n">
        <v>1.636947174072266</v>
      </c>
      <c r="H122" s="33" t="n">
        <v>1.115556335449219</v>
      </c>
      <c r="I122" s="33" t="n">
        <v>1.061351776123047</v>
      </c>
      <c r="J122" s="33" t="n">
        <v>28.62678718566895</v>
      </c>
      <c r="K122" s="33" t="n">
        <v>8955.7724609375</v>
      </c>
      <c r="L122" s="33" t="n">
        <v>15.54130458831787</v>
      </c>
      <c r="M122" s="33" t="n">
        <v>65.59293365478516</v>
      </c>
      <c r="N122" s="33" t="n">
        <v>78.71048736572266</v>
      </c>
      <c r="O122" s="33" t="n">
        <v>12.1368579864502</v>
      </c>
      <c r="P122" s="33" t="n">
        <v>9.574282646179199</v>
      </c>
    </row>
    <row r="123">
      <c r="B123" s="32" t="n">
        <v>44409</v>
      </c>
      <c r="C123" s="33" t="n">
        <v>40.100341796875</v>
      </c>
      <c r="D123" s="33" t="n">
        <v>23.721103515625</v>
      </c>
      <c r="E123" s="33" t="n">
        <v>3.184451293945313</v>
      </c>
      <c r="F123" s="33" t="n">
        <v>1.720732116699219</v>
      </c>
      <c r="G123" s="33" t="n">
        <v>1.722682342529297</v>
      </c>
      <c r="H123" s="33" t="n">
        <v>1.137469100952148</v>
      </c>
      <c r="I123" s="33" t="n">
        <v>1.067497711181641</v>
      </c>
      <c r="J123" s="33" t="n">
        <v>30.1639461517334</v>
      </c>
      <c r="K123" s="33" t="n">
        <v>9028.583984375</v>
      </c>
      <c r="L123" s="33" t="n">
        <v>15.65723609924316</v>
      </c>
      <c r="M123" s="33" t="n">
        <v>65.99227142333984</v>
      </c>
      <c r="N123" s="33" t="n">
        <v>78.87751770019531</v>
      </c>
      <c r="O123" s="33" t="n">
        <v>12.09431552886963</v>
      </c>
      <c r="P123" s="33" t="n">
        <v>9.692831993103027</v>
      </c>
    </row>
    <row r="124">
      <c r="B124" s="32" t="n">
        <v>44440</v>
      </c>
      <c r="C124" s="33" t="n">
        <v>39.57440948486328</v>
      </c>
      <c r="D124" s="33" t="n">
        <v>23.17171630859375</v>
      </c>
      <c r="E124" s="33" t="n">
        <v>3.034712219238281</v>
      </c>
      <c r="F124" s="33" t="n">
        <v>1.660915374755859</v>
      </c>
      <c r="G124" s="33" t="n">
        <v>1.615374450683594</v>
      </c>
      <c r="H124" s="33" t="n">
        <v>1.065754852294922</v>
      </c>
      <c r="I124" s="33" t="n">
        <v>0.9997835540771485</v>
      </c>
      <c r="J124" s="33" t="n">
        <v>29.97165489196777</v>
      </c>
      <c r="K124" s="33" t="n">
        <v>9319.828125</v>
      </c>
      <c r="L124" s="33" t="n">
        <v>15.674880027771</v>
      </c>
      <c r="M124" s="33" t="n">
        <v>65.74803924560547</v>
      </c>
      <c r="N124" s="33" t="n">
        <v>78.72129058837891</v>
      </c>
      <c r="O124" s="33" t="n">
        <v>12.60919284820557</v>
      </c>
      <c r="P124" s="33" t="n">
        <v>9.681541442871094</v>
      </c>
    </row>
    <row r="125">
      <c r="B125" s="32" t="n">
        <v>44470</v>
      </c>
      <c r="C125" s="33" t="n">
        <v>41.18669509887695</v>
      </c>
      <c r="D125" s="33" t="n">
        <v>24.1106689453125</v>
      </c>
      <c r="E125" s="33" t="n">
        <v>3.304242858886719</v>
      </c>
      <c r="F125" s="33" t="n">
        <v>1.678860473632813</v>
      </c>
      <c r="G125" s="33" t="n">
        <v>1.669220275878906</v>
      </c>
      <c r="H125" s="33" t="n">
        <v>1.089812545776367</v>
      </c>
      <c r="I125" s="33" t="n">
        <v>1.061522903442383</v>
      </c>
      <c r="J125" s="33" t="n">
        <v>31.4245662689209</v>
      </c>
      <c r="K125" s="33" t="n">
        <v>9975.126953125</v>
      </c>
      <c r="L125" s="33" t="n">
        <v>15.69397449493408</v>
      </c>
      <c r="M125" s="33" t="n">
        <v>65.54366302490234</v>
      </c>
      <c r="N125" s="33" t="n">
        <v>78.31285858154297</v>
      </c>
      <c r="O125" s="33" t="n">
        <v>13.29764461517334</v>
      </c>
      <c r="P125" s="33" t="n">
        <v>10.12588119506836</v>
      </c>
    </row>
    <row r="126">
      <c r="B126" s="32" t="n">
        <v>44501</v>
      </c>
      <c r="C126" s="33" t="n">
        <v>39.10020065307617</v>
      </c>
      <c r="D126" s="33" t="n">
        <v>24.194091796875</v>
      </c>
      <c r="E126" s="33" t="n">
        <v>3.414570007324219</v>
      </c>
      <c r="F126" s="33" t="n">
        <v>1.677068328857422</v>
      </c>
      <c r="G126" s="33" t="n">
        <v>1.673208923339844</v>
      </c>
      <c r="H126" s="33" t="n">
        <v>1.057934951782227</v>
      </c>
      <c r="I126" s="33" t="n">
        <v>1.07165657043457</v>
      </c>
      <c r="J126" s="33" t="n">
        <v>30.62806510925293</v>
      </c>
      <c r="K126" s="33" t="n">
        <v>10193.5625</v>
      </c>
      <c r="L126" s="33" t="n">
        <v>15.53505706787109</v>
      </c>
      <c r="M126" s="33" t="n">
        <v>64.77745056152344</v>
      </c>
      <c r="N126" s="33" t="n">
        <v>77.76569366455078</v>
      </c>
      <c r="O126" s="33" t="n">
        <v>12.56577396392822</v>
      </c>
      <c r="P126" s="33" t="n">
        <v>9.88382625579834</v>
      </c>
    </row>
    <row r="127">
      <c r="B127" s="32" t="n">
        <v>44531</v>
      </c>
      <c r="C127" s="33" t="n">
        <v>41.45315170288086</v>
      </c>
      <c r="D127" s="33" t="n">
        <v>25.07564453125</v>
      </c>
      <c r="E127" s="33" t="n">
        <v>3.539371948242187</v>
      </c>
      <c r="F127" s="33" t="n">
        <v>1.760821838378906</v>
      </c>
      <c r="G127" s="33" t="n">
        <v>1.695146026611328</v>
      </c>
      <c r="H127" s="33" t="n">
        <v>1.073873748779297</v>
      </c>
      <c r="I127" s="33" t="n">
        <v>1.079624404907227</v>
      </c>
      <c r="J127" s="33" t="n">
        <v>32.77881622314453</v>
      </c>
      <c r="K127" s="33" t="n">
        <v>10512.275390625</v>
      </c>
      <c r="L127" s="33" t="n">
        <v>15.78896617889404</v>
      </c>
      <c r="M127" s="33" t="n">
        <v>66.25707244873047</v>
      </c>
      <c r="N127" s="33" t="n">
        <v>79.10662078857422</v>
      </c>
      <c r="O127" s="33" t="n">
        <v>13.40934085845947</v>
      </c>
      <c r="P127" s="33" t="n">
        <v>10.126953125</v>
      </c>
    </row>
    <row r="128">
      <c r="B128" s="32" t="n">
        <v>44562</v>
      </c>
      <c r="C128" s="33" t="n">
        <v>41.14828872680664</v>
      </c>
      <c r="D128" s="33" t="n">
        <v>24.2465380859375</v>
      </c>
      <c r="E128" s="33" t="n">
        <v>3.454506225585938</v>
      </c>
      <c r="F128" s="33" t="n">
        <v>1.738886566162109</v>
      </c>
      <c r="G128" s="33" t="n">
        <v>1.673208923339844</v>
      </c>
      <c r="H128" s="33" t="n">
        <v>1.024218902587891</v>
      </c>
      <c r="I128" s="33" t="n">
        <v>1.045761566162109</v>
      </c>
      <c r="J128" s="33" t="n">
        <v>31.8247241973877</v>
      </c>
      <c r="K128" s="33" t="n">
        <v>10100.7626953125</v>
      </c>
      <c r="L128" s="33" t="n">
        <v>15.74383544921875</v>
      </c>
      <c r="M128" s="33" t="n">
        <v>64.49803924560547</v>
      </c>
      <c r="N128" s="33" t="n">
        <v>77.27247619628906</v>
      </c>
      <c r="O128" s="33" t="n">
        <v>13.98520469665527</v>
      </c>
      <c r="P128" s="33" t="n">
        <v>10.35055828094482</v>
      </c>
    </row>
    <row r="129">
      <c r="B129" s="32" t="n">
        <v>44593</v>
      </c>
      <c r="C129" s="33" t="n">
        <v>41.94964599609375</v>
      </c>
      <c r="D129" s="33" t="n">
        <v>24.0903125</v>
      </c>
      <c r="E129" s="33" t="n">
        <v>3.40957763671875</v>
      </c>
      <c r="F129" s="33" t="n">
        <v>1.734898681640625</v>
      </c>
      <c r="G129" s="33" t="n">
        <v>1.607397155761719</v>
      </c>
      <c r="H129" s="33" t="n">
        <v>1.020233688354492</v>
      </c>
      <c r="I129" s="33" t="n">
        <v>1.053901824951172</v>
      </c>
      <c r="J129" s="33" t="n">
        <v>32.26668930053711</v>
      </c>
      <c r="K129" s="33" t="n">
        <v>10250.404296875</v>
      </c>
      <c r="L129" s="33" t="n">
        <v>15.63499546051025</v>
      </c>
      <c r="M129" s="33" t="n">
        <v>63.94398880004883</v>
      </c>
      <c r="N129" s="33" t="n">
        <v>75.78514099121094</v>
      </c>
      <c r="O129" s="33" t="n">
        <v>13.8206729888916</v>
      </c>
      <c r="P129" s="33" t="n">
        <v>10.34467601776123</v>
      </c>
    </row>
    <row r="130">
      <c r="B130" s="32" t="n">
        <v>44621</v>
      </c>
      <c r="C130" s="33" t="n">
        <v>44.30147552490234</v>
      </c>
      <c r="D130" s="33" t="n">
        <v>26.802529296875</v>
      </c>
      <c r="E130" s="33" t="n">
        <v>3.469482421875</v>
      </c>
      <c r="F130" s="33" t="n">
        <v>1.774989929199219</v>
      </c>
      <c r="G130" s="33" t="n">
        <v>1.725060272216797</v>
      </c>
      <c r="H130" s="33" t="n">
        <v>1.024218902587891</v>
      </c>
      <c r="I130" s="33" t="n">
        <v>1.099723510742187</v>
      </c>
      <c r="J130" s="33" t="n">
        <v>36.03139495849609</v>
      </c>
      <c r="K130" s="33" t="n">
        <v>10250.404296875</v>
      </c>
      <c r="L130" s="33" t="n">
        <v>15.67691516876221</v>
      </c>
      <c r="M130" s="33" t="n">
        <v>63.12093353271484</v>
      </c>
      <c r="N130" s="33" t="n">
        <v>75.62351226806641</v>
      </c>
      <c r="O130" s="33" t="n">
        <v>13.55923080444336</v>
      </c>
      <c r="P130" s="33" t="n">
        <v>10.53885746002197</v>
      </c>
    </row>
    <row r="131">
      <c r="B131" s="32" t="n">
        <v>44652</v>
      </c>
      <c r="C131" s="33" t="n">
        <v>42.55066299438477</v>
      </c>
      <c r="D131" s="33" t="n">
        <v>26.82750244140625</v>
      </c>
      <c r="E131" s="33" t="n">
        <v>3.5094189453125</v>
      </c>
      <c r="F131" s="33" t="n">
        <v>1.765018005371094</v>
      </c>
      <c r="G131" s="33" t="n">
        <v>1.665596313476563</v>
      </c>
      <c r="H131" s="33" t="n">
        <v>0.9835221862792969</v>
      </c>
      <c r="I131" s="33" t="n">
        <v>1.177421493530273</v>
      </c>
      <c r="J131" s="33" t="n">
        <v>33.96407318115234</v>
      </c>
      <c r="K131" s="33" t="n">
        <v>10624.505859375</v>
      </c>
      <c r="L131" s="33" t="n">
        <v>15.56788349151611</v>
      </c>
      <c r="M131" s="33" t="n">
        <v>60.48225402832031</v>
      </c>
      <c r="N131" s="33" t="n">
        <v>72.85946655273438</v>
      </c>
      <c r="O131" s="33" t="n">
        <v>13.11912155151367</v>
      </c>
      <c r="P131" s="33" t="n">
        <v>10.06300926208496</v>
      </c>
    </row>
    <row r="132">
      <c r="B132" s="32" t="n">
        <v>44682</v>
      </c>
      <c r="C132" s="33" t="n">
        <v>44.5279426574707</v>
      </c>
      <c r="D132" s="33" t="n">
        <v>26.59900390625</v>
      </c>
      <c r="E132" s="33" t="n">
        <v>3.479466552734375</v>
      </c>
      <c r="F132" s="33" t="n">
        <v>1.765223388671875</v>
      </c>
      <c r="G132" s="33" t="n">
        <v>1.659612121582031</v>
      </c>
      <c r="H132" s="33" t="n">
        <v>0.9875080871582032</v>
      </c>
      <c r="I132" s="33" t="n">
        <v>1.121803817749023</v>
      </c>
      <c r="J132" s="33" t="n">
        <v>32.74920654296875</v>
      </c>
      <c r="K132" s="33" t="n">
        <v>10624.505859375</v>
      </c>
      <c r="L132" s="33" t="n">
        <v>15.25872802734375</v>
      </c>
      <c r="M132" s="33" t="n">
        <v>61.46809387207031</v>
      </c>
      <c r="N132" s="33" t="n">
        <v>72.4444580078125</v>
      </c>
      <c r="O132" s="33" t="n">
        <v>12.5430965423584</v>
      </c>
      <c r="P132" s="33" t="n">
        <v>9.720976829528809</v>
      </c>
    </row>
    <row r="133">
      <c r="B133" s="32" t="n">
        <v>44713</v>
      </c>
      <c r="C133" s="33" t="n">
        <v>41.29114532470703</v>
      </c>
      <c r="D133" s="33" t="n">
        <v>25.96462158203125</v>
      </c>
      <c r="E133" s="33" t="n">
        <v>3.285278015136719</v>
      </c>
      <c r="F133" s="33" t="n">
        <v>1.717352447509766</v>
      </c>
      <c r="G133" s="33" t="n">
        <v>1.623706817626953</v>
      </c>
      <c r="H133" s="33" t="n">
        <v>0.9167583465576172</v>
      </c>
      <c r="I133" s="33" t="n">
        <v>1.10187858581543</v>
      </c>
      <c r="J133" s="33" t="n">
        <v>31.47019958496094</v>
      </c>
      <c r="K133" s="33" t="n">
        <v>9625.5205078125</v>
      </c>
      <c r="L133" s="33" t="n">
        <v>14.72644424438477</v>
      </c>
      <c r="M133" s="33" t="n">
        <v>57.13467025756836</v>
      </c>
      <c r="N133" s="33" t="n">
        <v>67.86383056640625</v>
      </c>
      <c r="O133" s="33" t="n">
        <v>11.90066719055176</v>
      </c>
      <c r="P133" s="33" t="n">
        <v>9.060909271240234</v>
      </c>
    </row>
    <row r="134">
      <c r="B134" s="32" t="n">
        <v>44743</v>
      </c>
      <c r="C134" s="33" t="n">
        <v>42.73964691162109</v>
      </c>
      <c r="D134" s="33" t="n">
        <v>27.56555908203125</v>
      </c>
      <c r="E134" s="33" t="n">
        <v>3.345192260742188</v>
      </c>
      <c r="F134" s="33" t="n">
        <v>1.729320068359375</v>
      </c>
      <c r="G134" s="33" t="n">
        <v>1.625701751708984</v>
      </c>
      <c r="H134" s="33" t="n">
        <v>0.8760565185546875</v>
      </c>
      <c r="I134" s="33" t="n">
        <v>1.135751571655274</v>
      </c>
      <c r="J134" s="33" t="n">
        <v>32.79587173461914</v>
      </c>
      <c r="K134" s="33" t="n">
        <v>10010.5419921875</v>
      </c>
      <c r="L134" s="33" t="n">
        <v>15.28754234313965</v>
      </c>
      <c r="M134" s="33" t="n">
        <v>60.9620361328125</v>
      </c>
      <c r="N134" s="33" t="n">
        <v>72.36616516113281</v>
      </c>
      <c r="O134" s="33" t="n">
        <v>12.86971187591553</v>
      </c>
      <c r="P134" s="33" t="n">
        <v>9.823746681213379</v>
      </c>
    </row>
    <row r="135">
      <c r="B135" s="32" t="n">
        <v>44774</v>
      </c>
      <c r="C135" s="33" t="n">
        <v>41.80342102050781</v>
      </c>
      <c r="D135" s="33" t="n">
        <v>28.23913330078125</v>
      </c>
      <c r="E135" s="33" t="n">
        <v>3.400113830566406</v>
      </c>
      <c r="F135" s="33" t="n">
        <v>1.719552764892578</v>
      </c>
      <c r="G135" s="33" t="n">
        <v>1.637670288085938</v>
      </c>
      <c r="H135" s="33" t="n">
        <v>0.8969862365722656</v>
      </c>
      <c r="I135" s="33" t="n">
        <v>1.078134994506836</v>
      </c>
      <c r="J135" s="33" t="n">
        <v>34.865966796875</v>
      </c>
      <c r="K135" s="33" t="n">
        <v>9856.5341796875</v>
      </c>
      <c r="L135" s="33" t="n">
        <v>15.34488677978516</v>
      </c>
      <c r="M135" s="33" t="n">
        <v>58.33527755737305</v>
      </c>
      <c r="N135" s="33" t="n">
        <v>69.60211181640625</v>
      </c>
      <c r="O135" s="33" t="n">
        <v>13.03564071655273</v>
      </c>
      <c r="P135" s="33" t="n">
        <v>9.805244445800781</v>
      </c>
    </row>
    <row r="136">
      <c r="B136" s="32" t="n">
        <v>44805</v>
      </c>
      <c r="C136" s="33" t="n">
        <v>36.94564056396484</v>
      </c>
      <c r="D136" s="33" t="n">
        <v>26.091103515625</v>
      </c>
      <c r="E136" s="33" t="n">
        <v>3.03563720703125</v>
      </c>
      <c r="F136" s="33" t="n">
        <v>1.611831665039062</v>
      </c>
      <c r="G136" s="33" t="n">
        <v>1.514351348876953</v>
      </c>
      <c r="H136" s="33" t="n">
        <v>0.8162574768066406</v>
      </c>
      <c r="I136" s="33" t="n">
        <v>0.9745066070556641</v>
      </c>
      <c r="J136" s="33" t="n">
        <v>29.8092041015625</v>
      </c>
      <c r="K136" s="33" t="n">
        <v>9047.9892578125</v>
      </c>
      <c r="L136" s="33" t="n">
        <v>14.83608245849609</v>
      </c>
      <c r="M136" s="33" t="n">
        <v>56.1533203125</v>
      </c>
      <c r="N136" s="33" t="n">
        <v>68.41374206542969</v>
      </c>
      <c r="O136" s="33" t="n">
        <v>11.47259426116943</v>
      </c>
      <c r="P136" s="33" t="n">
        <v>8.368375778198242</v>
      </c>
    </row>
    <row r="137">
      <c r="B137" s="32" t="n">
        <v>44835</v>
      </c>
      <c r="C137" s="33" t="n">
        <v>38.92407608032227</v>
      </c>
      <c r="D137" s="33" t="n">
        <v>25.66648681640625</v>
      </c>
      <c r="E137" s="33" t="n">
        <v>3.135493469238281</v>
      </c>
      <c r="F137" s="33" t="n">
        <v>1.623800964355469</v>
      </c>
      <c r="G137" s="33" t="n">
        <v>1.510361022949219</v>
      </c>
      <c r="H137" s="33" t="n">
        <v>0.8273673248291016</v>
      </c>
      <c r="I137" s="33" t="n">
        <v>0.9495960235595703</v>
      </c>
      <c r="J137" s="33" t="n">
        <v>30.20775985717773</v>
      </c>
      <c r="K137" s="33" t="n">
        <v>8508.9599609375</v>
      </c>
      <c r="L137" s="33" t="n">
        <v>15.2967586517334</v>
      </c>
      <c r="M137" s="33" t="n">
        <v>58.04330062866211</v>
      </c>
      <c r="N137" s="33" t="n">
        <v>69.53214263916016</v>
      </c>
      <c r="O137" s="33" t="n">
        <v>13.20571708679199</v>
      </c>
      <c r="P137" s="33" t="n">
        <v>9.35401439666748</v>
      </c>
    </row>
    <row r="138">
      <c r="B138" s="32" t="n">
        <v>44866</v>
      </c>
      <c r="C138" s="33" t="n">
        <v>42.31569671630859</v>
      </c>
      <c r="D138" s="33" t="n">
        <v>26.19723876953125</v>
      </c>
      <c r="E138" s="33" t="n">
        <v>3.245887451171875</v>
      </c>
      <c r="F138" s="33" t="n">
        <v>1.635970001220703</v>
      </c>
      <c r="G138" s="33" t="n">
        <v>1.490409240722656</v>
      </c>
      <c r="H138" s="33" t="n">
        <v>0.8712275695800782</v>
      </c>
      <c r="I138" s="33" t="n">
        <v>0.9766759490966798</v>
      </c>
      <c r="J138" s="33" t="n">
        <v>31.44999313354492</v>
      </c>
      <c r="K138" s="33" t="n">
        <v>8701.470703125</v>
      </c>
      <c r="L138" s="33" t="n">
        <v>15.4555835723877</v>
      </c>
      <c r="M138" s="33" t="n">
        <v>60.03496551513672</v>
      </c>
      <c r="N138" s="33" t="n">
        <v>71.98462677001953</v>
      </c>
      <c r="O138" s="33" t="n">
        <v>13.35524082183838</v>
      </c>
      <c r="P138" s="33" t="n">
        <v>9.818214416503906</v>
      </c>
    </row>
    <row r="139">
      <c r="B139" s="32" t="n">
        <v>44896</v>
      </c>
      <c r="C139" s="33" t="n">
        <v>40.93265533447266</v>
      </c>
      <c r="D139" s="33" t="n">
        <v>25.8675244140625</v>
      </c>
      <c r="E139" s="33" t="n">
        <v>3.335773620605469</v>
      </c>
      <c r="F139" s="33" t="n">
        <v>1.633376617431641</v>
      </c>
      <c r="G139" s="33" t="n">
        <v>1.512356262207031</v>
      </c>
      <c r="H139" s="33" t="n">
        <v>0.875215072631836</v>
      </c>
      <c r="I139" s="33" t="n">
        <v>1.016540298461914</v>
      </c>
      <c r="J139" s="33" t="n">
        <v>25.98333930969238</v>
      </c>
      <c r="K139" s="33" t="n">
        <v>8807.654296875</v>
      </c>
      <c r="L139" s="33" t="n">
        <v>15.39209175109863</v>
      </c>
      <c r="M139" s="33" t="n">
        <v>58.98017883300781</v>
      </c>
      <c r="N139" s="33" t="n">
        <v>71.61714935302734</v>
      </c>
      <c r="O139" s="33" t="n">
        <v>12.89451313018799</v>
      </c>
      <c r="P139" s="33" t="n">
        <v>9.265251159667969</v>
      </c>
    </row>
    <row r="140">
      <c r="B140" s="32" t="n">
        <v>44927</v>
      </c>
      <c r="C140" s="33" t="n">
        <v>43.09358978271484</v>
      </c>
      <c r="D140" s="33" t="n">
        <v>25.3180029296875</v>
      </c>
      <c r="E140" s="33" t="n">
        <v>3.340767211914063</v>
      </c>
      <c r="F140" s="33" t="n">
        <v>1.655920715332031</v>
      </c>
      <c r="G140" s="33" t="n">
        <v>1.522332000732422</v>
      </c>
      <c r="H140" s="33" t="n">
        <v>0.8514580535888672</v>
      </c>
      <c r="I140" s="33" t="n">
        <v>0.964716796875</v>
      </c>
      <c r="J140" s="33" t="n">
        <v>29.63057518005371</v>
      </c>
      <c r="K140" s="33" t="n">
        <v>9477.1953125</v>
      </c>
      <c r="L140" s="33" t="n">
        <v>15.91884708404541</v>
      </c>
      <c r="M140" s="33" t="n">
        <v>61.1429557800293</v>
      </c>
      <c r="N140" s="33" t="n">
        <v>73.31869506835938</v>
      </c>
      <c r="O140" s="33" t="n">
        <v>13.5228328704834</v>
      </c>
      <c r="P140" s="33" t="n">
        <v>10.03135395050049</v>
      </c>
    </row>
    <row r="141">
      <c r="B141" s="32" t="n">
        <v>44958</v>
      </c>
      <c r="C141" s="33" t="n">
        <v>41.53986358642578</v>
      </c>
      <c r="D141" s="33" t="n">
        <v>24.6847900390625</v>
      </c>
      <c r="E141" s="33" t="n">
        <v>3.156001281738281</v>
      </c>
      <c r="F141" s="33" t="n">
        <v>1.5900830078125</v>
      </c>
      <c r="G141" s="33" t="n">
        <v>1.470457305908203</v>
      </c>
      <c r="H141" s="33" t="n">
        <v>0.8634222412109375</v>
      </c>
      <c r="I141" s="33" t="n">
        <v>0.9519322967529297</v>
      </c>
      <c r="J141" s="33" t="n">
        <v>27.99082565307617</v>
      </c>
      <c r="K141" s="33" t="n">
        <v>9939.4990234375</v>
      </c>
      <c r="L141" s="33" t="n">
        <v>15.8969841003418</v>
      </c>
      <c r="M141" s="33" t="n">
        <v>59.99032211303711</v>
      </c>
      <c r="N141" s="33" t="n">
        <v>72.98318481445312</v>
      </c>
      <c r="O141" s="33" t="n">
        <v>13.51585102081299</v>
      </c>
      <c r="P141" s="33" t="n">
        <v>10.18195629119873</v>
      </c>
    </row>
    <row r="142">
      <c r="B142" s="32" t="n">
        <v>44986</v>
      </c>
      <c r="C142" s="33" t="n">
        <v>42.59353637695312</v>
      </c>
      <c r="D142" s="33" t="n">
        <v>24.55739501953125</v>
      </c>
      <c r="E142" s="33" t="n">
        <v>3.126039428710937</v>
      </c>
      <c r="F142" s="33" t="n">
        <v>1.546394958496094</v>
      </c>
      <c r="G142" s="33" t="n">
        <v>1.444519805908203</v>
      </c>
      <c r="H142" s="33" t="n">
        <v>0.8016068267822266</v>
      </c>
      <c r="I142" s="33" t="n">
        <v>0.8492632293701172</v>
      </c>
      <c r="J142" s="33" t="n">
        <v>28.63526916503906</v>
      </c>
      <c r="K142" s="33" t="n">
        <v>9963.41015625</v>
      </c>
      <c r="L142" s="33" t="n">
        <v>15.88924312591553</v>
      </c>
      <c r="M142" s="33" t="n">
        <v>61.18072128295898</v>
      </c>
      <c r="N142" s="33" t="n">
        <v>73.92447662353516</v>
      </c>
      <c r="O142" s="33" t="n">
        <v>13.10857582092285</v>
      </c>
      <c r="P142" s="33" t="n">
        <v>9.710507392883301</v>
      </c>
    </row>
    <row r="143">
      <c r="B143" s="32" t="n">
        <v>45017</v>
      </c>
      <c r="C143" s="33" t="n">
        <v>43.72758102416992</v>
      </c>
      <c r="D143" s="33" t="n">
        <v>24.7347509765625</v>
      </c>
      <c r="E143" s="33" t="n">
        <v>3.170982360839844</v>
      </c>
      <c r="F143" s="33" t="n">
        <v>1.530431671142578</v>
      </c>
      <c r="G143" s="33" t="n">
        <v>1.464853668212891</v>
      </c>
      <c r="H143" s="33" t="n">
        <v>0.8207186889648438</v>
      </c>
      <c r="I143" s="33" t="n">
        <v>0.9160480499267578</v>
      </c>
      <c r="J143" s="33" t="n">
        <v>29.53410530090332</v>
      </c>
      <c r="K143" s="33" t="n">
        <v>9907.615234375</v>
      </c>
      <c r="L143" s="33" t="n">
        <v>16.06064605712891</v>
      </c>
      <c r="M143" s="33" t="n">
        <v>61.30438232421875</v>
      </c>
      <c r="N143" s="33" t="n">
        <v>73.83424377441406</v>
      </c>
      <c r="O143" s="33" t="n">
        <v>13.25924682617188</v>
      </c>
      <c r="P143" s="33" t="n">
        <v>9.821813583374023</v>
      </c>
    </row>
    <row r="144">
      <c r="B144" s="32" t="n">
        <v>45047</v>
      </c>
      <c r="C144" s="33" t="n">
        <v>41.34341430664062</v>
      </c>
      <c r="D144" s="33" t="n">
        <v>23.49211669921875</v>
      </c>
      <c r="E144" s="33" t="n">
        <v>3.151007690429688</v>
      </c>
      <c r="F144" s="33" t="n">
        <v>1.434857025146484</v>
      </c>
      <c r="G144" s="33" t="n">
        <v>1.387021026611328</v>
      </c>
      <c r="H144" s="33" t="n">
        <v>0.8027684783935547</v>
      </c>
      <c r="I144" s="33" t="n">
        <v>0.83646240234375</v>
      </c>
      <c r="J144" s="33" t="n">
        <v>30.75762367248535</v>
      </c>
      <c r="K144" s="33" t="n">
        <v>10624.98046875</v>
      </c>
      <c r="L144" s="33" t="n">
        <v>15.9618034362793</v>
      </c>
      <c r="M144" s="33" t="n">
        <v>60.54945755004883</v>
      </c>
      <c r="N144" s="33" t="n">
        <v>73.85884857177734</v>
      </c>
      <c r="O144" s="33" t="n">
        <v>13.44579696655273</v>
      </c>
      <c r="P144" s="33" t="n">
        <v>9.916253089904785</v>
      </c>
    </row>
    <row r="145">
      <c r="B145" s="32" t="n">
        <v>45078</v>
      </c>
      <c r="C145" s="33" t="n">
        <v>42.53430557250977</v>
      </c>
      <c r="D145" s="33" t="n">
        <v>23.63201416015625</v>
      </c>
      <c r="E145" s="33" t="n">
        <v>3.126585693359375</v>
      </c>
      <c r="F145" s="33" t="n">
        <v>1.339066772460938</v>
      </c>
      <c r="G145" s="33" t="n">
        <v>1.291226501464844</v>
      </c>
      <c r="H145" s="33" t="n">
        <v>0.7658710479736328</v>
      </c>
      <c r="I145" s="33" t="n">
        <v>0.7816288757324219</v>
      </c>
      <c r="J145" s="33" t="n">
        <v>31.28039360046387</v>
      </c>
      <c r="K145" s="33" t="n">
        <v>10432.2568359375</v>
      </c>
      <c r="L145" s="33" t="n">
        <v>16.42875099182129</v>
      </c>
      <c r="M145" s="33" t="n">
        <v>61.62736129760742</v>
      </c>
      <c r="N145" s="33" t="n">
        <v>74.572509765625</v>
      </c>
      <c r="O145" s="33" t="n">
        <v>13.8301477432251</v>
      </c>
      <c r="P145" s="33" t="n">
        <v>10.36147117614746</v>
      </c>
    </row>
    <row r="146">
      <c r="B146" s="32" t="n">
        <v>45108</v>
      </c>
      <c r="C146" s="33" t="n">
        <v>43.31341934204102</v>
      </c>
      <c r="D146" s="33" t="n">
        <v>23.97675537109375</v>
      </c>
      <c r="E146" s="33" t="n">
        <v>3.126585693359375</v>
      </c>
      <c r="F146" s="33" t="n">
        <v>1.309132385253906</v>
      </c>
      <c r="G146" s="33" t="n">
        <v>1.313179321289063</v>
      </c>
      <c r="H146" s="33" t="n">
        <v>0.807925796508789</v>
      </c>
      <c r="I146" s="33" t="n">
        <v>0.7626862335205078</v>
      </c>
      <c r="J146" s="33" t="n">
        <v>30.58622169494629</v>
      </c>
      <c r="K146" s="33" t="n">
        <v>9964.0361328125</v>
      </c>
      <c r="L146" s="33" t="n">
        <v>16.53063774108887</v>
      </c>
      <c r="M146" s="33" t="n">
        <v>62.31486511230469</v>
      </c>
      <c r="N146" s="33" t="n">
        <v>75.16310882568359</v>
      </c>
      <c r="O146" s="33" t="n">
        <v>14.4263391494751</v>
      </c>
      <c r="P146" s="33" t="n">
        <v>10.9433126449585</v>
      </c>
    </row>
    <row r="147">
      <c r="B147" s="32" t="n">
        <v>45139</v>
      </c>
      <c r="C147" s="33" t="n">
        <v>41.16632461547852</v>
      </c>
      <c r="D147" s="33" t="n">
        <v>22.984287109375</v>
      </c>
      <c r="E147" s="33" t="n">
        <v>3.076640319824219</v>
      </c>
      <c r="F147" s="33" t="n">
        <v>1.335298614501953</v>
      </c>
      <c r="G147" s="33" t="n">
        <v>1.317171020507812</v>
      </c>
      <c r="H147" s="33" t="n">
        <v>0.8298695373535157</v>
      </c>
      <c r="I147" s="33" t="n">
        <v>0.7508949279785156</v>
      </c>
      <c r="J147" s="33" t="n">
        <v>27.67513847351074</v>
      </c>
      <c r="K147" s="33" t="n">
        <v>10062.609375</v>
      </c>
      <c r="L147" s="33" t="n">
        <v>16.73986053466797</v>
      </c>
      <c r="M147" s="33" t="n">
        <v>62.4293212890625</v>
      </c>
      <c r="N147" s="33" t="n">
        <v>75.22872924804688</v>
      </c>
      <c r="O147" s="33" t="n">
        <v>14.34537410736084</v>
      </c>
      <c r="P147" s="33" t="n">
        <v>10.93637847900391</v>
      </c>
    </row>
    <row r="148">
      <c r="B148" s="32" t="n">
        <v>45170</v>
      </c>
      <c r="C148" s="33" t="n">
        <v>39.21853256225586</v>
      </c>
      <c r="D148" s="33" t="n">
        <v>22.61954345703125</v>
      </c>
      <c r="E148" s="33" t="n">
        <v>3.041678771972656</v>
      </c>
      <c r="F148" s="33" t="n">
        <v>1.569873809814453</v>
      </c>
      <c r="G148" s="33" t="n">
        <v>1.235732574462891</v>
      </c>
      <c r="H148" s="33" t="n">
        <v>0.8298695373535157</v>
      </c>
      <c r="I148" s="33" t="n">
        <v>0.6751071929931641</v>
      </c>
      <c r="J148" s="33" t="n">
        <v>25.49825096130371</v>
      </c>
      <c r="K148" s="33" t="n">
        <v>10029.7509765625</v>
      </c>
      <c r="L148" s="33" t="n">
        <v>16.79471588134766</v>
      </c>
      <c r="M148" s="33" t="n">
        <v>61.42198944091797</v>
      </c>
      <c r="N148" s="33" t="n">
        <v>75.36515808105469</v>
      </c>
      <c r="O148" s="33" t="n">
        <v>14.68761730194092</v>
      </c>
      <c r="P148" s="33" t="n">
        <v>11.11668586730957</v>
      </c>
    </row>
    <row r="149">
      <c r="B149" s="32" t="n">
        <v>45200</v>
      </c>
      <c r="C149" s="33" t="n">
        <v>38.16763305664062</v>
      </c>
      <c r="D149" s="33" t="n">
        <v>22.4946240234375</v>
      </c>
      <c r="E149" s="33" t="n">
        <v>2.986738586425781</v>
      </c>
      <c r="F149" s="33" t="n">
        <v>1.189593505859375</v>
      </c>
      <c r="G149" s="33" t="n">
        <v>1.161868057250977</v>
      </c>
      <c r="H149" s="33" t="n">
        <v>0.7771788024902344</v>
      </c>
      <c r="I149" s="33" t="n">
        <v>0.6122833251953125</v>
      </c>
      <c r="J149" s="33" t="n">
        <v>19.6353874206543</v>
      </c>
      <c r="K149" s="33" t="n">
        <v>9873.6787109375</v>
      </c>
      <c r="L149" s="33" t="n">
        <v>16.76265335083008</v>
      </c>
      <c r="M149" s="33" t="n">
        <v>60.78128433227539</v>
      </c>
      <c r="N149" s="33" t="n">
        <v>75.29751586914062</v>
      </c>
      <c r="O149" s="33" t="n">
        <v>14.30288791656494</v>
      </c>
      <c r="P149" s="33" t="n">
        <v>10.60124015808105</v>
      </c>
    </row>
    <row r="150">
      <c r="B150" s="32" t="n">
        <v>45231</v>
      </c>
      <c r="C150" s="33" t="n">
        <v>41.72800827026367</v>
      </c>
      <c r="D150" s="33" t="n">
        <v>23.0505810546875</v>
      </c>
      <c r="E150" s="33" t="n">
        <v>3.262017822265625</v>
      </c>
      <c r="F150" s="33" t="n">
        <v>1.367439575195313</v>
      </c>
      <c r="G150" s="33" t="n">
        <v>1.281648559570312</v>
      </c>
      <c r="H150" s="33" t="n">
        <v>0.8220735168457032</v>
      </c>
      <c r="I150" s="33" t="n">
        <v>0.6603237152099609</v>
      </c>
      <c r="J150" s="33" t="n">
        <v>23.0562858581543</v>
      </c>
      <c r="K150" s="33" t="n">
        <v>10194.0390625</v>
      </c>
      <c r="L150" s="33" t="n">
        <v>16.97381210327148</v>
      </c>
      <c r="M150" s="33" t="n">
        <v>63.75205993652344</v>
      </c>
      <c r="N150" s="33" t="n">
        <v>77.56363677978516</v>
      </c>
      <c r="O150" s="33" t="n">
        <v>14.95165157318115</v>
      </c>
      <c r="P150" s="33" t="n">
        <v>11.29990863800049</v>
      </c>
    </row>
    <row r="151">
      <c r="B151" s="32" t="n">
        <v>45261</v>
      </c>
      <c r="C151" s="33" t="n">
        <v>43.44584274291992</v>
      </c>
      <c r="D151" s="33" t="n">
        <v>23.85507568359375</v>
      </c>
      <c r="E151" s="33" t="n">
        <v>3.212063598632813</v>
      </c>
      <c r="F151" s="33" t="n">
        <v>1.383409729003906</v>
      </c>
      <c r="G151" s="33" t="n">
        <v>1.371483306884766</v>
      </c>
      <c r="H151" s="33" t="n">
        <v>0.852003402709961</v>
      </c>
      <c r="I151" s="33" t="n">
        <v>0.7181768035888672</v>
      </c>
      <c r="J151" s="33" t="n">
        <v>27.7115421295166</v>
      </c>
      <c r="K151" s="33" t="n">
        <v>10545.6142578125</v>
      </c>
      <c r="L151" s="33" t="n">
        <v>17.32160186767578</v>
      </c>
      <c r="M151" s="33" t="n">
        <v>65.78736877441406</v>
      </c>
      <c r="N151" s="33" t="n">
        <v>79.73674011230469</v>
      </c>
      <c r="O151" s="33" t="n">
        <v>15.47766971588135</v>
      </c>
      <c r="P151" s="33" t="n">
        <v>11.76855850219727</v>
      </c>
    </row>
    <row r="152">
      <c r="B152" s="32" t="n">
        <v>45292</v>
      </c>
      <c r="C152" s="33" t="n">
        <v>41.89453506469727</v>
      </c>
      <c r="D152" s="33" t="n">
        <v>23.520283203125</v>
      </c>
      <c r="E152" s="33" t="n">
        <v>3.301981506347656</v>
      </c>
      <c r="F152" s="33" t="n">
        <v>1.283596496582031</v>
      </c>
      <c r="G152" s="33" t="n">
        <v>1.295622711181641</v>
      </c>
      <c r="H152" s="33" t="n">
        <v>0.8272312164306641</v>
      </c>
      <c r="I152" s="33" t="n">
        <v>0.7441109466552734</v>
      </c>
      <c r="J152" s="33" t="n">
        <v>27.6235408782959</v>
      </c>
      <c r="K152" s="33" t="n">
        <v>10562.56640625</v>
      </c>
      <c r="L152" s="33" t="n">
        <v>17.29449844360352</v>
      </c>
      <c r="M152" s="33" t="n">
        <v>65.86386871337891</v>
      </c>
      <c r="N152" s="33" t="n">
        <v>79.58453369140625</v>
      </c>
      <c r="O152" s="33" t="n">
        <v>15.6322135925293</v>
      </c>
      <c r="P152" s="33" t="n">
        <v>11.94464778900146</v>
      </c>
    </row>
    <row r="153">
      <c r="B153" s="32" t="n">
        <v>45323</v>
      </c>
      <c r="C153" s="33" t="n">
        <v>42.14384841918945</v>
      </c>
      <c r="D153" s="33" t="n">
        <v>23.57411865234375</v>
      </c>
      <c r="E153" s="33" t="n">
        <v>3.346940307617188</v>
      </c>
      <c r="F153" s="33" t="n">
        <v>1.223910980224609</v>
      </c>
      <c r="G153" s="33" t="n">
        <v>1.259688568115234</v>
      </c>
      <c r="H153" s="33" t="n">
        <v>0.7982929992675781</v>
      </c>
      <c r="I153" s="33" t="n">
        <v>0.7243384552001954</v>
      </c>
      <c r="J153" s="33" t="n">
        <v>25.42399978637695</v>
      </c>
      <c r="K153" s="33" t="n">
        <v>10791.4521484375</v>
      </c>
      <c r="L153" s="33" t="n">
        <v>17.49927711486816</v>
      </c>
      <c r="M153" s="33" t="n">
        <v>66.06379699707031</v>
      </c>
      <c r="N153" s="33" t="n">
        <v>79.89738464355469</v>
      </c>
      <c r="O153" s="33" t="n">
        <v>15.6322135925293</v>
      </c>
      <c r="P153" s="33" t="n">
        <v>11.94464778900146</v>
      </c>
    </row>
    <row r="154">
      <c r="B154" s="32" t="n">
        <v>45352</v>
      </c>
      <c r="C154" s="33" t="n">
        <v>43.9721794128418</v>
      </c>
      <c r="D154" s="33" t="n">
        <v>24.246240234375</v>
      </c>
      <c r="E154" s="33" t="n">
        <v>3.262017822265625</v>
      </c>
      <c r="F154" s="33" t="n">
        <v>1.557960815429688</v>
      </c>
      <c r="G154" s="33" t="n">
        <v>1.237728881835938</v>
      </c>
      <c r="H154" s="33" t="n">
        <v>0.8092696380615234</v>
      </c>
      <c r="I154" s="33" t="n">
        <v>0.7213452911376953</v>
      </c>
      <c r="J154" s="33" t="n">
        <v>27.86106109619141</v>
      </c>
      <c r="K154" s="33" t="n">
        <v>10850.791015625</v>
      </c>
      <c r="L154" s="33" t="n">
        <v>17.64553451538086</v>
      </c>
      <c r="M154" s="33" t="n">
        <v>66.78377532958984</v>
      </c>
      <c r="N154" s="33" t="n">
        <v>79.91471862792969</v>
      </c>
      <c r="O154" s="33" t="n">
        <v>16.46853065490723</v>
      </c>
      <c r="P154" s="33" t="n">
        <v>12.39954090118408</v>
      </c>
    </row>
    <row r="155">
      <c r="B155" s="32" t="n">
        <v>45383</v>
      </c>
      <c r="C155" s="33" t="n">
        <v>43.68592834472656</v>
      </c>
      <c r="D155" s="33" t="n">
        <v>24.0713330078125</v>
      </c>
      <c r="E155" s="33" t="n">
        <v>3.326958312988281</v>
      </c>
      <c r="F155" s="33" t="n">
        <v>1.219917831420898</v>
      </c>
      <c r="G155" s="33" t="n">
        <v>1.264094085693359</v>
      </c>
      <c r="H155" s="33" t="n">
        <v>0.7964641571044923</v>
      </c>
      <c r="I155" s="33" t="n">
        <v>0.764246826171875</v>
      </c>
      <c r="J155" s="33" t="n">
        <v>23.98675727844238</v>
      </c>
      <c r="K155" s="33" t="n">
        <v>10681.2490234375</v>
      </c>
      <c r="L155" s="33" t="n">
        <v>17.68531608581543</v>
      </c>
      <c r="M155" s="33" t="n">
        <v>65.88137817382812</v>
      </c>
      <c r="N155" s="33" t="n">
        <v>79.77518463134766</v>
      </c>
      <c r="O155" s="33" t="n">
        <v>16.30242156982422</v>
      </c>
      <c r="P155" s="33" t="n">
        <v>12.5564022064209</v>
      </c>
    </row>
    <row r="156">
      <c r="B156" s="32" t="n">
        <v>45413</v>
      </c>
      <c r="C156" s="33" t="n">
        <v>46.55768966674805</v>
      </c>
      <c r="D156" s="33" t="n">
        <v>24.32759521484375</v>
      </c>
      <c r="E156" s="33" t="n">
        <v>3.381908569335938</v>
      </c>
      <c r="F156" s="33" t="n">
        <v>1.242087020874024</v>
      </c>
      <c r="G156" s="33" t="n">
        <v>1.248118286132813</v>
      </c>
      <c r="H156" s="33" t="n">
        <v>0.7954660797119141</v>
      </c>
      <c r="I156" s="33" t="n">
        <v>0.7873748779296875</v>
      </c>
      <c r="J156" s="33" t="n">
        <v>26.15720367431641</v>
      </c>
      <c r="K156" s="33" t="n">
        <v>10698.2021484375</v>
      </c>
      <c r="L156" s="33" t="n">
        <v>17.87639045715332</v>
      </c>
      <c r="M156" s="33" t="n">
        <v>66.95780944824219</v>
      </c>
      <c r="N156" s="33" t="n">
        <v>80.31591796875</v>
      </c>
      <c r="O156" s="33" t="n">
        <v>17.06177711486816</v>
      </c>
      <c r="P156" s="33" t="n">
        <v>13.06167411804199</v>
      </c>
    </row>
    <row r="157">
      <c r="B157" s="32" t="n">
        <v>45444</v>
      </c>
      <c r="C157" s="33" t="n">
        <v>44.99994659423828</v>
      </c>
      <c r="D157" s="33" t="n">
        <v>24.06273193359375</v>
      </c>
      <c r="E157" s="33" t="n">
        <v>3.202655334472656</v>
      </c>
      <c r="F157" s="33" t="n">
        <v>1.242087020874024</v>
      </c>
      <c r="G157" s="33" t="n">
        <v>1.274079055786133</v>
      </c>
      <c r="H157" s="33" t="n">
        <v>0.7984601593017578</v>
      </c>
      <c r="I157" s="33" t="n">
        <v>0.8003480529785156</v>
      </c>
      <c r="J157" s="33" t="n">
        <v>24.8443660736084</v>
      </c>
      <c r="K157" s="33" t="n">
        <v>10803.3525390625</v>
      </c>
      <c r="L157" s="33" t="n">
        <v>17.93087577819824</v>
      </c>
      <c r="M157" s="33" t="n">
        <v>67.27875518798828</v>
      </c>
      <c r="N157" s="33" t="n">
        <v>80.54267120361328</v>
      </c>
      <c r="O157" s="33" t="n">
        <v>16.86494255065918</v>
      </c>
      <c r="P157" s="33" t="n">
        <v>12.90330505371094</v>
      </c>
    </row>
    <row r="158">
      <c r="B158" s="32" t="n">
        <v>45474</v>
      </c>
      <c r="C158" s="33" t="n">
        <v>47.01893615722656</v>
      </c>
      <c r="D158" s="33" t="n">
        <v>25.35207763671875</v>
      </c>
      <c r="E158" s="33" t="n">
        <v>3.492443237304688</v>
      </c>
      <c r="F158" s="33" t="n">
        <v>1.268255996704102</v>
      </c>
      <c r="G158" s="33" t="n">
        <v>1.306031036376953</v>
      </c>
      <c r="H158" s="33" t="n">
        <v>0.8215901947021484</v>
      </c>
      <c r="I158" s="33" t="n">
        <v>0.8402657318115234</v>
      </c>
      <c r="J158" s="33" t="n">
        <v>28.59274482727051</v>
      </c>
      <c r="K158" s="33" t="n">
        <v>10759.650390625</v>
      </c>
      <c r="L158" s="33" t="n">
        <v>18.02706718444824</v>
      </c>
      <c r="M158" s="33" t="n">
        <v>68.86132049560547</v>
      </c>
      <c r="N158" s="33" t="n">
        <v>81.65029907226562</v>
      </c>
      <c r="O158" s="33" t="n">
        <v>16.94586563110352</v>
      </c>
      <c r="P158" s="33" t="n">
        <v>12.90562915802002</v>
      </c>
    </row>
    <row r="159">
      <c r="B159" s="32" t="n">
        <v>45505</v>
      </c>
      <c r="C159" s="33" t="n">
        <v>49.1412239074707</v>
      </c>
      <c r="D159" s="33" t="n">
        <v>25.40890380859375</v>
      </c>
      <c r="E159" s="33" t="n">
        <v>3.417498168945313</v>
      </c>
      <c r="F159" s="33" t="n">
        <v>1.260267028808594</v>
      </c>
      <c r="G159" s="33" t="n">
        <v>1.274079055786133</v>
      </c>
      <c r="H159" s="33" t="n">
        <v>0.7976313018798828</v>
      </c>
      <c r="I159" s="33" t="n">
        <v>0.7905406951904297</v>
      </c>
      <c r="J159" s="33" t="n">
        <v>29.47614860534668</v>
      </c>
      <c r="K159" s="33" t="n">
        <v>10523.6552734375</v>
      </c>
      <c r="L159" s="33" t="n">
        <v>18.22831153869629</v>
      </c>
      <c r="M159" s="33" t="n">
        <v>69.92691040039062</v>
      </c>
      <c r="N159" s="33" t="n">
        <v>82.38289642333984</v>
      </c>
      <c r="O159" s="33" t="n">
        <v>17.05916213989258</v>
      </c>
      <c r="P159" s="33" t="n">
        <v>12.73520565032959</v>
      </c>
    </row>
    <row r="160">
      <c r="B160" s="32" t="n">
        <v>45536</v>
      </c>
      <c r="C160" s="33" t="n">
        <v>51.11325454711914</v>
      </c>
      <c r="D160" s="33" t="n">
        <v>25.6188134765625</v>
      </c>
      <c r="E160" s="33" t="n">
        <v>3.412501525878906</v>
      </c>
      <c r="F160" s="33" t="n">
        <v>1.318187561035156</v>
      </c>
      <c r="G160" s="33" t="n">
        <v>1.282479553222656</v>
      </c>
      <c r="H160" s="33" t="n">
        <v>0.8006261444091797</v>
      </c>
      <c r="I160" s="33" t="n">
        <v>0.7875462341308594</v>
      </c>
      <c r="J160" s="33" t="n">
        <v>32.12578964233398</v>
      </c>
      <c r="K160" s="33" t="n">
        <v>10270.177734375</v>
      </c>
      <c r="L160" s="33" t="n">
        <v>18.32382583618164</v>
      </c>
      <c r="M160" s="33" t="n">
        <v>71.11360931396484</v>
      </c>
      <c r="N160" s="33" t="n">
        <v>83.06790924072266</v>
      </c>
      <c r="O160" s="33" t="n">
        <v>17.34853935241699</v>
      </c>
      <c r="P160" s="33" t="n">
        <v>12.82816219329834</v>
      </c>
    </row>
    <row r="161">
      <c r="B161" s="32" t="n">
        <v>45566</v>
      </c>
      <c r="C161" s="33" t="n">
        <v>50.45591354370117</v>
      </c>
      <c r="D161" s="33" t="n">
        <v>26.2235498046875</v>
      </c>
      <c r="E161" s="33" t="n">
        <v>3.197658996582031</v>
      </c>
      <c r="F161" s="33" t="n">
        <v>1.230308303833008</v>
      </c>
      <c r="G161" s="33" t="n">
        <v>1.276486663818359</v>
      </c>
      <c r="H161" s="33" t="n">
        <v>0.7558670806884766</v>
      </c>
      <c r="I161" s="33" t="n">
        <v>0.7408003997802735</v>
      </c>
      <c r="J161" s="33" t="n">
        <v>31.3923225402832</v>
      </c>
      <c r="K161" s="33" t="n">
        <v>10418.7666015625</v>
      </c>
      <c r="L161" s="33" t="n">
        <v>18.45025253295898</v>
      </c>
      <c r="M161" s="33" t="n">
        <v>70.42835998535156</v>
      </c>
      <c r="N161" s="33" t="n">
        <v>83.31067657470703</v>
      </c>
      <c r="O161" s="33" t="n">
        <v>17.51423835754395</v>
      </c>
      <c r="P161" s="33" t="n">
        <v>12.95009326934814</v>
      </c>
    </row>
    <row r="162">
      <c r="B162" s="32" t="n">
        <v>45597</v>
      </c>
      <c r="C162" s="33" t="n">
        <v>52.30587005615234</v>
      </c>
      <c r="D162" s="33" t="n">
        <v>27.279453125</v>
      </c>
      <c r="E162" s="33" t="n">
        <v>3.23324951171875</v>
      </c>
      <c r="F162" s="33" t="n">
        <v>1.194560699462891</v>
      </c>
      <c r="G162" s="33" t="n">
        <v>1.258507919311523</v>
      </c>
      <c r="H162" s="33" t="n">
        <v>0.7918131256103516</v>
      </c>
      <c r="I162" s="33" t="n">
        <v>0.7148426818847656</v>
      </c>
      <c r="J162" s="33" t="n">
        <v>32.43319702148438</v>
      </c>
      <c r="K162" s="33" t="n">
        <v>9824.4072265625</v>
      </c>
      <c r="L162" s="33" t="n">
        <v>18.67216110229492</v>
      </c>
      <c r="M162" s="33" t="n">
        <v>71.58657836914062</v>
      </c>
      <c r="N162" s="33" t="n">
        <v>84.08390045166016</v>
      </c>
      <c r="O162" s="33" t="n">
        <v>18.35101318359375</v>
      </c>
      <c r="P162" s="33" t="n">
        <v>13.49997615814209</v>
      </c>
    </row>
    <row r="163">
      <c r="B163" s="32" t="n">
        <v>45627</v>
      </c>
      <c r="C163" s="33" t="n">
        <v>49.88106536865234</v>
      </c>
      <c r="D163" s="33" t="n">
        <v>25.80252197265625</v>
      </c>
      <c r="E163" s="33" t="n">
        <v>3.173281860351563</v>
      </c>
      <c r="F163" s="33" t="n">
        <v>1.186570434570313</v>
      </c>
      <c r="G163" s="33" t="n">
        <v>1.210564804077148</v>
      </c>
      <c r="H163" s="33" t="n">
        <v>0.7868206024169923</v>
      </c>
      <c r="I163" s="33" t="n">
        <v>0.70685546875</v>
      </c>
      <c r="J163" s="33" t="n">
        <v>29.4838809967041</v>
      </c>
      <c r="K163" s="33" t="n">
        <v>9584.078125</v>
      </c>
      <c r="L163" s="33" t="n">
        <v>18.74327087402344</v>
      </c>
      <c r="M163" s="33" t="n">
        <v>71.02802276611328</v>
      </c>
      <c r="N163" s="33" t="n">
        <v>84.29070281982422</v>
      </c>
      <c r="O163" s="33" t="n">
        <v>18.53861618041992</v>
      </c>
      <c r="P163" s="33" t="n">
        <v>13.60809326171875</v>
      </c>
    </row>
    <row r="164">
      <c r="B164" s="32" t="n">
        <v>45658</v>
      </c>
      <c r="C164" s="33" t="n">
        <v>50.75901412963867</v>
      </c>
      <c r="D164" s="33" t="n">
        <v>26.404794921875</v>
      </c>
      <c r="E164" s="33" t="n">
        <v>3.183276672363281</v>
      </c>
      <c r="F164" s="33" t="n">
        <v>1.12864013671875</v>
      </c>
      <c r="G164" s="33" t="n">
        <v>1.126664352416992</v>
      </c>
      <c r="H164" s="33" t="n">
        <v>0.7720124816894531</v>
      </c>
      <c r="I164" s="33" t="n">
        <v>0.730816650390625</v>
      </c>
      <c r="J164" s="33" t="n">
        <v>30.42988777160645</v>
      </c>
      <c r="K164" s="33" t="n">
        <v>9502.6279296875</v>
      </c>
      <c r="L164" s="33" t="n">
        <v>18.83591651916504</v>
      </c>
      <c r="M164" s="33" t="n">
        <v>71.99435424804688</v>
      </c>
      <c r="N164" s="33" t="n">
        <v>85.08190155029297</v>
      </c>
      <c r="O164" s="33" t="n">
        <v>20.04609680175781</v>
      </c>
      <c r="P164" s="33" t="n">
        <v>14.32818508148193</v>
      </c>
    </row>
    <row r="165">
      <c r="B165" s="32" t="n">
        <v>45689</v>
      </c>
      <c r="C165" s="33" t="n">
        <v>51.02622222900391</v>
      </c>
      <c r="D165" s="33" t="n">
        <v>26.29113037109375</v>
      </c>
      <c r="E165" s="33" t="n">
        <v>3.148295288085937</v>
      </c>
      <c r="F165" s="33" t="n">
        <v>1.104669036865234</v>
      </c>
      <c r="G165" s="33" t="n">
        <v>1.120671310424805</v>
      </c>
      <c r="H165" s="33" t="n">
        <v>0.7770059204101563</v>
      </c>
      <c r="I165" s="33" t="n">
        <v>0.7459729766845703</v>
      </c>
      <c r="J165" s="33" t="n">
        <v>29.82234191894531</v>
      </c>
      <c r="K165" s="33" t="n">
        <v>10136.1357421875</v>
      </c>
      <c r="L165" s="33" t="n">
        <v>18.85575103759766</v>
      </c>
      <c r="M165" s="33" t="n">
        <v>72.69285583496094</v>
      </c>
      <c r="N165" s="33" t="n">
        <v>85.60338592529297</v>
      </c>
      <c r="O165" s="33" t="n">
        <v>19.80049896240234</v>
      </c>
      <c r="P165" s="33" t="n">
        <v>14.360915184021</v>
      </c>
    </row>
    <row r="166">
      <c r="B166" s="32" t="n">
        <v>45717</v>
      </c>
      <c r="C166" s="33" t="n">
        <v>52.1713752746582</v>
      </c>
      <c r="D166" s="33" t="n">
        <v>26.18116943359375</v>
      </c>
      <c r="E166" s="33" t="n">
        <v>3.183276672363281</v>
      </c>
      <c r="F166" s="33" t="n">
        <v>1.124851150512695</v>
      </c>
      <c r="G166" s="33" t="n">
        <v>1.118673706054688</v>
      </c>
      <c r="H166" s="33" t="n">
        <v>0.78199951171875</v>
      </c>
      <c r="I166" s="33" t="n">
        <v>0.7120197296142579</v>
      </c>
      <c r="J166" s="33" t="n">
        <v>28.0078067779541</v>
      </c>
      <c r="K166" s="33" t="n">
        <v>9837.482421875</v>
      </c>
      <c r="L166" s="33" t="n">
        <v>18.71881866455078</v>
      </c>
      <c r="M166" s="33" t="n">
        <v>71.90354919433594</v>
      </c>
      <c r="N166" s="33" t="n">
        <v>84.74342346191406</v>
      </c>
      <c r="O166" s="33" t="n">
        <v>19.19706726074219</v>
      </c>
      <c r="P166" s="33" t="n">
        <v>13.71447086334229</v>
      </c>
    </row>
    <row r="167">
      <c r="B167" s="32" t="n">
        <v>45748</v>
      </c>
      <c r="C167" s="33" t="n">
        <v>53.81276321411133</v>
      </c>
      <c r="D167" s="33" t="n">
        <v>25.498896484375</v>
      </c>
      <c r="E167" s="33" t="n">
        <v>3.243244018554687</v>
      </c>
      <c r="F167" s="33" t="n">
        <v>1.162812347412109</v>
      </c>
      <c r="G167" s="33" t="n">
        <v>1.111084518432617</v>
      </c>
      <c r="H167" s="33" t="n">
        <v>0.757031478881836</v>
      </c>
      <c r="I167" s="33" t="n">
        <v>0.7140170288085937</v>
      </c>
      <c r="J167" s="33" t="n">
        <v>28.21464347839355</v>
      </c>
      <c r="K167" s="33" t="n">
        <v>10371.439453125</v>
      </c>
      <c r="L167" s="33" t="n">
        <v>18.85140419006348</v>
      </c>
      <c r="M167" s="33" t="n">
        <v>71.98780822753906</v>
      </c>
      <c r="N167" s="33" t="n">
        <v>85.05800628662109</v>
      </c>
      <c r="O167" s="33" t="n">
        <v>17.89762496948242</v>
      </c>
      <c r="P167" s="33" t="n">
        <v>12.79065418243408</v>
      </c>
    </row>
    <row r="168">
      <c r="B168" s="32" t="n">
        <v>45778</v>
      </c>
      <c r="C168" s="33" t="n">
        <v>56.3034782409668</v>
      </c>
      <c r="D168" s="33" t="n">
        <v>25.3679248046875</v>
      </c>
      <c r="E168" s="33" t="n">
        <v>3.343190002441407</v>
      </c>
      <c r="F168" s="33" t="n">
        <v>1.159028091430664</v>
      </c>
      <c r="G168" s="33" t="n">
        <v>1.157046661376953</v>
      </c>
      <c r="H168" s="33" t="n">
        <v>0.7891695404052734</v>
      </c>
      <c r="I168" s="33" t="n">
        <v>0.7101906585693359</v>
      </c>
      <c r="J168" s="33" t="n">
        <v>31.53903198242188</v>
      </c>
      <c r="K168" s="33" t="n">
        <v>10615.7919921875</v>
      </c>
      <c r="L168" s="33" t="n">
        <v>19.12907981872559</v>
      </c>
      <c r="M168" s="33" t="n">
        <v>73.24991607666016</v>
      </c>
      <c r="N168" s="33" t="n">
        <v>86.44589233398438</v>
      </c>
      <c r="O168" s="33" t="n">
        <v>19.10177421569824</v>
      </c>
      <c r="P168" s="33" t="n">
        <v>13.55490207672119</v>
      </c>
    </row>
    <row r="169">
      <c r="B169" s="32" t="n">
        <v>45809</v>
      </c>
      <c r="C169" s="33" t="n">
        <v>57.44466018676758</v>
      </c>
      <c r="D169" s="33" t="n">
        <v>25.16798095703125</v>
      </c>
      <c r="E169" s="33" t="n">
        <v>3.423743286132813</v>
      </c>
      <c r="F169" s="33" t="n">
        <v>1.171017990112305</v>
      </c>
      <c r="G169" s="33" t="n">
        <v>1.187021942138672</v>
      </c>
      <c r="H169" s="33" t="n">
        <v>0.8141432952880859</v>
      </c>
      <c r="I169" s="33" t="n">
        <v>0.7351622009277344</v>
      </c>
      <c r="J169" s="33" t="n">
        <v>31.91053009033203</v>
      </c>
      <c r="K169" s="33" t="n">
        <v>10733.14453125</v>
      </c>
      <c r="L169" s="33" t="n">
        <v>19.29111671447754</v>
      </c>
      <c r="M169" s="33" t="n">
        <v>74.59663391113281</v>
      </c>
      <c r="N169" s="33" t="n">
        <v>86.63093566894531</v>
      </c>
      <c r="O169" s="33" t="n">
        <v>19.44267654418945</v>
      </c>
      <c r="P169" s="33" t="n">
        <v>13.67248058319092</v>
      </c>
    </row>
    <row r="170">
      <c r="B170" s="32" t="n">
        <v>45839</v>
      </c>
      <c r="C170" s="33" t="n">
        <v>57.32821655273438</v>
      </c>
      <c r="D170" s="33" t="n">
        <v>26.15520263671875</v>
      </c>
      <c r="E170" s="33" t="n">
        <v>3.503713684082031</v>
      </c>
      <c r="F170" s="33" t="n">
        <v>1.209194107055664</v>
      </c>
      <c r="G170" s="33" t="n">
        <v>1.226989059448242</v>
      </c>
      <c r="H170" s="33" t="n">
        <v>0.7993268585205078</v>
      </c>
      <c r="I170" s="33" t="n">
        <v>0.7831076049804687</v>
      </c>
      <c r="J170" s="33" t="n">
        <v>29.71965599060059</v>
      </c>
      <c r="K170" s="33" t="n">
        <v>11032.3271484375</v>
      </c>
      <c r="L170" s="33" t="n">
        <v>19.41022682189941</v>
      </c>
      <c r="M170" s="33" t="n">
        <v>74.69792938232422</v>
      </c>
      <c r="N170" s="33" t="n">
        <v>87.39889526367188</v>
      </c>
      <c r="O170" s="33" t="n">
        <v>20.03587532043457</v>
      </c>
      <c r="P170" s="33" t="n">
        <v>13.96507358551025</v>
      </c>
    </row>
    <row r="171">
      <c r="B171" s="32" t="n">
        <v>45870</v>
      </c>
      <c r="C171" s="33" t="n">
        <v>58.5605583190918</v>
      </c>
      <c r="D171" s="33" t="n">
        <v>25.79716796875</v>
      </c>
      <c r="E171" s="33" t="n">
        <v>3.408748779296875</v>
      </c>
      <c r="F171" s="33" t="n">
        <v>1.197202072143555</v>
      </c>
      <c r="G171" s="33" t="n">
        <v>1.201217346191406</v>
      </c>
      <c r="H171" s="33" t="n">
        <v>0.7863376617431641</v>
      </c>
      <c r="I171" s="33" t="n">
        <v>0.7303343963623047</v>
      </c>
      <c r="J171" s="33" t="n">
        <v>30.36830711364746</v>
      </c>
      <c r="K171" s="33" t="n">
        <v>10892.0849609375</v>
      </c>
      <c r="L171" s="33" t="n">
        <v>19.51552963256836</v>
      </c>
      <c r="M171" s="33" t="n">
        <v>75.52359008789062</v>
      </c>
      <c r="N171" s="33" t="n">
        <v>87.35263061523438</v>
      </c>
      <c r="O171" s="33" t="n">
        <v>19.83224105834961</v>
      </c>
      <c r="P171" s="33" t="n">
        <v>13.89602375030518</v>
      </c>
    </row>
    <row r="172">
      <c r="B172" s="32" t="n">
        <v>45901</v>
      </c>
      <c r="C172" s="33" t="n">
        <v>59.3077278137207</v>
      </c>
      <c r="D172" s="33" t="n">
        <v>26.37455078125</v>
      </c>
      <c r="E172" s="33" t="n">
        <v>3.613673706054688</v>
      </c>
      <c r="F172" s="33" t="n">
        <v>1.229180679321289</v>
      </c>
      <c r="G172" s="33" t="n">
        <v>1.25318359375</v>
      </c>
      <c r="H172" s="33" t="n">
        <v>0.7783444213867188</v>
      </c>
      <c r="I172" s="33" t="n">
        <v>0.7243398284912109</v>
      </c>
      <c r="J172" s="33" t="n">
        <v>31.75877571105957</v>
      </c>
      <c r="K172" s="33" t="n">
        <v>10761.1923828125</v>
      </c>
      <c r="L172" s="33" t="n">
        <v>19.64160537719727</v>
      </c>
      <c r="M172" s="33" t="n">
        <v>76.19271087646484</v>
      </c>
      <c r="N172" s="33" t="n">
        <v>87.77614593505859</v>
      </c>
      <c r="O172" s="33" t="n">
        <v>18.46787261962891</v>
      </c>
      <c r="P172" s="33" t="n">
        <v>12.89482021331787</v>
      </c>
    </row>
    <row r="173">
      <c r="B173" s="32" t="n">
        <v>45931</v>
      </c>
      <c r="C173" s="33" t="n">
        <v>59.1912841796875</v>
      </c>
      <c r="D173" s="33" t="n">
        <v>26.836953125</v>
      </c>
      <c r="E173" s="33" t="n">
        <v>3.578686218261719</v>
      </c>
      <c r="F173" s="33" t="n">
        <v>1.199200668334961</v>
      </c>
      <c r="G173" s="33" t="n">
        <v>1.263177032470703</v>
      </c>
      <c r="H173" s="33" t="n">
        <v>0.7775132751464844</v>
      </c>
      <c r="I173" s="33" t="n">
        <v>0.7253388977050781</v>
      </c>
      <c r="J173" s="33" t="n">
        <v>32.99475479125977</v>
      </c>
      <c r="K173" s="33" t="n">
        <v>10275.0234375</v>
      </c>
      <c r="L173" s="33" t="n">
        <v>19.72698783874512</v>
      </c>
      <c r="M173" s="33" t="n">
        <v>76.18421936035156</v>
      </c>
      <c r="N173" s="33" t="n">
        <v>87.96605682373047</v>
      </c>
      <c r="O173" s="33" t="n">
        <v>18.41358184814453</v>
      </c>
      <c r="P173" s="33" t="n">
        <v>12.7094554901123</v>
      </c>
    </row>
    <row r="174">
      <c r="B174" s="32" t="n">
        <v>45962</v>
      </c>
      <c r="C174" s="33" t="n">
        <v>61.19020843505859</v>
      </c>
      <c r="D174" s="33" t="n">
        <v>27.3256591796875</v>
      </c>
      <c r="E174" s="33" t="n">
        <v>3.649347229003906</v>
      </c>
      <c r="F174" s="33" t="n">
        <v>1.131455230712891</v>
      </c>
      <c r="G174" s="33" t="n">
        <v>1.223413238525391</v>
      </c>
      <c r="H174" s="33" t="n">
        <v>0.7985000610351562</v>
      </c>
      <c r="I174" s="33" t="n">
        <v>0.717517318725586</v>
      </c>
      <c r="J174" s="33" t="n">
        <v>34.84871673583984</v>
      </c>
      <c r="K174" s="33" t="n">
        <v>10770.54296875</v>
      </c>
      <c r="L174" s="33" t="n">
        <v>19.85973358154297</v>
      </c>
      <c r="M174" s="33" t="n">
        <v>76.75281524658203</v>
      </c>
      <c r="N174" s="33" t="n">
        <v>88.27940368652344</v>
      </c>
      <c r="O174" s="33" t="n">
        <v>18.65789413452148</v>
      </c>
      <c r="P174" s="33" t="n">
        <v>12.98439788818359</v>
      </c>
    </row>
    <row r="175">
      <c r="B175" s="32" t="n">
        <v>45992</v>
      </c>
      <c r="C175" s="33" t="n">
        <v>60.50843811035156</v>
      </c>
      <c r="D175" s="33" t="n">
        <v>26.52078857421875</v>
      </c>
      <c r="E175" s="33" t="n">
        <v>3.7393310546875</v>
      </c>
      <c r="F175" s="33" t="n">
        <v>1.163439865112305</v>
      </c>
      <c r="G175" s="33" t="n">
        <v>1.251399765014648</v>
      </c>
      <c r="H175" s="33" t="n">
        <v>0.7895056915283203</v>
      </c>
      <c r="I175" s="33" t="n">
        <v>0.7434998321533203</v>
      </c>
      <c r="J175" s="33" t="n">
        <v>33.54515075683594</v>
      </c>
      <c r="K175" s="33" t="n">
        <v>10878.1865234375</v>
      </c>
      <c r="L175" s="33" t="n">
        <v>20.03388977050781</v>
      </c>
      <c r="M175" s="33" t="n">
        <v>77.13088989257812</v>
      </c>
      <c r="N175" s="33" t="n">
        <v>88.77317047119141</v>
      </c>
      <c r="O175" s="33" t="n">
        <v>18.73634147644043</v>
      </c>
      <c r="P175" s="33" t="n">
        <v>12.93452262878418</v>
      </c>
    </row>
    <row r="176">
      <c r="B176" s="32" t="n">
        <v>46023</v>
      </c>
      <c r="C176" s="33" t="n">
        <v>63.51610946655273</v>
      </c>
      <c r="D176" s="33" t="n">
        <v>26.855732421875</v>
      </c>
      <c r="E176" s="33" t="n">
        <v>3.729332885742187</v>
      </c>
      <c r="F176" s="33" t="n">
        <v>1.167437973022461</v>
      </c>
      <c r="G176" s="33" t="n">
        <v>1.269391098022461</v>
      </c>
      <c r="H176" s="33" t="n">
        <v>0.7956711578369141</v>
      </c>
      <c r="I176" s="33" t="n">
        <v>0.7594891357421876</v>
      </c>
      <c r="J176" s="33" t="n">
        <v>34.90665435791016</v>
      </c>
      <c r="K176" s="33" t="n">
        <v>10820.169921875</v>
      </c>
      <c r="L176" s="33" t="n">
        <v>19.88784027099609</v>
      </c>
      <c r="M176" s="33" t="n">
        <v>77.59962463378906</v>
      </c>
      <c r="N176" s="33" t="n">
        <v>88.90610504150391</v>
      </c>
      <c r="O176" s="33" t="n">
        <v>18.42144584655762</v>
      </c>
      <c r="P176" s="33" t="n">
        <v>12.77033233642578</v>
      </c>
    </row>
    <row r="177">
      <c r="B177" s="32" t="n">
        <v>46054</v>
      </c>
      <c r="C177" s="33" t="n">
        <v>68.40727233886719</v>
      </c>
      <c r="D177" s="33" t="n">
        <v>29.82667236328125</v>
      </c>
      <c r="E177" s="33" t="n">
        <v>3.599356079101562</v>
      </c>
      <c r="F177" s="33" t="n">
        <v>1.237404327392578</v>
      </c>
      <c r="G177" s="33" t="n">
        <v>1.339580230712891</v>
      </c>
      <c r="H177" s="33" t="n">
        <v>0.843651351928711</v>
      </c>
      <c r="I177" s="33" t="n">
        <v>0.7676581573486329</v>
      </c>
      <c r="J177" s="33" t="n">
        <v>38.13011932373047</v>
      </c>
      <c r="K177" s="33" t="n">
        <v>11061.9072265625</v>
      </c>
      <c r="L177" s="33" t="n">
        <v>19.47491455078125</v>
      </c>
      <c r="M177" s="33" t="n">
        <v>77.59867858886719</v>
      </c>
      <c r="N177" s="33" t="n">
        <v>88.88710784912109</v>
      </c>
      <c r="O177" s="33" t="n">
        <v>17.24521636962891</v>
      </c>
      <c r="P177" s="33" t="n">
        <v>11.56627368927002</v>
      </c>
    </row>
    <row r="178">
      <c r="B178" s="32" t="n">
        <v>46082</v>
      </c>
      <c r="C178" s="33" t="n">
        <v>66.07015991210938</v>
      </c>
      <c r="D178" s="33" t="n">
        <v>29.2817333984375</v>
      </c>
      <c r="E178" s="33" t="n">
        <v>3.334403381347656</v>
      </c>
      <c r="F178" s="33" t="n">
        <v>1.185633392333984</v>
      </c>
      <c r="G178" s="33" t="n">
        <v>1.279598922729492</v>
      </c>
      <c r="H178" s="33" t="n">
        <v>0.7656835937500001</v>
      </c>
      <c r="I178" s="33" t="n">
        <v>0.7256768798828125</v>
      </c>
      <c r="J178" s="33" t="n">
        <v>35.27817153930664</v>
      </c>
      <c r="K178" s="33" t="n">
        <v>10849.1787109375</v>
      </c>
      <c r="L178" s="33" t="n">
        <v>19.77961730957031</v>
      </c>
      <c r="M178" s="33" t="n">
        <v>76.85867309570312</v>
      </c>
      <c r="N178" s="33" t="n">
        <v>86.74924468994141</v>
      </c>
      <c r="O178" s="33" t="n">
        <v>17.14494323730469</v>
      </c>
      <c r="P178" s="33" t="n">
        <v>11.67573261260986</v>
      </c>
    </row>
    <row r="179">
      <c r="B179" s="32" t="n">
        <v>46113</v>
      </c>
      <c r="C179" s="33" t="n">
        <v>67.57892608642578</v>
      </c>
      <c r="D179" s="33" t="n">
        <v>29.42171630859375</v>
      </c>
      <c r="E179" s="33" t="n">
        <v>3.719334716796875</v>
      </c>
      <c r="F179" s="33" t="n">
        <v>1.27560546875</v>
      </c>
      <c r="G179" s="33" t="n">
        <v>1.321797485351563</v>
      </c>
      <c r="H179" s="33" t="n">
        <v>0.7898402404785156</v>
      </c>
      <c r="I179" s="33" t="n">
        <v>0.74666748046875</v>
      </c>
      <c r="J179" s="33" t="n">
        <v>35.01446151733398</v>
      </c>
      <c r="K179" s="33" t="n">
        <v>10974.8818359375</v>
      </c>
      <c r="L179" s="33" t="n">
        <v>20.04619789123535</v>
      </c>
      <c r="M179" s="33" t="n">
        <v>78.02744293212891</v>
      </c>
      <c r="N179" s="33" t="n">
        <v>88.5709228515625</v>
      </c>
      <c r="O179" s="33" t="n">
        <v>18.22958183288574</v>
      </c>
      <c r="P179" s="33" t="n">
        <v>12.46435165405273</v>
      </c>
    </row>
    <row r="180">
      <c r="B180" s="32" t="n">
        <v>46143</v>
      </c>
      <c r="C180" s="33" t="n">
        <v>65.67571258544922</v>
      </c>
      <c r="D180" s="33" t="n">
        <v>28.698212890625</v>
      </c>
      <c r="E180" s="33" t="n">
        <v>3.699338073730469</v>
      </c>
      <c r="F180" s="33" t="n">
        <v>1.337796630859375</v>
      </c>
      <c r="G180" s="33" t="n">
        <v>1.355792388916016</v>
      </c>
      <c r="H180" s="33" t="n">
        <v>0.8028376007080078</v>
      </c>
      <c r="I180" s="33" t="n">
        <v>0.7598409271240234</v>
      </c>
      <c r="J180" s="33" t="n">
        <v>38.57377624511719</v>
      </c>
      <c r="K180" s="33" t="n">
        <v>10597.771484375</v>
      </c>
      <c r="L180" s="33" t="n">
        <v>20.03724479675293</v>
      </c>
      <c r="M180" s="33" t="n">
        <v>78.36800384521484</v>
      </c>
      <c r="N180" s="33" t="n">
        <v>89.53534698486328</v>
      </c>
      <c r="O180" s="33" t="n">
        <v>18.06783866882324</v>
      </c>
      <c r="P180" s="33" t="n">
        <v>11.97146511077881</v>
      </c>
    </row>
    <row r="181">
      <c r="B181" s="32" t="n">
        <v>46174</v>
      </c>
      <c r="C181" s="33" t="n">
        <v>66.59999847412109</v>
      </c>
      <c r="D181" s="33" t="n">
        <v>29.678154296875</v>
      </c>
      <c r="E181" s="33" t="n">
        <v>3.78</v>
      </c>
      <c r="F181" s="33" t="n">
        <v>1.319799346923828</v>
      </c>
      <c r="G181" s="33" t="n">
        <v>1.397785949707031</v>
      </c>
      <c r="H181" s="33" t="n">
        <v>0.8238333892822266</v>
      </c>
      <c r="I181" s="33" t="n">
        <v>0.7788369750976563</v>
      </c>
      <c r="J181" s="33" t="n">
        <v>36.05422973632812</v>
      </c>
      <c r="K181" s="33" t="n">
        <v>10180</v>
      </c>
      <c r="L181" s="33" t="n">
        <v>20.03827857971191</v>
      </c>
      <c r="M181" s="33" t="n">
        <v>78.43567657470703</v>
      </c>
      <c r="N181" s="33" t="n">
        <v>89.98099517822266</v>
      </c>
      <c r="O181" s="33" t="n">
        <v>18.08078956604004</v>
      </c>
      <c r="P181" s="33" t="n">
        <v>11.99990081787109</v>
      </c>
    </row>
    <row r="182">
      <c r="B182" s="32" t="n">
        <v>46204</v>
      </c>
      <c r="C182" s="33" t="n">
        <v>66.80999755859375</v>
      </c>
      <c r="D182" s="33" t="n">
        <v>29.23818115234375</v>
      </c>
      <c r="E182" s="33" t="n">
        <v>3.8</v>
      </c>
      <c r="F182" s="33" t="n">
        <v>1.359793243408203</v>
      </c>
      <c r="G182" s="33" t="n">
        <v>1.419782562255859</v>
      </c>
      <c r="H182" s="33" t="n">
        <v>0.8640000152587891</v>
      </c>
      <c r="I182" s="33" t="n">
        <v>0.8348252105712891</v>
      </c>
      <c r="J182" s="33" t="n">
        <v>41.26128768920898</v>
      </c>
      <c r="K182" s="33" t="n">
        <v>10110</v>
      </c>
      <c r="L182" s="33" t="n">
        <v>20.1652774810791</v>
      </c>
      <c r="M182" s="33" t="n">
        <v>78.31645202636719</v>
      </c>
      <c r="N182" s="33" t="n">
        <v>89.55181121826172</v>
      </c>
      <c r="O182" s="33" t="n">
        <v>18.30521202087402</v>
      </c>
      <c r="P182" s="33" t="n">
        <v>11.97961235046387</v>
      </c>
    </row>
    <row r="183">
      <c r="B183" s="32" t="n">
        <v>46235</v>
      </c>
      <c r="C183" s="33" t="n">
        <v>65.13999938964844</v>
      </c>
      <c r="D183" s="33" t="n">
        <v>28.53</v>
      </c>
      <c r="E183" s="33" t="n">
        <v>3.955</v>
      </c>
      <c r="F183" s="33" t="n">
        <v>1.373999938964844</v>
      </c>
      <c r="G183" s="33" t="n">
        <v>1.4</v>
      </c>
      <c r="H183" s="33" t="n">
        <v>0.855999984741211</v>
      </c>
      <c r="I183" s="33" t="n">
        <v>0.835999984741211</v>
      </c>
      <c r="J183" s="33" t="n">
        <v>37.79999923706055</v>
      </c>
      <c r="K183" s="33" t="n">
        <v>9910</v>
      </c>
      <c r="L183" s="33" t="n">
        <v>20.45550155639648</v>
      </c>
      <c r="M183" s="33" t="n">
        <v>79.02340698242188</v>
      </c>
      <c r="N183" s="33" t="n">
        <v>90.04019927978516</v>
      </c>
      <c r="O183" s="33" t="n">
        <v>19.58345413208008</v>
      </c>
      <c r="P183" s="33" t="n">
        <v>13.05198097229004</v>
      </c>
    </row>
    <row r="184">
      <c r="B184" s="32" t="n">
        <v>46266</v>
      </c>
      <c r="C184" s="33" t="n">
        <v>61.56000137329102</v>
      </c>
      <c r="D184" s="33" t="n">
        <v>27.36</v>
      </c>
      <c r="E184" s="33" t="n">
        <v>3.945</v>
      </c>
      <c r="F184" s="33" t="n">
        <v>1.341999969482422</v>
      </c>
      <c r="G184" s="33" t="n">
        <v>1.388000030517578</v>
      </c>
      <c r="H184" s="33" t="n">
        <v>0.8490000152587891</v>
      </c>
      <c r="I184" s="33" t="n">
        <v>0.830999984741211</v>
      </c>
      <c r="J184" s="33" t="n">
        <v>35.54999923706055</v>
      </c>
      <c r="K184" s="33" t="n">
        <v>9790</v>
      </c>
      <c r="L184" s="33" t="n">
        <v>20.43000030517578</v>
      </c>
      <c r="M184" s="33" t="n">
        <v>76.86800384521484</v>
      </c>
      <c r="N184" s="33" t="n">
        <v>88.59999847412109</v>
      </c>
      <c r="O184" s="33" t="n">
        <v>19.10000038146973</v>
      </c>
      <c r="P184" s="33" t="n">
        <v>12.45300102233887</v>
      </c>
    </row>
  </sheetData>
  <mergeCells count="1">
    <mergeCell ref="B3:P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P184"/>
  <sheetViews>
    <sheetView showGridLines="0" workbookViewId="0">
      <selection activeCell="A1" sqref="A1"/>
    </sheetView>
  </sheetViews>
  <sheetFormatPr baseColWidth="8" defaultRowHeight="15"/>
  <cols>
    <col width="2" customWidth="1" min="1" max="1"/>
    <col width="1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2">
      <c r="B2" s="1" t="inlineStr">
        <is>
          <t>HISTORIQUE AJUSTÉ - base des rendements</t>
        </is>
      </c>
    </row>
    <row r="3" ht="42" customHeight="1">
      <c r="B3" s="2" t="inlineStr">
        <is>
          <t>Formules : Brut ajusté corrigé des paramètres (facteur Brookfield avant la date de regroupement, début des statistiques INFR). Une cellule vide signifie : pas de donnée.</t>
        </is>
      </c>
    </row>
    <row r="5" ht="30" customHeight="1">
      <c r="B5" s="3" t="inlineStr">
        <is>
          <t>Mois</t>
        </is>
      </c>
      <c r="C5" s="4" t="inlineStr">
        <is>
          <t>NasdaqGM:IGF</t>
        </is>
      </c>
      <c r="D5" s="4" t="inlineStr">
        <is>
          <t>LSE:INFR</t>
        </is>
      </c>
      <c r="E5" s="4" t="inlineStr">
        <is>
          <t>LSE:3IN</t>
        </is>
      </c>
      <c r="F5" s="4" t="inlineStr">
        <is>
          <t>LSE:HICL</t>
        </is>
      </c>
      <c r="G5" s="4" t="inlineStr">
        <is>
          <t>LSE:INPP</t>
        </is>
      </c>
      <c r="H5" s="4" t="inlineStr">
        <is>
          <t>LSE:SEQI</t>
        </is>
      </c>
      <c r="I5" s="4" t="inlineStr">
        <is>
          <t>LSE:GCP</t>
        </is>
      </c>
      <c r="J5" s="4" t="inlineStr">
        <is>
          <t>NYSE:BIP</t>
        </is>
      </c>
      <c r="K5" s="4" t="inlineStr">
        <is>
          <t>KOSE:A088980</t>
        </is>
      </c>
      <c r="L5" s="4" t="inlineStr">
        <is>
          <t>ARCA:BKLN</t>
        </is>
      </c>
      <c r="M5" s="4" t="inlineStr">
        <is>
          <t>ARCA:HYG</t>
        </is>
      </c>
      <c r="N5" s="4" t="inlineStr">
        <is>
          <t>LSE:IHYG</t>
        </is>
      </c>
      <c r="O5" s="4" t="inlineStr">
        <is>
          <t>NasdaqGS:ARCC</t>
        </is>
      </c>
      <c r="P5" s="4" t="inlineStr">
        <is>
          <t>ARCA:BIZD</t>
        </is>
      </c>
    </row>
    <row r="6">
      <c r="B6" s="32">
        <f>'Brut ajusté'!B6</f>
        <v/>
      </c>
      <c r="C6" s="33">
        <f>IF('Brut ajusté'!C6="","",'Brut ajusté'!C6)</f>
        <v/>
      </c>
      <c r="D6" s="33">
        <f>IF(OR('Brut ajusté'!D6="",$B6&lt;INFR_debut),"",'Brut ajusté'!D6)</f>
        <v/>
      </c>
      <c r="E6" s="33">
        <f>IF('Brut ajusté'!E6="","",'Brut ajusté'!E6)</f>
        <v/>
      </c>
      <c r="F6" s="33">
        <f>IF('Brut ajusté'!F6="","",'Brut ajusté'!F6)</f>
        <v/>
      </c>
      <c r="G6" s="33">
        <f>IF('Brut ajusté'!G6="","",'Brut ajusté'!G6)</f>
        <v/>
      </c>
      <c r="H6" s="33">
        <f>IF('Brut ajusté'!H6="","",'Brut ajusté'!H6)</f>
        <v/>
      </c>
      <c r="I6" s="33">
        <f>IF('Brut ajusté'!I6="","",'Brut ajusté'!I6)</f>
        <v/>
      </c>
      <c r="J6" s="33">
        <f>IF('Brut ajusté'!J6="","",IF($B6&lt;BIP_date,'Brut ajusté'!J6/BIP_facteur,'Brut ajusté'!J6))</f>
        <v/>
      </c>
      <c r="K6" s="33">
        <f>IF('Brut ajusté'!K6="","",'Brut ajusté'!K6)</f>
        <v/>
      </c>
      <c r="L6" s="33">
        <f>IF('Brut ajusté'!L6="","",'Brut ajusté'!L6)</f>
        <v/>
      </c>
      <c r="M6" s="33">
        <f>IF('Brut ajusté'!M6="","",'Brut ajusté'!M6)</f>
        <v/>
      </c>
      <c r="N6" s="33">
        <f>IF('Brut ajusté'!N6="","",'Brut ajusté'!N6)</f>
        <v/>
      </c>
      <c r="O6" s="33">
        <f>IF('Brut ajusté'!O6="","",'Brut ajusté'!O6)</f>
        <v/>
      </c>
      <c r="P6" s="33">
        <f>IF('Brut ajusté'!P6="","",'Brut ajusté'!P6)</f>
        <v/>
      </c>
    </row>
    <row r="7">
      <c r="B7" s="32">
        <f>'Brut ajusté'!B7</f>
        <v/>
      </c>
      <c r="C7" s="33">
        <f>IF('Brut ajusté'!C7="","",'Brut ajusté'!C7)</f>
        <v/>
      </c>
      <c r="D7" s="33">
        <f>IF(OR('Brut ajusté'!D7="",$B7&lt;INFR_debut),"",'Brut ajusté'!D7)</f>
        <v/>
      </c>
      <c r="E7" s="33">
        <f>IF('Brut ajusté'!E7="","",'Brut ajusté'!E7)</f>
        <v/>
      </c>
      <c r="F7" s="33">
        <f>IF('Brut ajusté'!F7="","",'Brut ajusté'!F7)</f>
        <v/>
      </c>
      <c r="G7" s="33">
        <f>IF('Brut ajusté'!G7="","",'Brut ajusté'!G7)</f>
        <v/>
      </c>
      <c r="H7" s="33">
        <f>IF('Brut ajusté'!H7="","",'Brut ajusté'!H7)</f>
        <v/>
      </c>
      <c r="I7" s="33">
        <f>IF('Brut ajusté'!I7="","",'Brut ajusté'!I7)</f>
        <v/>
      </c>
      <c r="J7" s="33">
        <f>IF('Brut ajusté'!J7="","",IF($B7&lt;BIP_date,'Brut ajusté'!J7/BIP_facteur,'Brut ajusté'!J7))</f>
        <v/>
      </c>
      <c r="K7" s="33">
        <f>IF('Brut ajusté'!K7="","",'Brut ajusté'!K7)</f>
        <v/>
      </c>
      <c r="L7" s="33">
        <f>IF('Brut ajusté'!L7="","",'Brut ajusté'!L7)</f>
        <v/>
      </c>
      <c r="M7" s="33">
        <f>IF('Brut ajusté'!M7="","",'Brut ajusté'!M7)</f>
        <v/>
      </c>
      <c r="N7" s="33">
        <f>IF('Brut ajusté'!N7="","",'Brut ajusté'!N7)</f>
        <v/>
      </c>
      <c r="O7" s="33">
        <f>IF('Brut ajusté'!O7="","",'Brut ajusté'!O7)</f>
        <v/>
      </c>
      <c r="P7" s="33">
        <f>IF('Brut ajusté'!P7="","",'Brut ajusté'!P7)</f>
        <v/>
      </c>
    </row>
    <row r="8">
      <c r="B8" s="32">
        <f>'Brut ajusté'!B8</f>
        <v/>
      </c>
      <c r="C8" s="33">
        <f>IF('Brut ajusté'!C8="","",'Brut ajusté'!C8)</f>
        <v/>
      </c>
      <c r="D8" s="33">
        <f>IF(OR('Brut ajusté'!D8="",$B8&lt;INFR_debut),"",'Brut ajusté'!D8)</f>
        <v/>
      </c>
      <c r="E8" s="33">
        <f>IF('Brut ajusté'!E8="","",'Brut ajusté'!E8)</f>
        <v/>
      </c>
      <c r="F8" s="33">
        <f>IF('Brut ajusté'!F8="","",'Brut ajusté'!F8)</f>
        <v/>
      </c>
      <c r="G8" s="33">
        <f>IF('Brut ajusté'!G8="","",'Brut ajusté'!G8)</f>
        <v/>
      </c>
      <c r="H8" s="33">
        <f>IF('Brut ajusté'!H8="","",'Brut ajusté'!H8)</f>
        <v/>
      </c>
      <c r="I8" s="33">
        <f>IF('Brut ajusté'!I8="","",'Brut ajusté'!I8)</f>
        <v/>
      </c>
      <c r="J8" s="33">
        <f>IF('Brut ajusté'!J8="","",IF($B8&lt;BIP_date,'Brut ajusté'!J8/BIP_facteur,'Brut ajusté'!J8))</f>
        <v/>
      </c>
      <c r="K8" s="33">
        <f>IF('Brut ajusté'!K8="","",'Brut ajusté'!K8)</f>
        <v/>
      </c>
      <c r="L8" s="33">
        <f>IF('Brut ajusté'!L8="","",'Brut ajusté'!L8)</f>
        <v/>
      </c>
      <c r="M8" s="33">
        <f>IF('Brut ajusté'!M8="","",'Brut ajusté'!M8)</f>
        <v/>
      </c>
      <c r="N8" s="33">
        <f>IF('Brut ajusté'!N8="","",'Brut ajusté'!N8)</f>
        <v/>
      </c>
      <c r="O8" s="33">
        <f>IF('Brut ajusté'!O8="","",'Brut ajusté'!O8)</f>
        <v/>
      </c>
      <c r="P8" s="33">
        <f>IF('Brut ajusté'!P8="","",'Brut ajusté'!P8)</f>
        <v/>
      </c>
    </row>
    <row r="9">
      <c r="B9" s="32">
        <f>'Brut ajusté'!B9</f>
        <v/>
      </c>
      <c r="C9" s="33">
        <f>IF('Brut ajusté'!C9="","",'Brut ajusté'!C9)</f>
        <v/>
      </c>
      <c r="D9" s="33">
        <f>IF(OR('Brut ajusté'!D9="",$B9&lt;INFR_debut),"",'Brut ajusté'!D9)</f>
        <v/>
      </c>
      <c r="E9" s="33">
        <f>IF('Brut ajusté'!E9="","",'Brut ajusté'!E9)</f>
        <v/>
      </c>
      <c r="F9" s="33">
        <f>IF('Brut ajusté'!F9="","",'Brut ajusté'!F9)</f>
        <v/>
      </c>
      <c r="G9" s="33">
        <f>IF('Brut ajusté'!G9="","",'Brut ajusté'!G9)</f>
        <v/>
      </c>
      <c r="H9" s="33">
        <f>IF('Brut ajusté'!H9="","",'Brut ajusté'!H9)</f>
        <v/>
      </c>
      <c r="I9" s="33">
        <f>IF('Brut ajusté'!I9="","",'Brut ajusté'!I9)</f>
        <v/>
      </c>
      <c r="J9" s="33">
        <f>IF('Brut ajusté'!J9="","",IF($B9&lt;BIP_date,'Brut ajusté'!J9/BIP_facteur,'Brut ajusté'!J9))</f>
        <v/>
      </c>
      <c r="K9" s="33">
        <f>IF('Brut ajusté'!K9="","",'Brut ajusté'!K9)</f>
        <v/>
      </c>
      <c r="L9" s="33">
        <f>IF('Brut ajusté'!L9="","",'Brut ajusté'!L9)</f>
        <v/>
      </c>
      <c r="M9" s="33">
        <f>IF('Brut ajusté'!M9="","",'Brut ajusté'!M9)</f>
        <v/>
      </c>
      <c r="N9" s="33">
        <f>IF('Brut ajusté'!N9="","",'Brut ajusté'!N9)</f>
        <v/>
      </c>
      <c r="O9" s="33">
        <f>IF('Brut ajusté'!O9="","",'Brut ajusté'!O9)</f>
        <v/>
      </c>
      <c r="P9" s="33">
        <f>IF('Brut ajusté'!P9="","",'Brut ajusté'!P9)</f>
        <v/>
      </c>
    </row>
    <row r="10">
      <c r="B10" s="32">
        <f>'Brut ajusté'!B10</f>
        <v/>
      </c>
      <c r="C10" s="33">
        <f>IF('Brut ajusté'!C10="","",'Brut ajusté'!C10)</f>
        <v/>
      </c>
      <c r="D10" s="33">
        <f>IF(OR('Brut ajusté'!D10="",$B10&lt;INFR_debut),"",'Brut ajusté'!D10)</f>
        <v/>
      </c>
      <c r="E10" s="33">
        <f>IF('Brut ajusté'!E10="","",'Brut ajusté'!E10)</f>
        <v/>
      </c>
      <c r="F10" s="33">
        <f>IF('Brut ajusté'!F10="","",'Brut ajusté'!F10)</f>
        <v/>
      </c>
      <c r="G10" s="33">
        <f>IF('Brut ajusté'!G10="","",'Brut ajusté'!G10)</f>
        <v/>
      </c>
      <c r="H10" s="33">
        <f>IF('Brut ajusté'!H10="","",'Brut ajusté'!H10)</f>
        <v/>
      </c>
      <c r="I10" s="33">
        <f>IF('Brut ajusté'!I10="","",'Brut ajusté'!I10)</f>
        <v/>
      </c>
      <c r="J10" s="33">
        <f>IF('Brut ajusté'!J10="","",IF($B10&lt;BIP_date,'Brut ajusté'!J10/BIP_facteur,'Brut ajusté'!J10))</f>
        <v/>
      </c>
      <c r="K10" s="33">
        <f>IF('Brut ajusté'!K10="","",'Brut ajusté'!K10)</f>
        <v/>
      </c>
      <c r="L10" s="33">
        <f>IF('Brut ajusté'!L10="","",'Brut ajusté'!L10)</f>
        <v/>
      </c>
      <c r="M10" s="33">
        <f>IF('Brut ajusté'!M10="","",'Brut ajusté'!M10)</f>
        <v/>
      </c>
      <c r="N10" s="33">
        <f>IF('Brut ajusté'!N10="","",'Brut ajusté'!N10)</f>
        <v/>
      </c>
      <c r="O10" s="33">
        <f>IF('Brut ajusté'!O10="","",'Brut ajusté'!O10)</f>
        <v/>
      </c>
      <c r="P10" s="33">
        <f>IF('Brut ajusté'!P10="","",'Brut ajusté'!P10)</f>
        <v/>
      </c>
    </row>
    <row r="11">
      <c r="B11" s="32">
        <f>'Brut ajusté'!B11</f>
        <v/>
      </c>
      <c r="C11" s="33">
        <f>IF('Brut ajusté'!C11="","",'Brut ajusté'!C11)</f>
        <v/>
      </c>
      <c r="D11" s="33">
        <f>IF(OR('Brut ajusté'!D11="",$B11&lt;INFR_debut),"",'Brut ajusté'!D11)</f>
        <v/>
      </c>
      <c r="E11" s="33">
        <f>IF('Brut ajusté'!E11="","",'Brut ajusté'!E11)</f>
        <v/>
      </c>
      <c r="F11" s="33">
        <f>IF('Brut ajusté'!F11="","",'Brut ajusté'!F11)</f>
        <v/>
      </c>
      <c r="G11" s="33">
        <f>IF('Brut ajusté'!G11="","",'Brut ajusté'!G11)</f>
        <v/>
      </c>
      <c r="H11" s="33">
        <f>IF('Brut ajusté'!H11="","",'Brut ajusté'!H11)</f>
        <v/>
      </c>
      <c r="I11" s="33">
        <f>IF('Brut ajusté'!I11="","",'Brut ajusté'!I11)</f>
        <v/>
      </c>
      <c r="J11" s="33">
        <f>IF('Brut ajusté'!J11="","",IF($B11&lt;BIP_date,'Brut ajusté'!J11/BIP_facteur,'Brut ajusté'!J11))</f>
        <v/>
      </c>
      <c r="K11" s="33">
        <f>IF('Brut ajusté'!K11="","",'Brut ajusté'!K11)</f>
        <v/>
      </c>
      <c r="L11" s="33">
        <f>IF('Brut ajusté'!L11="","",'Brut ajusté'!L11)</f>
        <v/>
      </c>
      <c r="M11" s="33">
        <f>IF('Brut ajusté'!M11="","",'Brut ajusté'!M11)</f>
        <v/>
      </c>
      <c r="N11" s="33">
        <f>IF('Brut ajusté'!N11="","",'Brut ajusté'!N11)</f>
        <v/>
      </c>
      <c r="O11" s="33">
        <f>IF('Brut ajusté'!O11="","",'Brut ajusté'!O11)</f>
        <v/>
      </c>
      <c r="P11" s="33">
        <f>IF('Brut ajusté'!P11="","",'Brut ajusté'!P11)</f>
        <v/>
      </c>
    </row>
    <row r="12">
      <c r="B12" s="32">
        <f>'Brut ajusté'!B12</f>
        <v/>
      </c>
      <c r="C12" s="33">
        <f>IF('Brut ajusté'!C12="","",'Brut ajusté'!C12)</f>
        <v/>
      </c>
      <c r="D12" s="33">
        <f>IF(OR('Brut ajusté'!D12="",$B12&lt;INFR_debut),"",'Brut ajusté'!D12)</f>
        <v/>
      </c>
      <c r="E12" s="33">
        <f>IF('Brut ajusté'!E12="","",'Brut ajusté'!E12)</f>
        <v/>
      </c>
      <c r="F12" s="33">
        <f>IF('Brut ajusté'!F12="","",'Brut ajusté'!F12)</f>
        <v/>
      </c>
      <c r="G12" s="33">
        <f>IF('Brut ajusté'!G12="","",'Brut ajusté'!G12)</f>
        <v/>
      </c>
      <c r="H12" s="33">
        <f>IF('Brut ajusté'!H12="","",'Brut ajusté'!H12)</f>
        <v/>
      </c>
      <c r="I12" s="33">
        <f>IF('Brut ajusté'!I12="","",'Brut ajusté'!I12)</f>
        <v/>
      </c>
      <c r="J12" s="33">
        <f>IF('Brut ajusté'!J12="","",IF($B12&lt;BIP_date,'Brut ajusté'!J12/BIP_facteur,'Brut ajusté'!J12))</f>
        <v/>
      </c>
      <c r="K12" s="33">
        <f>IF('Brut ajusté'!K12="","",'Brut ajusté'!K12)</f>
        <v/>
      </c>
      <c r="L12" s="33">
        <f>IF('Brut ajusté'!L12="","",'Brut ajusté'!L12)</f>
        <v/>
      </c>
      <c r="M12" s="33">
        <f>IF('Brut ajusté'!M12="","",'Brut ajusté'!M12)</f>
        <v/>
      </c>
      <c r="N12" s="33">
        <f>IF('Brut ajusté'!N12="","",'Brut ajusté'!N12)</f>
        <v/>
      </c>
      <c r="O12" s="33">
        <f>IF('Brut ajusté'!O12="","",'Brut ajusté'!O12)</f>
        <v/>
      </c>
      <c r="P12" s="33">
        <f>IF('Brut ajusté'!P12="","",'Brut ajusté'!P12)</f>
        <v/>
      </c>
    </row>
    <row r="13">
      <c r="B13" s="32">
        <f>'Brut ajusté'!B13</f>
        <v/>
      </c>
      <c r="C13" s="33">
        <f>IF('Brut ajusté'!C13="","",'Brut ajusté'!C13)</f>
        <v/>
      </c>
      <c r="D13" s="33">
        <f>IF(OR('Brut ajusté'!D13="",$B13&lt;INFR_debut),"",'Brut ajusté'!D13)</f>
        <v/>
      </c>
      <c r="E13" s="33">
        <f>IF('Brut ajusté'!E13="","",'Brut ajusté'!E13)</f>
        <v/>
      </c>
      <c r="F13" s="33">
        <f>IF('Brut ajusté'!F13="","",'Brut ajusté'!F13)</f>
        <v/>
      </c>
      <c r="G13" s="33">
        <f>IF('Brut ajusté'!G13="","",'Brut ajusté'!G13)</f>
        <v/>
      </c>
      <c r="H13" s="33">
        <f>IF('Brut ajusté'!H13="","",'Brut ajusté'!H13)</f>
        <v/>
      </c>
      <c r="I13" s="33">
        <f>IF('Brut ajusté'!I13="","",'Brut ajusté'!I13)</f>
        <v/>
      </c>
      <c r="J13" s="33">
        <f>IF('Brut ajusté'!J13="","",IF($B13&lt;BIP_date,'Brut ajusté'!J13/BIP_facteur,'Brut ajusté'!J13))</f>
        <v/>
      </c>
      <c r="K13" s="33">
        <f>IF('Brut ajusté'!K13="","",'Brut ajusté'!K13)</f>
        <v/>
      </c>
      <c r="L13" s="33">
        <f>IF('Brut ajusté'!L13="","",'Brut ajusté'!L13)</f>
        <v/>
      </c>
      <c r="M13" s="33">
        <f>IF('Brut ajusté'!M13="","",'Brut ajusté'!M13)</f>
        <v/>
      </c>
      <c r="N13" s="33">
        <f>IF('Brut ajusté'!N13="","",'Brut ajusté'!N13)</f>
        <v/>
      </c>
      <c r="O13" s="33">
        <f>IF('Brut ajusté'!O13="","",'Brut ajusté'!O13)</f>
        <v/>
      </c>
      <c r="P13" s="33">
        <f>IF('Brut ajusté'!P13="","",'Brut ajusté'!P13)</f>
        <v/>
      </c>
    </row>
    <row r="14">
      <c r="B14" s="32">
        <f>'Brut ajusté'!B14</f>
        <v/>
      </c>
      <c r="C14" s="33">
        <f>IF('Brut ajusté'!C14="","",'Brut ajusté'!C14)</f>
        <v/>
      </c>
      <c r="D14" s="33">
        <f>IF(OR('Brut ajusté'!D14="",$B14&lt;INFR_debut),"",'Brut ajusté'!D14)</f>
        <v/>
      </c>
      <c r="E14" s="33">
        <f>IF('Brut ajusté'!E14="","",'Brut ajusté'!E14)</f>
        <v/>
      </c>
      <c r="F14" s="33">
        <f>IF('Brut ajusté'!F14="","",'Brut ajusté'!F14)</f>
        <v/>
      </c>
      <c r="G14" s="33">
        <f>IF('Brut ajusté'!G14="","",'Brut ajusté'!G14)</f>
        <v/>
      </c>
      <c r="H14" s="33">
        <f>IF('Brut ajusté'!H14="","",'Brut ajusté'!H14)</f>
        <v/>
      </c>
      <c r="I14" s="33">
        <f>IF('Brut ajusté'!I14="","",'Brut ajusté'!I14)</f>
        <v/>
      </c>
      <c r="J14" s="33">
        <f>IF('Brut ajusté'!J14="","",IF($B14&lt;BIP_date,'Brut ajusté'!J14/BIP_facteur,'Brut ajusté'!J14))</f>
        <v/>
      </c>
      <c r="K14" s="33">
        <f>IF('Brut ajusté'!K14="","",'Brut ajusté'!K14)</f>
        <v/>
      </c>
      <c r="L14" s="33">
        <f>IF('Brut ajusté'!L14="","",'Brut ajusté'!L14)</f>
        <v/>
      </c>
      <c r="M14" s="33">
        <f>IF('Brut ajusté'!M14="","",'Brut ajusté'!M14)</f>
        <v/>
      </c>
      <c r="N14" s="33">
        <f>IF('Brut ajusté'!N14="","",'Brut ajusté'!N14)</f>
        <v/>
      </c>
      <c r="O14" s="33">
        <f>IF('Brut ajusté'!O14="","",'Brut ajusté'!O14)</f>
        <v/>
      </c>
      <c r="P14" s="33">
        <f>IF('Brut ajusté'!P14="","",'Brut ajusté'!P14)</f>
        <v/>
      </c>
    </row>
    <row r="15">
      <c r="B15" s="32">
        <f>'Brut ajusté'!B15</f>
        <v/>
      </c>
      <c r="C15" s="33">
        <f>IF('Brut ajusté'!C15="","",'Brut ajusté'!C15)</f>
        <v/>
      </c>
      <c r="D15" s="33">
        <f>IF(OR('Brut ajusté'!D15="",$B15&lt;INFR_debut),"",'Brut ajusté'!D15)</f>
        <v/>
      </c>
      <c r="E15" s="33">
        <f>IF('Brut ajusté'!E15="","",'Brut ajusté'!E15)</f>
        <v/>
      </c>
      <c r="F15" s="33">
        <f>IF('Brut ajusté'!F15="","",'Brut ajusté'!F15)</f>
        <v/>
      </c>
      <c r="G15" s="33">
        <f>IF('Brut ajusté'!G15="","",'Brut ajusté'!G15)</f>
        <v/>
      </c>
      <c r="H15" s="33">
        <f>IF('Brut ajusté'!H15="","",'Brut ajusté'!H15)</f>
        <v/>
      </c>
      <c r="I15" s="33">
        <f>IF('Brut ajusté'!I15="","",'Brut ajusté'!I15)</f>
        <v/>
      </c>
      <c r="J15" s="33">
        <f>IF('Brut ajusté'!J15="","",IF($B15&lt;BIP_date,'Brut ajusté'!J15/BIP_facteur,'Brut ajusté'!J15))</f>
        <v/>
      </c>
      <c r="K15" s="33">
        <f>IF('Brut ajusté'!K15="","",'Brut ajusté'!K15)</f>
        <v/>
      </c>
      <c r="L15" s="33">
        <f>IF('Brut ajusté'!L15="","",'Brut ajusté'!L15)</f>
        <v/>
      </c>
      <c r="M15" s="33">
        <f>IF('Brut ajusté'!M15="","",'Brut ajusté'!M15)</f>
        <v/>
      </c>
      <c r="N15" s="33">
        <f>IF('Brut ajusté'!N15="","",'Brut ajusté'!N15)</f>
        <v/>
      </c>
      <c r="O15" s="33">
        <f>IF('Brut ajusté'!O15="","",'Brut ajusté'!O15)</f>
        <v/>
      </c>
      <c r="P15" s="33">
        <f>IF('Brut ajusté'!P15="","",'Brut ajusté'!P15)</f>
        <v/>
      </c>
    </row>
    <row r="16">
      <c r="B16" s="32">
        <f>'Brut ajusté'!B16</f>
        <v/>
      </c>
      <c r="C16" s="33">
        <f>IF('Brut ajusté'!C16="","",'Brut ajusté'!C16)</f>
        <v/>
      </c>
      <c r="D16" s="33">
        <f>IF(OR('Brut ajusté'!D16="",$B16&lt;INFR_debut),"",'Brut ajusté'!D16)</f>
        <v/>
      </c>
      <c r="E16" s="33">
        <f>IF('Brut ajusté'!E16="","",'Brut ajusté'!E16)</f>
        <v/>
      </c>
      <c r="F16" s="33">
        <f>IF('Brut ajusté'!F16="","",'Brut ajusté'!F16)</f>
        <v/>
      </c>
      <c r="G16" s="33">
        <f>IF('Brut ajusté'!G16="","",'Brut ajusté'!G16)</f>
        <v/>
      </c>
      <c r="H16" s="33">
        <f>IF('Brut ajusté'!H16="","",'Brut ajusté'!H16)</f>
        <v/>
      </c>
      <c r="I16" s="33">
        <f>IF('Brut ajusté'!I16="","",'Brut ajusté'!I16)</f>
        <v/>
      </c>
      <c r="J16" s="33">
        <f>IF('Brut ajusté'!J16="","",IF($B16&lt;BIP_date,'Brut ajusté'!J16/BIP_facteur,'Brut ajusté'!J16))</f>
        <v/>
      </c>
      <c r="K16" s="33">
        <f>IF('Brut ajusté'!K16="","",'Brut ajusté'!K16)</f>
        <v/>
      </c>
      <c r="L16" s="33">
        <f>IF('Brut ajusté'!L16="","",'Brut ajusté'!L16)</f>
        <v/>
      </c>
      <c r="M16" s="33">
        <f>IF('Brut ajusté'!M16="","",'Brut ajusté'!M16)</f>
        <v/>
      </c>
      <c r="N16" s="33">
        <f>IF('Brut ajusté'!N16="","",'Brut ajusté'!N16)</f>
        <v/>
      </c>
      <c r="O16" s="33">
        <f>IF('Brut ajusté'!O16="","",'Brut ajusté'!O16)</f>
        <v/>
      </c>
      <c r="P16" s="33">
        <f>IF('Brut ajusté'!P16="","",'Brut ajusté'!P16)</f>
        <v/>
      </c>
    </row>
    <row r="17">
      <c r="B17" s="32">
        <f>'Brut ajusté'!B17</f>
        <v/>
      </c>
      <c r="C17" s="33">
        <f>IF('Brut ajusté'!C17="","",'Brut ajusté'!C17)</f>
        <v/>
      </c>
      <c r="D17" s="33">
        <f>IF(OR('Brut ajusté'!D17="",$B17&lt;INFR_debut),"",'Brut ajusté'!D17)</f>
        <v/>
      </c>
      <c r="E17" s="33">
        <f>IF('Brut ajusté'!E17="","",'Brut ajusté'!E17)</f>
        <v/>
      </c>
      <c r="F17" s="33">
        <f>IF('Brut ajusté'!F17="","",'Brut ajusté'!F17)</f>
        <v/>
      </c>
      <c r="G17" s="33">
        <f>IF('Brut ajusté'!G17="","",'Brut ajusté'!G17)</f>
        <v/>
      </c>
      <c r="H17" s="33">
        <f>IF('Brut ajusté'!H17="","",'Brut ajusté'!H17)</f>
        <v/>
      </c>
      <c r="I17" s="33">
        <f>IF('Brut ajusté'!I17="","",'Brut ajusté'!I17)</f>
        <v/>
      </c>
      <c r="J17" s="33">
        <f>IF('Brut ajusté'!J17="","",IF($B17&lt;BIP_date,'Brut ajusté'!J17/BIP_facteur,'Brut ajusté'!J17))</f>
        <v/>
      </c>
      <c r="K17" s="33">
        <f>IF('Brut ajusté'!K17="","",'Brut ajusté'!K17)</f>
        <v/>
      </c>
      <c r="L17" s="33">
        <f>IF('Brut ajusté'!L17="","",'Brut ajusté'!L17)</f>
        <v/>
      </c>
      <c r="M17" s="33">
        <f>IF('Brut ajusté'!M17="","",'Brut ajusté'!M17)</f>
        <v/>
      </c>
      <c r="N17" s="33">
        <f>IF('Brut ajusté'!N17="","",'Brut ajusté'!N17)</f>
        <v/>
      </c>
      <c r="O17" s="33">
        <f>IF('Brut ajusté'!O17="","",'Brut ajusté'!O17)</f>
        <v/>
      </c>
      <c r="P17" s="33">
        <f>IF('Brut ajusté'!P17="","",'Brut ajusté'!P17)</f>
        <v/>
      </c>
    </row>
    <row r="18">
      <c r="B18" s="32">
        <f>'Brut ajusté'!B18</f>
        <v/>
      </c>
      <c r="C18" s="33">
        <f>IF('Brut ajusté'!C18="","",'Brut ajusté'!C18)</f>
        <v/>
      </c>
      <c r="D18" s="33">
        <f>IF(OR('Brut ajusté'!D18="",$B18&lt;INFR_debut),"",'Brut ajusté'!D18)</f>
        <v/>
      </c>
      <c r="E18" s="33">
        <f>IF('Brut ajusté'!E18="","",'Brut ajusté'!E18)</f>
        <v/>
      </c>
      <c r="F18" s="33">
        <f>IF('Brut ajusté'!F18="","",'Brut ajusté'!F18)</f>
        <v/>
      </c>
      <c r="G18" s="33">
        <f>IF('Brut ajusté'!G18="","",'Brut ajusté'!G18)</f>
        <v/>
      </c>
      <c r="H18" s="33">
        <f>IF('Brut ajusté'!H18="","",'Brut ajusté'!H18)</f>
        <v/>
      </c>
      <c r="I18" s="33">
        <f>IF('Brut ajusté'!I18="","",'Brut ajusté'!I18)</f>
        <v/>
      </c>
      <c r="J18" s="33">
        <f>IF('Brut ajusté'!J18="","",IF($B18&lt;BIP_date,'Brut ajusté'!J18/BIP_facteur,'Brut ajusté'!J18))</f>
        <v/>
      </c>
      <c r="K18" s="33">
        <f>IF('Brut ajusté'!K18="","",'Brut ajusté'!K18)</f>
        <v/>
      </c>
      <c r="L18" s="33">
        <f>IF('Brut ajusté'!L18="","",'Brut ajusté'!L18)</f>
        <v/>
      </c>
      <c r="M18" s="33">
        <f>IF('Brut ajusté'!M18="","",'Brut ajusté'!M18)</f>
        <v/>
      </c>
      <c r="N18" s="33">
        <f>IF('Brut ajusté'!N18="","",'Brut ajusté'!N18)</f>
        <v/>
      </c>
      <c r="O18" s="33">
        <f>IF('Brut ajusté'!O18="","",'Brut ajusté'!O18)</f>
        <v/>
      </c>
      <c r="P18" s="33">
        <f>IF('Brut ajusté'!P18="","",'Brut ajusté'!P18)</f>
        <v/>
      </c>
    </row>
    <row r="19">
      <c r="B19" s="32">
        <f>'Brut ajusté'!B19</f>
        <v/>
      </c>
      <c r="C19" s="33">
        <f>IF('Brut ajusté'!C19="","",'Brut ajusté'!C19)</f>
        <v/>
      </c>
      <c r="D19" s="33">
        <f>IF(OR('Brut ajusté'!D19="",$B19&lt;INFR_debut),"",'Brut ajusté'!D19)</f>
        <v/>
      </c>
      <c r="E19" s="33">
        <f>IF('Brut ajusté'!E19="","",'Brut ajusté'!E19)</f>
        <v/>
      </c>
      <c r="F19" s="33">
        <f>IF('Brut ajusté'!F19="","",'Brut ajusté'!F19)</f>
        <v/>
      </c>
      <c r="G19" s="33">
        <f>IF('Brut ajusté'!G19="","",'Brut ajusté'!G19)</f>
        <v/>
      </c>
      <c r="H19" s="33">
        <f>IF('Brut ajusté'!H19="","",'Brut ajusté'!H19)</f>
        <v/>
      </c>
      <c r="I19" s="33">
        <f>IF('Brut ajusté'!I19="","",'Brut ajusté'!I19)</f>
        <v/>
      </c>
      <c r="J19" s="33">
        <f>IF('Brut ajusté'!J19="","",IF($B19&lt;BIP_date,'Brut ajusté'!J19/BIP_facteur,'Brut ajusté'!J19))</f>
        <v/>
      </c>
      <c r="K19" s="33">
        <f>IF('Brut ajusté'!K19="","",'Brut ajusté'!K19)</f>
        <v/>
      </c>
      <c r="L19" s="33">
        <f>IF('Brut ajusté'!L19="","",'Brut ajusté'!L19)</f>
        <v/>
      </c>
      <c r="M19" s="33">
        <f>IF('Brut ajusté'!M19="","",'Brut ajusté'!M19)</f>
        <v/>
      </c>
      <c r="N19" s="33">
        <f>IF('Brut ajusté'!N19="","",'Brut ajusté'!N19)</f>
        <v/>
      </c>
      <c r="O19" s="33">
        <f>IF('Brut ajusté'!O19="","",'Brut ajusté'!O19)</f>
        <v/>
      </c>
      <c r="P19" s="33">
        <f>IF('Brut ajusté'!P19="","",'Brut ajusté'!P19)</f>
        <v/>
      </c>
    </row>
    <row r="20">
      <c r="B20" s="32">
        <f>'Brut ajusté'!B20</f>
        <v/>
      </c>
      <c r="C20" s="33">
        <f>IF('Brut ajusté'!C20="","",'Brut ajusté'!C20)</f>
        <v/>
      </c>
      <c r="D20" s="33">
        <f>IF(OR('Brut ajusté'!D20="",$B20&lt;INFR_debut),"",'Brut ajusté'!D20)</f>
        <v/>
      </c>
      <c r="E20" s="33">
        <f>IF('Brut ajusté'!E20="","",'Brut ajusté'!E20)</f>
        <v/>
      </c>
      <c r="F20" s="33">
        <f>IF('Brut ajusté'!F20="","",'Brut ajusté'!F20)</f>
        <v/>
      </c>
      <c r="G20" s="33">
        <f>IF('Brut ajusté'!G20="","",'Brut ajusté'!G20)</f>
        <v/>
      </c>
      <c r="H20" s="33">
        <f>IF('Brut ajusté'!H20="","",'Brut ajusté'!H20)</f>
        <v/>
      </c>
      <c r="I20" s="33">
        <f>IF('Brut ajusté'!I20="","",'Brut ajusté'!I20)</f>
        <v/>
      </c>
      <c r="J20" s="33">
        <f>IF('Brut ajusté'!J20="","",IF($B20&lt;BIP_date,'Brut ajusté'!J20/BIP_facteur,'Brut ajusté'!J20))</f>
        <v/>
      </c>
      <c r="K20" s="33">
        <f>IF('Brut ajusté'!K20="","",'Brut ajusté'!K20)</f>
        <v/>
      </c>
      <c r="L20" s="33">
        <f>IF('Brut ajusté'!L20="","",'Brut ajusté'!L20)</f>
        <v/>
      </c>
      <c r="M20" s="33">
        <f>IF('Brut ajusté'!M20="","",'Brut ajusté'!M20)</f>
        <v/>
      </c>
      <c r="N20" s="33">
        <f>IF('Brut ajusté'!N20="","",'Brut ajusté'!N20)</f>
        <v/>
      </c>
      <c r="O20" s="33">
        <f>IF('Brut ajusté'!O20="","",'Brut ajusté'!O20)</f>
        <v/>
      </c>
      <c r="P20" s="33">
        <f>IF('Brut ajusté'!P20="","",'Brut ajusté'!P20)</f>
        <v/>
      </c>
    </row>
    <row r="21">
      <c r="B21" s="32">
        <f>'Brut ajusté'!B21</f>
        <v/>
      </c>
      <c r="C21" s="33">
        <f>IF('Brut ajusté'!C21="","",'Brut ajusté'!C21)</f>
        <v/>
      </c>
      <c r="D21" s="33">
        <f>IF(OR('Brut ajusté'!D21="",$B21&lt;INFR_debut),"",'Brut ajusté'!D21)</f>
        <v/>
      </c>
      <c r="E21" s="33">
        <f>IF('Brut ajusté'!E21="","",'Brut ajusté'!E21)</f>
        <v/>
      </c>
      <c r="F21" s="33">
        <f>IF('Brut ajusté'!F21="","",'Brut ajusté'!F21)</f>
        <v/>
      </c>
      <c r="G21" s="33">
        <f>IF('Brut ajusté'!G21="","",'Brut ajusté'!G21)</f>
        <v/>
      </c>
      <c r="H21" s="33">
        <f>IF('Brut ajusté'!H21="","",'Brut ajusté'!H21)</f>
        <v/>
      </c>
      <c r="I21" s="33">
        <f>IF('Brut ajusté'!I21="","",'Brut ajusté'!I21)</f>
        <v/>
      </c>
      <c r="J21" s="33">
        <f>IF('Brut ajusté'!J21="","",IF($B21&lt;BIP_date,'Brut ajusté'!J21/BIP_facteur,'Brut ajusté'!J21))</f>
        <v/>
      </c>
      <c r="K21" s="33">
        <f>IF('Brut ajusté'!K21="","",'Brut ajusté'!K21)</f>
        <v/>
      </c>
      <c r="L21" s="33">
        <f>IF('Brut ajusté'!L21="","",'Brut ajusté'!L21)</f>
        <v/>
      </c>
      <c r="M21" s="33">
        <f>IF('Brut ajusté'!M21="","",'Brut ajusté'!M21)</f>
        <v/>
      </c>
      <c r="N21" s="33">
        <f>IF('Brut ajusté'!N21="","",'Brut ajusté'!N21)</f>
        <v/>
      </c>
      <c r="O21" s="33">
        <f>IF('Brut ajusté'!O21="","",'Brut ajusté'!O21)</f>
        <v/>
      </c>
      <c r="P21" s="33">
        <f>IF('Brut ajusté'!P21="","",'Brut ajusté'!P21)</f>
        <v/>
      </c>
    </row>
    <row r="22">
      <c r="B22" s="32">
        <f>'Brut ajusté'!B22</f>
        <v/>
      </c>
      <c r="C22" s="33">
        <f>IF('Brut ajusté'!C22="","",'Brut ajusté'!C22)</f>
        <v/>
      </c>
      <c r="D22" s="33">
        <f>IF(OR('Brut ajusté'!D22="",$B22&lt;INFR_debut),"",'Brut ajusté'!D22)</f>
        <v/>
      </c>
      <c r="E22" s="33">
        <f>IF('Brut ajusté'!E22="","",'Brut ajusté'!E22)</f>
        <v/>
      </c>
      <c r="F22" s="33">
        <f>IF('Brut ajusté'!F22="","",'Brut ajusté'!F22)</f>
        <v/>
      </c>
      <c r="G22" s="33">
        <f>IF('Brut ajusté'!G22="","",'Brut ajusté'!G22)</f>
        <v/>
      </c>
      <c r="H22" s="33">
        <f>IF('Brut ajusté'!H22="","",'Brut ajusté'!H22)</f>
        <v/>
      </c>
      <c r="I22" s="33">
        <f>IF('Brut ajusté'!I22="","",'Brut ajusté'!I22)</f>
        <v/>
      </c>
      <c r="J22" s="33">
        <f>IF('Brut ajusté'!J22="","",IF($B22&lt;BIP_date,'Brut ajusté'!J22/BIP_facteur,'Brut ajusté'!J22))</f>
        <v/>
      </c>
      <c r="K22" s="33">
        <f>IF('Brut ajusté'!K22="","",'Brut ajusté'!K22)</f>
        <v/>
      </c>
      <c r="L22" s="33">
        <f>IF('Brut ajusté'!L22="","",'Brut ajusté'!L22)</f>
        <v/>
      </c>
      <c r="M22" s="33">
        <f>IF('Brut ajusté'!M22="","",'Brut ajusté'!M22)</f>
        <v/>
      </c>
      <c r="N22" s="33">
        <f>IF('Brut ajusté'!N22="","",'Brut ajusté'!N22)</f>
        <v/>
      </c>
      <c r="O22" s="33">
        <f>IF('Brut ajusté'!O22="","",'Brut ajusté'!O22)</f>
        <v/>
      </c>
      <c r="P22" s="33">
        <f>IF('Brut ajusté'!P22="","",'Brut ajusté'!P22)</f>
        <v/>
      </c>
    </row>
    <row r="23">
      <c r="B23" s="32">
        <f>'Brut ajusté'!B23</f>
        <v/>
      </c>
      <c r="C23" s="33">
        <f>IF('Brut ajusté'!C23="","",'Brut ajusté'!C23)</f>
        <v/>
      </c>
      <c r="D23" s="33">
        <f>IF(OR('Brut ajusté'!D23="",$B23&lt;INFR_debut),"",'Brut ajusté'!D23)</f>
        <v/>
      </c>
      <c r="E23" s="33">
        <f>IF('Brut ajusté'!E23="","",'Brut ajusté'!E23)</f>
        <v/>
      </c>
      <c r="F23" s="33">
        <f>IF('Brut ajusté'!F23="","",'Brut ajusté'!F23)</f>
        <v/>
      </c>
      <c r="G23" s="33">
        <f>IF('Brut ajusté'!G23="","",'Brut ajusté'!G23)</f>
        <v/>
      </c>
      <c r="H23" s="33">
        <f>IF('Brut ajusté'!H23="","",'Brut ajusté'!H23)</f>
        <v/>
      </c>
      <c r="I23" s="33">
        <f>IF('Brut ajusté'!I23="","",'Brut ajusté'!I23)</f>
        <v/>
      </c>
      <c r="J23" s="33">
        <f>IF('Brut ajusté'!J23="","",IF($B23&lt;BIP_date,'Brut ajusté'!J23/BIP_facteur,'Brut ajusté'!J23))</f>
        <v/>
      </c>
      <c r="K23" s="33">
        <f>IF('Brut ajusté'!K23="","",'Brut ajusté'!K23)</f>
        <v/>
      </c>
      <c r="L23" s="33">
        <f>IF('Brut ajusté'!L23="","",'Brut ajusté'!L23)</f>
        <v/>
      </c>
      <c r="M23" s="33">
        <f>IF('Brut ajusté'!M23="","",'Brut ajusté'!M23)</f>
        <v/>
      </c>
      <c r="N23" s="33">
        <f>IF('Brut ajusté'!N23="","",'Brut ajusté'!N23)</f>
        <v/>
      </c>
      <c r="O23" s="33">
        <f>IF('Brut ajusté'!O23="","",'Brut ajusté'!O23)</f>
        <v/>
      </c>
      <c r="P23" s="33">
        <f>IF('Brut ajusté'!P23="","",'Brut ajusté'!P23)</f>
        <v/>
      </c>
    </row>
    <row r="24">
      <c r="B24" s="32">
        <f>'Brut ajusté'!B24</f>
        <v/>
      </c>
      <c r="C24" s="33">
        <f>IF('Brut ajusté'!C24="","",'Brut ajusté'!C24)</f>
        <v/>
      </c>
      <c r="D24" s="33">
        <f>IF(OR('Brut ajusté'!D24="",$B24&lt;INFR_debut),"",'Brut ajusté'!D24)</f>
        <v/>
      </c>
      <c r="E24" s="33">
        <f>IF('Brut ajusté'!E24="","",'Brut ajusté'!E24)</f>
        <v/>
      </c>
      <c r="F24" s="33">
        <f>IF('Brut ajusté'!F24="","",'Brut ajusté'!F24)</f>
        <v/>
      </c>
      <c r="G24" s="33">
        <f>IF('Brut ajusté'!G24="","",'Brut ajusté'!G24)</f>
        <v/>
      </c>
      <c r="H24" s="33">
        <f>IF('Brut ajusté'!H24="","",'Brut ajusté'!H24)</f>
        <v/>
      </c>
      <c r="I24" s="33">
        <f>IF('Brut ajusté'!I24="","",'Brut ajusté'!I24)</f>
        <v/>
      </c>
      <c r="J24" s="33">
        <f>IF('Brut ajusté'!J24="","",IF($B24&lt;BIP_date,'Brut ajusté'!J24/BIP_facteur,'Brut ajusté'!J24))</f>
        <v/>
      </c>
      <c r="K24" s="33">
        <f>IF('Brut ajusté'!K24="","",'Brut ajusté'!K24)</f>
        <v/>
      </c>
      <c r="L24" s="33">
        <f>IF('Brut ajusté'!L24="","",'Brut ajusté'!L24)</f>
        <v/>
      </c>
      <c r="M24" s="33">
        <f>IF('Brut ajusté'!M24="","",'Brut ajusté'!M24)</f>
        <v/>
      </c>
      <c r="N24" s="33">
        <f>IF('Brut ajusté'!N24="","",'Brut ajusté'!N24)</f>
        <v/>
      </c>
      <c r="O24" s="33">
        <f>IF('Brut ajusté'!O24="","",'Brut ajusté'!O24)</f>
        <v/>
      </c>
      <c r="P24" s="33">
        <f>IF('Brut ajusté'!P24="","",'Brut ajusté'!P24)</f>
        <v/>
      </c>
    </row>
    <row r="25">
      <c r="B25" s="32">
        <f>'Brut ajusté'!B25</f>
        <v/>
      </c>
      <c r="C25" s="33">
        <f>IF('Brut ajusté'!C25="","",'Brut ajusté'!C25)</f>
        <v/>
      </c>
      <c r="D25" s="33">
        <f>IF(OR('Brut ajusté'!D25="",$B25&lt;INFR_debut),"",'Brut ajusté'!D25)</f>
        <v/>
      </c>
      <c r="E25" s="33">
        <f>IF('Brut ajusté'!E25="","",'Brut ajusté'!E25)</f>
        <v/>
      </c>
      <c r="F25" s="33">
        <f>IF('Brut ajusté'!F25="","",'Brut ajusté'!F25)</f>
        <v/>
      </c>
      <c r="G25" s="33">
        <f>IF('Brut ajusté'!G25="","",'Brut ajusté'!G25)</f>
        <v/>
      </c>
      <c r="H25" s="33">
        <f>IF('Brut ajusté'!H25="","",'Brut ajusté'!H25)</f>
        <v/>
      </c>
      <c r="I25" s="33">
        <f>IF('Brut ajusté'!I25="","",'Brut ajusté'!I25)</f>
        <v/>
      </c>
      <c r="J25" s="33">
        <f>IF('Brut ajusté'!J25="","",IF($B25&lt;BIP_date,'Brut ajusté'!J25/BIP_facteur,'Brut ajusté'!J25))</f>
        <v/>
      </c>
      <c r="K25" s="33">
        <f>IF('Brut ajusté'!K25="","",'Brut ajusté'!K25)</f>
        <v/>
      </c>
      <c r="L25" s="33">
        <f>IF('Brut ajusté'!L25="","",'Brut ajusté'!L25)</f>
        <v/>
      </c>
      <c r="M25" s="33">
        <f>IF('Brut ajusté'!M25="","",'Brut ajusté'!M25)</f>
        <v/>
      </c>
      <c r="N25" s="33">
        <f>IF('Brut ajusté'!N25="","",'Brut ajusté'!N25)</f>
        <v/>
      </c>
      <c r="O25" s="33">
        <f>IF('Brut ajusté'!O25="","",'Brut ajusté'!O25)</f>
        <v/>
      </c>
      <c r="P25" s="33">
        <f>IF('Brut ajusté'!P25="","",'Brut ajusté'!P25)</f>
        <v/>
      </c>
    </row>
    <row r="26">
      <c r="B26" s="32">
        <f>'Brut ajusté'!B26</f>
        <v/>
      </c>
      <c r="C26" s="33">
        <f>IF('Brut ajusté'!C26="","",'Brut ajusté'!C26)</f>
        <v/>
      </c>
      <c r="D26" s="33">
        <f>IF(OR('Brut ajusté'!D26="",$B26&lt;INFR_debut),"",'Brut ajusté'!D26)</f>
        <v/>
      </c>
      <c r="E26" s="33">
        <f>IF('Brut ajusté'!E26="","",'Brut ajusté'!E26)</f>
        <v/>
      </c>
      <c r="F26" s="33">
        <f>IF('Brut ajusté'!F26="","",'Brut ajusté'!F26)</f>
        <v/>
      </c>
      <c r="G26" s="33">
        <f>IF('Brut ajusté'!G26="","",'Brut ajusté'!G26)</f>
        <v/>
      </c>
      <c r="H26" s="33">
        <f>IF('Brut ajusté'!H26="","",'Brut ajusté'!H26)</f>
        <v/>
      </c>
      <c r="I26" s="33">
        <f>IF('Brut ajusté'!I26="","",'Brut ajusté'!I26)</f>
        <v/>
      </c>
      <c r="J26" s="33">
        <f>IF('Brut ajusté'!J26="","",IF($B26&lt;BIP_date,'Brut ajusté'!J26/BIP_facteur,'Brut ajusté'!J26))</f>
        <v/>
      </c>
      <c r="K26" s="33">
        <f>IF('Brut ajusté'!K26="","",'Brut ajusté'!K26)</f>
        <v/>
      </c>
      <c r="L26" s="33">
        <f>IF('Brut ajusté'!L26="","",'Brut ajusté'!L26)</f>
        <v/>
      </c>
      <c r="M26" s="33">
        <f>IF('Brut ajusté'!M26="","",'Brut ajusté'!M26)</f>
        <v/>
      </c>
      <c r="N26" s="33">
        <f>IF('Brut ajusté'!N26="","",'Brut ajusté'!N26)</f>
        <v/>
      </c>
      <c r="O26" s="33">
        <f>IF('Brut ajusté'!O26="","",'Brut ajusté'!O26)</f>
        <v/>
      </c>
      <c r="P26" s="33">
        <f>IF('Brut ajusté'!P26="","",'Brut ajusté'!P26)</f>
        <v/>
      </c>
    </row>
    <row r="27">
      <c r="B27" s="32">
        <f>'Brut ajusté'!B27</f>
        <v/>
      </c>
      <c r="C27" s="33">
        <f>IF('Brut ajusté'!C27="","",'Brut ajusté'!C27)</f>
        <v/>
      </c>
      <c r="D27" s="33">
        <f>IF(OR('Brut ajusté'!D27="",$B27&lt;INFR_debut),"",'Brut ajusté'!D27)</f>
        <v/>
      </c>
      <c r="E27" s="33">
        <f>IF('Brut ajusté'!E27="","",'Brut ajusté'!E27)</f>
        <v/>
      </c>
      <c r="F27" s="33">
        <f>IF('Brut ajusté'!F27="","",'Brut ajusté'!F27)</f>
        <v/>
      </c>
      <c r="G27" s="33">
        <f>IF('Brut ajusté'!G27="","",'Brut ajusté'!G27)</f>
        <v/>
      </c>
      <c r="H27" s="33">
        <f>IF('Brut ajusté'!H27="","",'Brut ajusté'!H27)</f>
        <v/>
      </c>
      <c r="I27" s="33">
        <f>IF('Brut ajusté'!I27="","",'Brut ajusté'!I27)</f>
        <v/>
      </c>
      <c r="J27" s="33">
        <f>IF('Brut ajusté'!J27="","",IF($B27&lt;BIP_date,'Brut ajusté'!J27/BIP_facteur,'Brut ajusté'!J27))</f>
        <v/>
      </c>
      <c r="K27" s="33">
        <f>IF('Brut ajusté'!K27="","",'Brut ajusté'!K27)</f>
        <v/>
      </c>
      <c r="L27" s="33">
        <f>IF('Brut ajusté'!L27="","",'Brut ajusté'!L27)</f>
        <v/>
      </c>
      <c r="M27" s="33">
        <f>IF('Brut ajusté'!M27="","",'Brut ajusté'!M27)</f>
        <v/>
      </c>
      <c r="N27" s="33">
        <f>IF('Brut ajusté'!N27="","",'Brut ajusté'!N27)</f>
        <v/>
      </c>
      <c r="O27" s="33">
        <f>IF('Brut ajusté'!O27="","",'Brut ajusté'!O27)</f>
        <v/>
      </c>
      <c r="P27" s="33">
        <f>IF('Brut ajusté'!P27="","",'Brut ajusté'!P27)</f>
        <v/>
      </c>
    </row>
    <row r="28">
      <c r="B28" s="32">
        <f>'Brut ajusté'!B28</f>
        <v/>
      </c>
      <c r="C28" s="33">
        <f>IF('Brut ajusté'!C28="","",'Brut ajusté'!C28)</f>
        <v/>
      </c>
      <c r="D28" s="33">
        <f>IF(OR('Brut ajusté'!D28="",$B28&lt;INFR_debut),"",'Brut ajusté'!D28)</f>
        <v/>
      </c>
      <c r="E28" s="33">
        <f>IF('Brut ajusté'!E28="","",'Brut ajusté'!E28)</f>
        <v/>
      </c>
      <c r="F28" s="33">
        <f>IF('Brut ajusté'!F28="","",'Brut ajusté'!F28)</f>
        <v/>
      </c>
      <c r="G28" s="33">
        <f>IF('Brut ajusté'!G28="","",'Brut ajusté'!G28)</f>
        <v/>
      </c>
      <c r="H28" s="33">
        <f>IF('Brut ajusté'!H28="","",'Brut ajusté'!H28)</f>
        <v/>
      </c>
      <c r="I28" s="33">
        <f>IF('Brut ajusté'!I28="","",'Brut ajusté'!I28)</f>
        <v/>
      </c>
      <c r="J28" s="33">
        <f>IF('Brut ajusté'!J28="","",IF($B28&lt;BIP_date,'Brut ajusté'!J28/BIP_facteur,'Brut ajusté'!J28))</f>
        <v/>
      </c>
      <c r="K28" s="33">
        <f>IF('Brut ajusté'!K28="","",'Brut ajusté'!K28)</f>
        <v/>
      </c>
      <c r="L28" s="33">
        <f>IF('Brut ajusté'!L28="","",'Brut ajusté'!L28)</f>
        <v/>
      </c>
      <c r="M28" s="33">
        <f>IF('Brut ajusté'!M28="","",'Brut ajusté'!M28)</f>
        <v/>
      </c>
      <c r="N28" s="33">
        <f>IF('Brut ajusté'!N28="","",'Brut ajusté'!N28)</f>
        <v/>
      </c>
      <c r="O28" s="33">
        <f>IF('Brut ajusté'!O28="","",'Brut ajusté'!O28)</f>
        <v/>
      </c>
      <c r="P28" s="33">
        <f>IF('Brut ajusté'!P28="","",'Brut ajusté'!P28)</f>
        <v/>
      </c>
    </row>
    <row r="29">
      <c r="B29" s="32">
        <f>'Brut ajusté'!B29</f>
        <v/>
      </c>
      <c r="C29" s="33">
        <f>IF('Brut ajusté'!C29="","",'Brut ajusté'!C29)</f>
        <v/>
      </c>
      <c r="D29" s="33">
        <f>IF(OR('Brut ajusté'!D29="",$B29&lt;INFR_debut),"",'Brut ajusté'!D29)</f>
        <v/>
      </c>
      <c r="E29" s="33">
        <f>IF('Brut ajusté'!E29="","",'Brut ajusté'!E29)</f>
        <v/>
      </c>
      <c r="F29" s="33">
        <f>IF('Brut ajusté'!F29="","",'Brut ajusté'!F29)</f>
        <v/>
      </c>
      <c r="G29" s="33">
        <f>IF('Brut ajusté'!G29="","",'Brut ajusté'!G29)</f>
        <v/>
      </c>
      <c r="H29" s="33">
        <f>IF('Brut ajusté'!H29="","",'Brut ajusté'!H29)</f>
        <v/>
      </c>
      <c r="I29" s="33">
        <f>IF('Brut ajusté'!I29="","",'Brut ajusté'!I29)</f>
        <v/>
      </c>
      <c r="J29" s="33">
        <f>IF('Brut ajusté'!J29="","",IF($B29&lt;BIP_date,'Brut ajusté'!J29/BIP_facteur,'Brut ajusté'!J29))</f>
        <v/>
      </c>
      <c r="K29" s="33">
        <f>IF('Brut ajusté'!K29="","",'Brut ajusté'!K29)</f>
        <v/>
      </c>
      <c r="L29" s="33">
        <f>IF('Brut ajusté'!L29="","",'Brut ajusté'!L29)</f>
        <v/>
      </c>
      <c r="M29" s="33">
        <f>IF('Brut ajusté'!M29="","",'Brut ajusté'!M29)</f>
        <v/>
      </c>
      <c r="N29" s="33">
        <f>IF('Brut ajusté'!N29="","",'Brut ajusté'!N29)</f>
        <v/>
      </c>
      <c r="O29" s="33">
        <f>IF('Brut ajusté'!O29="","",'Brut ajusté'!O29)</f>
        <v/>
      </c>
      <c r="P29" s="33">
        <f>IF('Brut ajusté'!P29="","",'Brut ajusté'!P29)</f>
        <v/>
      </c>
    </row>
    <row r="30">
      <c r="B30" s="32">
        <f>'Brut ajusté'!B30</f>
        <v/>
      </c>
      <c r="C30" s="33">
        <f>IF('Brut ajusté'!C30="","",'Brut ajusté'!C30)</f>
        <v/>
      </c>
      <c r="D30" s="33">
        <f>IF(OR('Brut ajusté'!D30="",$B30&lt;INFR_debut),"",'Brut ajusté'!D30)</f>
        <v/>
      </c>
      <c r="E30" s="33">
        <f>IF('Brut ajusté'!E30="","",'Brut ajusté'!E30)</f>
        <v/>
      </c>
      <c r="F30" s="33">
        <f>IF('Brut ajusté'!F30="","",'Brut ajusté'!F30)</f>
        <v/>
      </c>
      <c r="G30" s="33">
        <f>IF('Brut ajusté'!G30="","",'Brut ajusté'!G30)</f>
        <v/>
      </c>
      <c r="H30" s="33">
        <f>IF('Brut ajusté'!H30="","",'Brut ajusté'!H30)</f>
        <v/>
      </c>
      <c r="I30" s="33">
        <f>IF('Brut ajusté'!I30="","",'Brut ajusté'!I30)</f>
        <v/>
      </c>
      <c r="J30" s="33">
        <f>IF('Brut ajusté'!J30="","",IF($B30&lt;BIP_date,'Brut ajusté'!J30/BIP_facteur,'Brut ajusté'!J30))</f>
        <v/>
      </c>
      <c r="K30" s="33">
        <f>IF('Brut ajusté'!K30="","",'Brut ajusté'!K30)</f>
        <v/>
      </c>
      <c r="L30" s="33">
        <f>IF('Brut ajusté'!L30="","",'Brut ajusté'!L30)</f>
        <v/>
      </c>
      <c r="M30" s="33">
        <f>IF('Brut ajusté'!M30="","",'Brut ajusté'!M30)</f>
        <v/>
      </c>
      <c r="N30" s="33">
        <f>IF('Brut ajusté'!N30="","",'Brut ajusté'!N30)</f>
        <v/>
      </c>
      <c r="O30" s="33">
        <f>IF('Brut ajusté'!O30="","",'Brut ajusté'!O30)</f>
        <v/>
      </c>
      <c r="P30" s="33">
        <f>IF('Brut ajusté'!P30="","",'Brut ajusté'!P30)</f>
        <v/>
      </c>
    </row>
    <row r="31">
      <c r="B31" s="32">
        <f>'Brut ajusté'!B31</f>
        <v/>
      </c>
      <c r="C31" s="33">
        <f>IF('Brut ajusté'!C31="","",'Brut ajusté'!C31)</f>
        <v/>
      </c>
      <c r="D31" s="33">
        <f>IF(OR('Brut ajusté'!D31="",$B31&lt;INFR_debut),"",'Brut ajusté'!D31)</f>
        <v/>
      </c>
      <c r="E31" s="33">
        <f>IF('Brut ajusté'!E31="","",'Brut ajusté'!E31)</f>
        <v/>
      </c>
      <c r="F31" s="33">
        <f>IF('Brut ajusté'!F31="","",'Brut ajusté'!F31)</f>
        <v/>
      </c>
      <c r="G31" s="33">
        <f>IF('Brut ajusté'!G31="","",'Brut ajusté'!G31)</f>
        <v/>
      </c>
      <c r="H31" s="33">
        <f>IF('Brut ajusté'!H31="","",'Brut ajusté'!H31)</f>
        <v/>
      </c>
      <c r="I31" s="33">
        <f>IF('Brut ajusté'!I31="","",'Brut ajusté'!I31)</f>
        <v/>
      </c>
      <c r="J31" s="33">
        <f>IF('Brut ajusté'!J31="","",IF($B31&lt;BIP_date,'Brut ajusté'!J31/BIP_facteur,'Brut ajusté'!J31))</f>
        <v/>
      </c>
      <c r="K31" s="33">
        <f>IF('Brut ajusté'!K31="","",'Brut ajusté'!K31)</f>
        <v/>
      </c>
      <c r="L31" s="33">
        <f>IF('Brut ajusté'!L31="","",'Brut ajusté'!L31)</f>
        <v/>
      </c>
      <c r="M31" s="33">
        <f>IF('Brut ajusté'!M31="","",'Brut ajusté'!M31)</f>
        <v/>
      </c>
      <c r="N31" s="33">
        <f>IF('Brut ajusté'!N31="","",'Brut ajusté'!N31)</f>
        <v/>
      </c>
      <c r="O31" s="33">
        <f>IF('Brut ajusté'!O31="","",'Brut ajusté'!O31)</f>
        <v/>
      </c>
      <c r="P31" s="33">
        <f>IF('Brut ajusté'!P31="","",'Brut ajusté'!P31)</f>
        <v/>
      </c>
    </row>
    <row r="32">
      <c r="B32" s="32">
        <f>'Brut ajusté'!B32</f>
        <v/>
      </c>
      <c r="C32" s="33">
        <f>IF('Brut ajusté'!C32="","",'Brut ajusté'!C32)</f>
        <v/>
      </c>
      <c r="D32" s="33">
        <f>IF(OR('Brut ajusté'!D32="",$B32&lt;INFR_debut),"",'Brut ajusté'!D32)</f>
        <v/>
      </c>
      <c r="E32" s="33">
        <f>IF('Brut ajusté'!E32="","",'Brut ajusté'!E32)</f>
        <v/>
      </c>
      <c r="F32" s="33">
        <f>IF('Brut ajusté'!F32="","",'Brut ajusté'!F32)</f>
        <v/>
      </c>
      <c r="G32" s="33">
        <f>IF('Brut ajusté'!G32="","",'Brut ajusté'!G32)</f>
        <v/>
      </c>
      <c r="H32" s="33">
        <f>IF('Brut ajusté'!H32="","",'Brut ajusté'!H32)</f>
        <v/>
      </c>
      <c r="I32" s="33">
        <f>IF('Brut ajusté'!I32="","",'Brut ajusté'!I32)</f>
        <v/>
      </c>
      <c r="J32" s="33">
        <f>IF('Brut ajusté'!J32="","",IF($B32&lt;BIP_date,'Brut ajusté'!J32/BIP_facteur,'Brut ajusté'!J32))</f>
        <v/>
      </c>
      <c r="K32" s="33">
        <f>IF('Brut ajusté'!K32="","",'Brut ajusté'!K32)</f>
        <v/>
      </c>
      <c r="L32" s="33">
        <f>IF('Brut ajusté'!L32="","",'Brut ajusté'!L32)</f>
        <v/>
      </c>
      <c r="M32" s="33">
        <f>IF('Brut ajusté'!M32="","",'Brut ajusté'!M32)</f>
        <v/>
      </c>
      <c r="N32" s="33">
        <f>IF('Brut ajusté'!N32="","",'Brut ajusté'!N32)</f>
        <v/>
      </c>
      <c r="O32" s="33">
        <f>IF('Brut ajusté'!O32="","",'Brut ajusté'!O32)</f>
        <v/>
      </c>
      <c r="P32" s="33">
        <f>IF('Brut ajusté'!P32="","",'Brut ajusté'!P32)</f>
        <v/>
      </c>
    </row>
    <row r="33">
      <c r="B33" s="32">
        <f>'Brut ajusté'!B33</f>
        <v/>
      </c>
      <c r="C33" s="33">
        <f>IF('Brut ajusté'!C33="","",'Brut ajusté'!C33)</f>
        <v/>
      </c>
      <c r="D33" s="33">
        <f>IF(OR('Brut ajusté'!D33="",$B33&lt;INFR_debut),"",'Brut ajusté'!D33)</f>
        <v/>
      </c>
      <c r="E33" s="33">
        <f>IF('Brut ajusté'!E33="","",'Brut ajusté'!E33)</f>
        <v/>
      </c>
      <c r="F33" s="33">
        <f>IF('Brut ajusté'!F33="","",'Brut ajusté'!F33)</f>
        <v/>
      </c>
      <c r="G33" s="33">
        <f>IF('Brut ajusté'!G33="","",'Brut ajusté'!G33)</f>
        <v/>
      </c>
      <c r="H33" s="33">
        <f>IF('Brut ajusté'!H33="","",'Brut ajusté'!H33)</f>
        <v/>
      </c>
      <c r="I33" s="33">
        <f>IF('Brut ajusté'!I33="","",'Brut ajusté'!I33)</f>
        <v/>
      </c>
      <c r="J33" s="33">
        <f>IF('Brut ajusté'!J33="","",IF($B33&lt;BIP_date,'Brut ajusté'!J33/BIP_facteur,'Brut ajusté'!J33))</f>
        <v/>
      </c>
      <c r="K33" s="33">
        <f>IF('Brut ajusté'!K33="","",'Brut ajusté'!K33)</f>
        <v/>
      </c>
      <c r="L33" s="33">
        <f>IF('Brut ajusté'!L33="","",'Brut ajusté'!L33)</f>
        <v/>
      </c>
      <c r="M33" s="33">
        <f>IF('Brut ajusté'!M33="","",'Brut ajusté'!M33)</f>
        <v/>
      </c>
      <c r="N33" s="33">
        <f>IF('Brut ajusté'!N33="","",'Brut ajusté'!N33)</f>
        <v/>
      </c>
      <c r="O33" s="33">
        <f>IF('Brut ajusté'!O33="","",'Brut ajusté'!O33)</f>
        <v/>
      </c>
      <c r="P33" s="33">
        <f>IF('Brut ajusté'!P33="","",'Brut ajusté'!P33)</f>
        <v/>
      </c>
    </row>
    <row r="34">
      <c r="B34" s="32">
        <f>'Brut ajusté'!B34</f>
        <v/>
      </c>
      <c r="C34" s="33">
        <f>IF('Brut ajusté'!C34="","",'Brut ajusté'!C34)</f>
        <v/>
      </c>
      <c r="D34" s="33">
        <f>IF(OR('Brut ajusté'!D34="",$B34&lt;INFR_debut),"",'Brut ajusté'!D34)</f>
        <v/>
      </c>
      <c r="E34" s="33">
        <f>IF('Brut ajusté'!E34="","",'Brut ajusté'!E34)</f>
        <v/>
      </c>
      <c r="F34" s="33">
        <f>IF('Brut ajusté'!F34="","",'Brut ajusté'!F34)</f>
        <v/>
      </c>
      <c r="G34" s="33">
        <f>IF('Brut ajusté'!G34="","",'Brut ajusté'!G34)</f>
        <v/>
      </c>
      <c r="H34" s="33">
        <f>IF('Brut ajusté'!H34="","",'Brut ajusté'!H34)</f>
        <v/>
      </c>
      <c r="I34" s="33">
        <f>IF('Brut ajusté'!I34="","",'Brut ajusté'!I34)</f>
        <v/>
      </c>
      <c r="J34" s="33">
        <f>IF('Brut ajusté'!J34="","",IF($B34&lt;BIP_date,'Brut ajusté'!J34/BIP_facteur,'Brut ajusté'!J34))</f>
        <v/>
      </c>
      <c r="K34" s="33">
        <f>IF('Brut ajusté'!K34="","",'Brut ajusté'!K34)</f>
        <v/>
      </c>
      <c r="L34" s="33">
        <f>IF('Brut ajusté'!L34="","",'Brut ajusté'!L34)</f>
        <v/>
      </c>
      <c r="M34" s="33">
        <f>IF('Brut ajusté'!M34="","",'Brut ajusté'!M34)</f>
        <v/>
      </c>
      <c r="N34" s="33">
        <f>IF('Brut ajusté'!N34="","",'Brut ajusté'!N34)</f>
        <v/>
      </c>
      <c r="O34" s="33">
        <f>IF('Brut ajusté'!O34="","",'Brut ajusté'!O34)</f>
        <v/>
      </c>
      <c r="P34" s="33">
        <f>IF('Brut ajusté'!P34="","",'Brut ajusté'!P34)</f>
        <v/>
      </c>
    </row>
    <row r="35">
      <c r="B35" s="32">
        <f>'Brut ajusté'!B35</f>
        <v/>
      </c>
      <c r="C35" s="33">
        <f>IF('Brut ajusté'!C35="","",'Brut ajusté'!C35)</f>
        <v/>
      </c>
      <c r="D35" s="33">
        <f>IF(OR('Brut ajusté'!D35="",$B35&lt;INFR_debut),"",'Brut ajusté'!D35)</f>
        <v/>
      </c>
      <c r="E35" s="33">
        <f>IF('Brut ajusté'!E35="","",'Brut ajusté'!E35)</f>
        <v/>
      </c>
      <c r="F35" s="33">
        <f>IF('Brut ajusté'!F35="","",'Brut ajusté'!F35)</f>
        <v/>
      </c>
      <c r="G35" s="33">
        <f>IF('Brut ajusté'!G35="","",'Brut ajusté'!G35)</f>
        <v/>
      </c>
      <c r="H35" s="33">
        <f>IF('Brut ajusté'!H35="","",'Brut ajusté'!H35)</f>
        <v/>
      </c>
      <c r="I35" s="33">
        <f>IF('Brut ajusté'!I35="","",'Brut ajusté'!I35)</f>
        <v/>
      </c>
      <c r="J35" s="33">
        <f>IF('Brut ajusté'!J35="","",IF($B35&lt;BIP_date,'Brut ajusté'!J35/BIP_facteur,'Brut ajusté'!J35))</f>
        <v/>
      </c>
      <c r="K35" s="33">
        <f>IF('Brut ajusté'!K35="","",'Brut ajusté'!K35)</f>
        <v/>
      </c>
      <c r="L35" s="33">
        <f>IF('Brut ajusté'!L35="","",'Brut ajusté'!L35)</f>
        <v/>
      </c>
      <c r="M35" s="33">
        <f>IF('Brut ajusté'!M35="","",'Brut ajusté'!M35)</f>
        <v/>
      </c>
      <c r="N35" s="33">
        <f>IF('Brut ajusté'!N35="","",'Brut ajusté'!N35)</f>
        <v/>
      </c>
      <c r="O35" s="33">
        <f>IF('Brut ajusté'!O35="","",'Brut ajusté'!O35)</f>
        <v/>
      </c>
      <c r="P35" s="33">
        <f>IF('Brut ajusté'!P35="","",'Brut ajusté'!P35)</f>
        <v/>
      </c>
    </row>
    <row r="36">
      <c r="B36" s="32">
        <f>'Brut ajusté'!B36</f>
        <v/>
      </c>
      <c r="C36" s="33">
        <f>IF('Brut ajusté'!C36="","",'Brut ajusté'!C36)</f>
        <v/>
      </c>
      <c r="D36" s="33">
        <f>IF(OR('Brut ajusté'!D36="",$B36&lt;INFR_debut),"",'Brut ajusté'!D36)</f>
        <v/>
      </c>
      <c r="E36" s="33">
        <f>IF('Brut ajusté'!E36="","",'Brut ajusté'!E36)</f>
        <v/>
      </c>
      <c r="F36" s="33">
        <f>IF('Brut ajusté'!F36="","",'Brut ajusté'!F36)</f>
        <v/>
      </c>
      <c r="G36" s="33">
        <f>IF('Brut ajusté'!G36="","",'Brut ajusté'!G36)</f>
        <v/>
      </c>
      <c r="H36" s="33">
        <f>IF('Brut ajusté'!H36="","",'Brut ajusté'!H36)</f>
        <v/>
      </c>
      <c r="I36" s="33">
        <f>IF('Brut ajusté'!I36="","",'Brut ajusté'!I36)</f>
        <v/>
      </c>
      <c r="J36" s="33">
        <f>IF('Brut ajusté'!J36="","",IF($B36&lt;BIP_date,'Brut ajusté'!J36/BIP_facteur,'Brut ajusté'!J36))</f>
        <v/>
      </c>
      <c r="K36" s="33">
        <f>IF('Brut ajusté'!K36="","",'Brut ajusté'!K36)</f>
        <v/>
      </c>
      <c r="L36" s="33">
        <f>IF('Brut ajusté'!L36="","",'Brut ajusté'!L36)</f>
        <v/>
      </c>
      <c r="M36" s="33">
        <f>IF('Brut ajusté'!M36="","",'Brut ajusté'!M36)</f>
        <v/>
      </c>
      <c r="N36" s="33">
        <f>IF('Brut ajusté'!N36="","",'Brut ajusté'!N36)</f>
        <v/>
      </c>
      <c r="O36" s="33">
        <f>IF('Brut ajusté'!O36="","",'Brut ajusté'!O36)</f>
        <v/>
      </c>
      <c r="P36" s="33">
        <f>IF('Brut ajusté'!P36="","",'Brut ajusté'!P36)</f>
        <v/>
      </c>
    </row>
    <row r="37">
      <c r="B37" s="32">
        <f>'Brut ajusté'!B37</f>
        <v/>
      </c>
      <c r="C37" s="33">
        <f>IF('Brut ajusté'!C37="","",'Brut ajusté'!C37)</f>
        <v/>
      </c>
      <c r="D37" s="33">
        <f>IF(OR('Brut ajusté'!D37="",$B37&lt;INFR_debut),"",'Brut ajusté'!D37)</f>
        <v/>
      </c>
      <c r="E37" s="33">
        <f>IF('Brut ajusté'!E37="","",'Brut ajusté'!E37)</f>
        <v/>
      </c>
      <c r="F37" s="33">
        <f>IF('Brut ajusté'!F37="","",'Brut ajusté'!F37)</f>
        <v/>
      </c>
      <c r="G37" s="33">
        <f>IF('Brut ajusté'!G37="","",'Brut ajusté'!G37)</f>
        <v/>
      </c>
      <c r="H37" s="33">
        <f>IF('Brut ajusté'!H37="","",'Brut ajusté'!H37)</f>
        <v/>
      </c>
      <c r="I37" s="33">
        <f>IF('Brut ajusté'!I37="","",'Brut ajusté'!I37)</f>
        <v/>
      </c>
      <c r="J37" s="33">
        <f>IF('Brut ajusté'!J37="","",IF($B37&lt;BIP_date,'Brut ajusté'!J37/BIP_facteur,'Brut ajusté'!J37))</f>
        <v/>
      </c>
      <c r="K37" s="33">
        <f>IF('Brut ajusté'!K37="","",'Brut ajusté'!K37)</f>
        <v/>
      </c>
      <c r="L37" s="33">
        <f>IF('Brut ajusté'!L37="","",'Brut ajusté'!L37)</f>
        <v/>
      </c>
      <c r="M37" s="33">
        <f>IF('Brut ajusté'!M37="","",'Brut ajusté'!M37)</f>
        <v/>
      </c>
      <c r="N37" s="33">
        <f>IF('Brut ajusté'!N37="","",'Brut ajusté'!N37)</f>
        <v/>
      </c>
      <c r="O37" s="33">
        <f>IF('Brut ajusté'!O37="","",'Brut ajusté'!O37)</f>
        <v/>
      </c>
      <c r="P37" s="33">
        <f>IF('Brut ajusté'!P37="","",'Brut ajusté'!P37)</f>
        <v/>
      </c>
    </row>
    <row r="38">
      <c r="B38" s="32">
        <f>'Brut ajusté'!B38</f>
        <v/>
      </c>
      <c r="C38" s="33">
        <f>IF('Brut ajusté'!C38="","",'Brut ajusté'!C38)</f>
        <v/>
      </c>
      <c r="D38" s="33">
        <f>IF(OR('Brut ajusté'!D38="",$B38&lt;INFR_debut),"",'Brut ajusté'!D38)</f>
        <v/>
      </c>
      <c r="E38" s="33">
        <f>IF('Brut ajusté'!E38="","",'Brut ajusté'!E38)</f>
        <v/>
      </c>
      <c r="F38" s="33">
        <f>IF('Brut ajusté'!F38="","",'Brut ajusté'!F38)</f>
        <v/>
      </c>
      <c r="G38" s="33">
        <f>IF('Brut ajusté'!G38="","",'Brut ajusté'!G38)</f>
        <v/>
      </c>
      <c r="H38" s="33">
        <f>IF('Brut ajusté'!H38="","",'Brut ajusté'!H38)</f>
        <v/>
      </c>
      <c r="I38" s="33">
        <f>IF('Brut ajusté'!I38="","",'Brut ajusté'!I38)</f>
        <v/>
      </c>
      <c r="J38" s="33">
        <f>IF('Brut ajusté'!J38="","",IF($B38&lt;BIP_date,'Brut ajusté'!J38/BIP_facteur,'Brut ajusté'!J38))</f>
        <v/>
      </c>
      <c r="K38" s="33">
        <f>IF('Brut ajusté'!K38="","",'Brut ajusté'!K38)</f>
        <v/>
      </c>
      <c r="L38" s="33">
        <f>IF('Brut ajusté'!L38="","",'Brut ajusté'!L38)</f>
        <v/>
      </c>
      <c r="M38" s="33">
        <f>IF('Brut ajusté'!M38="","",'Brut ajusté'!M38)</f>
        <v/>
      </c>
      <c r="N38" s="33">
        <f>IF('Brut ajusté'!N38="","",'Brut ajusté'!N38)</f>
        <v/>
      </c>
      <c r="O38" s="33">
        <f>IF('Brut ajusté'!O38="","",'Brut ajusté'!O38)</f>
        <v/>
      </c>
      <c r="P38" s="33">
        <f>IF('Brut ajusté'!P38="","",'Brut ajusté'!P38)</f>
        <v/>
      </c>
    </row>
    <row r="39">
      <c r="B39" s="32">
        <f>'Brut ajusté'!B39</f>
        <v/>
      </c>
      <c r="C39" s="33">
        <f>IF('Brut ajusté'!C39="","",'Brut ajusté'!C39)</f>
        <v/>
      </c>
      <c r="D39" s="33">
        <f>IF(OR('Brut ajusté'!D39="",$B39&lt;INFR_debut),"",'Brut ajusté'!D39)</f>
        <v/>
      </c>
      <c r="E39" s="33">
        <f>IF('Brut ajusté'!E39="","",'Brut ajusté'!E39)</f>
        <v/>
      </c>
      <c r="F39" s="33">
        <f>IF('Brut ajusté'!F39="","",'Brut ajusté'!F39)</f>
        <v/>
      </c>
      <c r="G39" s="33">
        <f>IF('Brut ajusté'!G39="","",'Brut ajusté'!G39)</f>
        <v/>
      </c>
      <c r="H39" s="33">
        <f>IF('Brut ajusté'!H39="","",'Brut ajusté'!H39)</f>
        <v/>
      </c>
      <c r="I39" s="33">
        <f>IF('Brut ajusté'!I39="","",'Brut ajusté'!I39)</f>
        <v/>
      </c>
      <c r="J39" s="33">
        <f>IF('Brut ajusté'!J39="","",IF($B39&lt;BIP_date,'Brut ajusté'!J39/BIP_facteur,'Brut ajusté'!J39))</f>
        <v/>
      </c>
      <c r="K39" s="33">
        <f>IF('Brut ajusté'!K39="","",'Brut ajusté'!K39)</f>
        <v/>
      </c>
      <c r="L39" s="33">
        <f>IF('Brut ajusté'!L39="","",'Brut ajusté'!L39)</f>
        <v/>
      </c>
      <c r="M39" s="33">
        <f>IF('Brut ajusté'!M39="","",'Brut ajusté'!M39)</f>
        <v/>
      </c>
      <c r="N39" s="33">
        <f>IF('Brut ajusté'!N39="","",'Brut ajusté'!N39)</f>
        <v/>
      </c>
      <c r="O39" s="33">
        <f>IF('Brut ajusté'!O39="","",'Brut ajusté'!O39)</f>
        <v/>
      </c>
      <c r="P39" s="33">
        <f>IF('Brut ajusté'!P39="","",'Brut ajusté'!P39)</f>
        <v/>
      </c>
    </row>
    <row r="40">
      <c r="B40" s="32">
        <f>'Brut ajusté'!B40</f>
        <v/>
      </c>
      <c r="C40" s="33">
        <f>IF('Brut ajusté'!C40="","",'Brut ajusté'!C40)</f>
        <v/>
      </c>
      <c r="D40" s="33">
        <f>IF(OR('Brut ajusté'!D40="",$B40&lt;INFR_debut),"",'Brut ajusté'!D40)</f>
        <v/>
      </c>
      <c r="E40" s="33">
        <f>IF('Brut ajusté'!E40="","",'Brut ajusté'!E40)</f>
        <v/>
      </c>
      <c r="F40" s="33">
        <f>IF('Brut ajusté'!F40="","",'Brut ajusté'!F40)</f>
        <v/>
      </c>
      <c r="G40" s="33">
        <f>IF('Brut ajusté'!G40="","",'Brut ajusté'!G40)</f>
        <v/>
      </c>
      <c r="H40" s="33">
        <f>IF('Brut ajusté'!H40="","",'Brut ajusté'!H40)</f>
        <v/>
      </c>
      <c r="I40" s="33">
        <f>IF('Brut ajusté'!I40="","",'Brut ajusté'!I40)</f>
        <v/>
      </c>
      <c r="J40" s="33">
        <f>IF('Brut ajusté'!J40="","",IF($B40&lt;BIP_date,'Brut ajusté'!J40/BIP_facteur,'Brut ajusté'!J40))</f>
        <v/>
      </c>
      <c r="K40" s="33">
        <f>IF('Brut ajusté'!K40="","",'Brut ajusté'!K40)</f>
        <v/>
      </c>
      <c r="L40" s="33">
        <f>IF('Brut ajusté'!L40="","",'Brut ajusté'!L40)</f>
        <v/>
      </c>
      <c r="M40" s="33">
        <f>IF('Brut ajusté'!M40="","",'Brut ajusté'!M40)</f>
        <v/>
      </c>
      <c r="N40" s="33">
        <f>IF('Brut ajusté'!N40="","",'Brut ajusté'!N40)</f>
        <v/>
      </c>
      <c r="O40" s="33">
        <f>IF('Brut ajusté'!O40="","",'Brut ajusté'!O40)</f>
        <v/>
      </c>
      <c r="P40" s="33">
        <f>IF('Brut ajusté'!P40="","",'Brut ajusté'!P40)</f>
        <v/>
      </c>
    </row>
    <row r="41">
      <c r="B41" s="32">
        <f>'Brut ajusté'!B41</f>
        <v/>
      </c>
      <c r="C41" s="33">
        <f>IF('Brut ajusté'!C41="","",'Brut ajusté'!C41)</f>
        <v/>
      </c>
      <c r="D41" s="33">
        <f>IF(OR('Brut ajusté'!D41="",$B41&lt;INFR_debut),"",'Brut ajusté'!D41)</f>
        <v/>
      </c>
      <c r="E41" s="33">
        <f>IF('Brut ajusté'!E41="","",'Brut ajusté'!E41)</f>
        <v/>
      </c>
      <c r="F41" s="33">
        <f>IF('Brut ajusté'!F41="","",'Brut ajusté'!F41)</f>
        <v/>
      </c>
      <c r="G41" s="33">
        <f>IF('Brut ajusté'!G41="","",'Brut ajusté'!G41)</f>
        <v/>
      </c>
      <c r="H41" s="33">
        <f>IF('Brut ajusté'!H41="","",'Brut ajusté'!H41)</f>
        <v/>
      </c>
      <c r="I41" s="33">
        <f>IF('Brut ajusté'!I41="","",'Brut ajusté'!I41)</f>
        <v/>
      </c>
      <c r="J41" s="33">
        <f>IF('Brut ajusté'!J41="","",IF($B41&lt;BIP_date,'Brut ajusté'!J41/BIP_facteur,'Brut ajusté'!J41))</f>
        <v/>
      </c>
      <c r="K41" s="33">
        <f>IF('Brut ajusté'!K41="","",'Brut ajusté'!K41)</f>
        <v/>
      </c>
      <c r="L41" s="33">
        <f>IF('Brut ajusté'!L41="","",'Brut ajusté'!L41)</f>
        <v/>
      </c>
      <c r="M41" s="33">
        <f>IF('Brut ajusté'!M41="","",'Brut ajusté'!M41)</f>
        <v/>
      </c>
      <c r="N41" s="33">
        <f>IF('Brut ajusté'!N41="","",'Brut ajusté'!N41)</f>
        <v/>
      </c>
      <c r="O41" s="33">
        <f>IF('Brut ajusté'!O41="","",'Brut ajusté'!O41)</f>
        <v/>
      </c>
      <c r="P41" s="33">
        <f>IF('Brut ajusté'!P41="","",'Brut ajusté'!P41)</f>
        <v/>
      </c>
    </row>
    <row r="42">
      <c r="B42" s="32">
        <f>'Brut ajusté'!B42</f>
        <v/>
      </c>
      <c r="C42" s="33">
        <f>IF('Brut ajusté'!C42="","",'Brut ajusté'!C42)</f>
        <v/>
      </c>
      <c r="D42" s="33">
        <f>IF(OR('Brut ajusté'!D42="",$B42&lt;INFR_debut),"",'Brut ajusté'!D42)</f>
        <v/>
      </c>
      <c r="E42" s="33">
        <f>IF('Brut ajusté'!E42="","",'Brut ajusté'!E42)</f>
        <v/>
      </c>
      <c r="F42" s="33">
        <f>IF('Brut ajusté'!F42="","",'Brut ajusté'!F42)</f>
        <v/>
      </c>
      <c r="G42" s="33">
        <f>IF('Brut ajusté'!G42="","",'Brut ajusté'!G42)</f>
        <v/>
      </c>
      <c r="H42" s="33">
        <f>IF('Brut ajusté'!H42="","",'Brut ajusté'!H42)</f>
        <v/>
      </c>
      <c r="I42" s="33">
        <f>IF('Brut ajusté'!I42="","",'Brut ajusté'!I42)</f>
        <v/>
      </c>
      <c r="J42" s="33">
        <f>IF('Brut ajusté'!J42="","",IF($B42&lt;BIP_date,'Brut ajusté'!J42/BIP_facteur,'Brut ajusté'!J42))</f>
        <v/>
      </c>
      <c r="K42" s="33">
        <f>IF('Brut ajusté'!K42="","",'Brut ajusté'!K42)</f>
        <v/>
      </c>
      <c r="L42" s="33">
        <f>IF('Brut ajusté'!L42="","",'Brut ajusté'!L42)</f>
        <v/>
      </c>
      <c r="M42" s="33">
        <f>IF('Brut ajusté'!M42="","",'Brut ajusté'!M42)</f>
        <v/>
      </c>
      <c r="N42" s="33">
        <f>IF('Brut ajusté'!N42="","",'Brut ajusté'!N42)</f>
        <v/>
      </c>
      <c r="O42" s="33">
        <f>IF('Brut ajusté'!O42="","",'Brut ajusté'!O42)</f>
        <v/>
      </c>
      <c r="P42" s="33">
        <f>IF('Brut ajusté'!P42="","",'Brut ajusté'!P42)</f>
        <v/>
      </c>
    </row>
    <row r="43">
      <c r="B43" s="32">
        <f>'Brut ajusté'!B43</f>
        <v/>
      </c>
      <c r="C43" s="33">
        <f>IF('Brut ajusté'!C43="","",'Brut ajusté'!C43)</f>
        <v/>
      </c>
      <c r="D43" s="33">
        <f>IF(OR('Brut ajusté'!D43="",$B43&lt;INFR_debut),"",'Brut ajusté'!D43)</f>
        <v/>
      </c>
      <c r="E43" s="33">
        <f>IF('Brut ajusté'!E43="","",'Brut ajusté'!E43)</f>
        <v/>
      </c>
      <c r="F43" s="33">
        <f>IF('Brut ajusté'!F43="","",'Brut ajusté'!F43)</f>
        <v/>
      </c>
      <c r="G43" s="33">
        <f>IF('Brut ajusté'!G43="","",'Brut ajusté'!G43)</f>
        <v/>
      </c>
      <c r="H43" s="33">
        <f>IF('Brut ajusté'!H43="","",'Brut ajusté'!H43)</f>
        <v/>
      </c>
      <c r="I43" s="33">
        <f>IF('Brut ajusté'!I43="","",'Brut ajusté'!I43)</f>
        <v/>
      </c>
      <c r="J43" s="33">
        <f>IF('Brut ajusté'!J43="","",IF($B43&lt;BIP_date,'Brut ajusté'!J43/BIP_facteur,'Brut ajusté'!J43))</f>
        <v/>
      </c>
      <c r="K43" s="33">
        <f>IF('Brut ajusté'!K43="","",'Brut ajusté'!K43)</f>
        <v/>
      </c>
      <c r="L43" s="33">
        <f>IF('Brut ajusté'!L43="","",'Brut ajusté'!L43)</f>
        <v/>
      </c>
      <c r="M43" s="33">
        <f>IF('Brut ajusté'!M43="","",'Brut ajusté'!M43)</f>
        <v/>
      </c>
      <c r="N43" s="33">
        <f>IF('Brut ajusté'!N43="","",'Brut ajusté'!N43)</f>
        <v/>
      </c>
      <c r="O43" s="33">
        <f>IF('Brut ajusté'!O43="","",'Brut ajusté'!O43)</f>
        <v/>
      </c>
      <c r="P43" s="33">
        <f>IF('Brut ajusté'!P43="","",'Brut ajusté'!P43)</f>
        <v/>
      </c>
    </row>
    <row r="44">
      <c r="B44" s="32">
        <f>'Brut ajusté'!B44</f>
        <v/>
      </c>
      <c r="C44" s="33">
        <f>IF('Brut ajusté'!C44="","",'Brut ajusté'!C44)</f>
        <v/>
      </c>
      <c r="D44" s="33">
        <f>IF(OR('Brut ajusté'!D44="",$B44&lt;INFR_debut),"",'Brut ajusté'!D44)</f>
        <v/>
      </c>
      <c r="E44" s="33">
        <f>IF('Brut ajusté'!E44="","",'Brut ajusté'!E44)</f>
        <v/>
      </c>
      <c r="F44" s="33">
        <f>IF('Brut ajusté'!F44="","",'Brut ajusté'!F44)</f>
        <v/>
      </c>
      <c r="G44" s="33">
        <f>IF('Brut ajusté'!G44="","",'Brut ajusté'!G44)</f>
        <v/>
      </c>
      <c r="H44" s="33">
        <f>IF('Brut ajusté'!H44="","",'Brut ajusté'!H44)</f>
        <v/>
      </c>
      <c r="I44" s="33">
        <f>IF('Brut ajusté'!I44="","",'Brut ajusté'!I44)</f>
        <v/>
      </c>
      <c r="J44" s="33">
        <f>IF('Brut ajusté'!J44="","",IF($B44&lt;BIP_date,'Brut ajusté'!J44/BIP_facteur,'Brut ajusté'!J44))</f>
        <v/>
      </c>
      <c r="K44" s="33">
        <f>IF('Brut ajusté'!K44="","",'Brut ajusté'!K44)</f>
        <v/>
      </c>
      <c r="L44" s="33">
        <f>IF('Brut ajusté'!L44="","",'Brut ajusté'!L44)</f>
        <v/>
      </c>
      <c r="M44" s="33">
        <f>IF('Brut ajusté'!M44="","",'Brut ajusté'!M44)</f>
        <v/>
      </c>
      <c r="N44" s="33">
        <f>IF('Brut ajusté'!N44="","",'Brut ajusté'!N44)</f>
        <v/>
      </c>
      <c r="O44" s="33">
        <f>IF('Brut ajusté'!O44="","",'Brut ajusté'!O44)</f>
        <v/>
      </c>
      <c r="P44" s="33">
        <f>IF('Brut ajusté'!P44="","",'Brut ajusté'!P44)</f>
        <v/>
      </c>
    </row>
    <row r="45">
      <c r="B45" s="32">
        <f>'Brut ajusté'!B45</f>
        <v/>
      </c>
      <c r="C45" s="33">
        <f>IF('Brut ajusté'!C45="","",'Brut ajusté'!C45)</f>
        <v/>
      </c>
      <c r="D45" s="33">
        <f>IF(OR('Brut ajusté'!D45="",$B45&lt;INFR_debut),"",'Brut ajusté'!D45)</f>
        <v/>
      </c>
      <c r="E45" s="33">
        <f>IF('Brut ajusté'!E45="","",'Brut ajusté'!E45)</f>
        <v/>
      </c>
      <c r="F45" s="33">
        <f>IF('Brut ajusté'!F45="","",'Brut ajusté'!F45)</f>
        <v/>
      </c>
      <c r="G45" s="33">
        <f>IF('Brut ajusté'!G45="","",'Brut ajusté'!G45)</f>
        <v/>
      </c>
      <c r="H45" s="33">
        <f>IF('Brut ajusté'!H45="","",'Brut ajusté'!H45)</f>
        <v/>
      </c>
      <c r="I45" s="33">
        <f>IF('Brut ajusté'!I45="","",'Brut ajusté'!I45)</f>
        <v/>
      </c>
      <c r="J45" s="33">
        <f>IF('Brut ajusté'!J45="","",IF($B45&lt;BIP_date,'Brut ajusté'!J45/BIP_facteur,'Brut ajusté'!J45))</f>
        <v/>
      </c>
      <c r="K45" s="33">
        <f>IF('Brut ajusté'!K45="","",'Brut ajusté'!K45)</f>
        <v/>
      </c>
      <c r="L45" s="33">
        <f>IF('Brut ajusté'!L45="","",'Brut ajusté'!L45)</f>
        <v/>
      </c>
      <c r="M45" s="33">
        <f>IF('Brut ajusté'!M45="","",'Brut ajusté'!M45)</f>
        <v/>
      </c>
      <c r="N45" s="33">
        <f>IF('Brut ajusté'!N45="","",'Brut ajusté'!N45)</f>
        <v/>
      </c>
      <c r="O45" s="33">
        <f>IF('Brut ajusté'!O45="","",'Brut ajusté'!O45)</f>
        <v/>
      </c>
      <c r="P45" s="33">
        <f>IF('Brut ajusté'!P45="","",'Brut ajusté'!P45)</f>
        <v/>
      </c>
    </row>
    <row r="46">
      <c r="B46" s="32">
        <f>'Brut ajusté'!B46</f>
        <v/>
      </c>
      <c r="C46" s="33">
        <f>IF('Brut ajusté'!C46="","",'Brut ajusté'!C46)</f>
        <v/>
      </c>
      <c r="D46" s="33">
        <f>IF(OR('Brut ajusté'!D46="",$B46&lt;INFR_debut),"",'Brut ajusté'!D46)</f>
        <v/>
      </c>
      <c r="E46" s="33">
        <f>IF('Brut ajusté'!E46="","",'Brut ajusté'!E46)</f>
        <v/>
      </c>
      <c r="F46" s="33">
        <f>IF('Brut ajusté'!F46="","",'Brut ajusté'!F46)</f>
        <v/>
      </c>
      <c r="G46" s="33">
        <f>IF('Brut ajusté'!G46="","",'Brut ajusté'!G46)</f>
        <v/>
      </c>
      <c r="H46" s="33">
        <f>IF('Brut ajusté'!H46="","",'Brut ajusté'!H46)</f>
        <v/>
      </c>
      <c r="I46" s="33">
        <f>IF('Brut ajusté'!I46="","",'Brut ajusté'!I46)</f>
        <v/>
      </c>
      <c r="J46" s="33">
        <f>IF('Brut ajusté'!J46="","",IF($B46&lt;BIP_date,'Brut ajusté'!J46/BIP_facteur,'Brut ajusté'!J46))</f>
        <v/>
      </c>
      <c r="K46" s="33">
        <f>IF('Brut ajusté'!K46="","",'Brut ajusté'!K46)</f>
        <v/>
      </c>
      <c r="L46" s="33">
        <f>IF('Brut ajusté'!L46="","",'Brut ajusté'!L46)</f>
        <v/>
      </c>
      <c r="M46" s="33">
        <f>IF('Brut ajusté'!M46="","",'Brut ajusté'!M46)</f>
        <v/>
      </c>
      <c r="N46" s="33">
        <f>IF('Brut ajusté'!N46="","",'Brut ajusté'!N46)</f>
        <v/>
      </c>
      <c r="O46" s="33">
        <f>IF('Brut ajusté'!O46="","",'Brut ajusté'!O46)</f>
        <v/>
      </c>
      <c r="P46" s="33">
        <f>IF('Brut ajusté'!P46="","",'Brut ajusté'!P46)</f>
        <v/>
      </c>
    </row>
    <row r="47">
      <c r="B47" s="32">
        <f>'Brut ajusté'!B47</f>
        <v/>
      </c>
      <c r="C47" s="33">
        <f>IF('Brut ajusté'!C47="","",'Brut ajusté'!C47)</f>
        <v/>
      </c>
      <c r="D47" s="33">
        <f>IF(OR('Brut ajusté'!D47="",$B47&lt;INFR_debut),"",'Brut ajusté'!D47)</f>
        <v/>
      </c>
      <c r="E47" s="33">
        <f>IF('Brut ajusté'!E47="","",'Brut ajusté'!E47)</f>
        <v/>
      </c>
      <c r="F47" s="33">
        <f>IF('Brut ajusté'!F47="","",'Brut ajusté'!F47)</f>
        <v/>
      </c>
      <c r="G47" s="33">
        <f>IF('Brut ajusté'!G47="","",'Brut ajusté'!G47)</f>
        <v/>
      </c>
      <c r="H47" s="33">
        <f>IF('Brut ajusté'!H47="","",'Brut ajusté'!H47)</f>
        <v/>
      </c>
      <c r="I47" s="33">
        <f>IF('Brut ajusté'!I47="","",'Brut ajusté'!I47)</f>
        <v/>
      </c>
      <c r="J47" s="33">
        <f>IF('Brut ajusté'!J47="","",IF($B47&lt;BIP_date,'Brut ajusté'!J47/BIP_facteur,'Brut ajusté'!J47))</f>
        <v/>
      </c>
      <c r="K47" s="33">
        <f>IF('Brut ajusté'!K47="","",'Brut ajusté'!K47)</f>
        <v/>
      </c>
      <c r="L47" s="33">
        <f>IF('Brut ajusté'!L47="","",'Brut ajusté'!L47)</f>
        <v/>
      </c>
      <c r="M47" s="33">
        <f>IF('Brut ajusté'!M47="","",'Brut ajusté'!M47)</f>
        <v/>
      </c>
      <c r="N47" s="33">
        <f>IF('Brut ajusté'!N47="","",'Brut ajusté'!N47)</f>
        <v/>
      </c>
      <c r="O47" s="33">
        <f>IF('Brut ajusté'!O47="","",'Brut ajusté'!O47)</f>
        <v/>
      </c>
      <c r="P47" s="33">
        <f>IF('Brut ajusté'!P47="","",'Brut ajusté'!P47)</f>
        <v/>
      </c>
    </row>
    <row r="48">
      <c r="B48" s="32">
        <f>'Brut ajusté'!B48</f>
        <v/>
      </c>
      <c r="C48" s="33">
        <f>IF('Brut ajusté'!C48="","",'Brut ajusté'!C48)</f>
        <v/>
      </c>
      <c r="D48" s="33">
        <f>IF(OR('Brut ajusté'!D48="",$B48&lt;INFR_debut),"",'Brut ajusté'!D48)</f>
        <v/>
      </c>
      <c r="E48" s="33">
        <f>IF('Brut ajusté'!E48="","",'Brut ajusté'!E48)</f>
        <v/>
      </c>
      <c r="F48" s="33">
        <f>IF('Brut ajusté'!F48="","",'Brut ajusté'!F48)</f>
        <v/>
      </c>
      <c r="G48" s="33">
        <f>IF('Brut ajusté'!G48="","",'Brut ajusté'!G48)</f>
        <v/>
      </c>
      <c r="H48" s="33">
        <f>IF('Brut ajusté'!H48="","",'Brut ajusté'!H48)</f>
        <v/>
      </c>
      <c r="I48" s="33">
        <f>IF('Brut ajusté'!I48="","",'Brut ajusté'!I48)</f>
        <v/>
      </c>
      <c r="J48" s="33">
        <f>IF('Brut ajusté'!J48="","",IF($B48&lt;BIP_date,'Brut ajusté'!J48/BIP_facteur,'Brut ajusté'!J48))</f>
        <v/>
      </c>
      <c r="K48" s="33">
        <f>IF('Brut ajusté'!K48="","",'Brut ajusté'!K48)</f>
        <v/>
      </c>
      <c r="L48" s="33">
        <f>IF('Brut ajusté'!L48="","",'Brut ajusté'!L48)</f>
        <v/>
      </c>
      <c r="M48" s="33">
        <f>IF('Brut ajusté'!M48="","",'Brut ajusté'!M48)</f>
        <v/>
      </c>
      <c r="N48" s="33">
        <f>IF('Brut ajusté'!N48="","",'Brut ajusté'!N48)</f>
        <v/>
      </c>
      <c r="O48" s="33">
        <f>IF('Brut ajusté'!O48="","",'Brut ajusté'!O48)</f>
        <v/>
      </c>
      <c r="P48" s="33">
        <f>IF('Brut ajusté'!P48="","",'Brut ajusté'!P48)</f>
        <v/>
      </c>
    </row>
    <row r="49">
      <c r="B49" s="32">
        <f>'Brut ajusté'!B49</f>
        <v/>
      </c>
      <c r="C49" s="33">
        <f>IF('Brut ajusté'!C49="","",'Brut ajusté'!C49)</f>
        <v/>
      </c>
      <c r="D49" s="33">
        <f>IF(OR('Brut ajusté'!D49="",$B49&lt;INFR_debut),"",'Brut ajusté'!D49)</f>
        <v/>
      </c>
      <c r="E49" s="33">
        <f>IF('Brut ajusté'!E49="","",'Brut ajusté'!E49)</f>
        <v/>
      </c>
      <c r="F49" s="33">
        <f>IF('Brut ajusté'!F49="","",'Brut ajusté'!F49)</f>
        <v/>
      </c>
      <c r="G49" s="33">
        <f>IF('Brut ajusté'!G49="","",'Brut ajusté'!G49)</f>
        <v/>
      </c>
      <c r="H49" s="33">
        <f>IF('Brut ajusté'!H49="","",'Brut ajusté'!H49)</f>
        <v/>
      </c>
      <c r="I49" s="33">
        <f>IF('Brut ajusté'!I49="","",'Brut ajusté'!I49)</f>
        <v/>
      </c>
      <c r="J49" s="33">
        <f>IF('Brut ajusté'!J49="","",IF($B49&lt;BIP_date,'Brut ajusté'!J49/BIP_facteur,'Brut ajusté'!J49))</f>
        <v/>
      </c>
      <c r="K49" s="33">
        <f>IF('Brut ajusté'!K49="","",'Brut ajusté'!K49)</f>
        <v/>
      </c>
      <c r="L49" s="33">
        <f>IF('Brut ajusté'!L49="","",'Brut ajusté'!L49)</f>
        <v/>
      </c>
      <c r="M49" s="33">
        <f>IF('Brut ajusté'!M49="","",'Brut ajusté'!M49)</f>
        <v/>
      </c>
      <c r="N49" s="33">
        <f>IF('Brut ajusté'!N49="","",'Brut ajusté'!N49)</f>
        <v/>
      </c>
      <c r="O49" s="33">
        <f>IF('Brut ajusté'!O49="","",'Brut ajusté'!O49)</f>
        <v/>
      </c>
      <c r="P49" s="33">
        <f>IF('Brut ajusté'!P49="","",'Brut ajusté'!P49)</f>
        <v/>
      </c>
    </row>
    <row r="50">
      <c r="B50" s="32">
        <f>'Brut ajusté'!B50</f>
        <v/>
      </c>
      <c r="C50" s="33">
        <f>IF('Brut ajusté'!C50="","",'Brut ajusté'!C50)</f>
        <v/>
      </c>
      <c r="D50" s="33">
        <f>IF(OR('Brut ajusté'!D50="",$B50&lt;INFR_debut),"",'Brut ajusté'!D50)</f>
        <v/>
      </c>
      <c r="E50" s="33">
        <f>IF('Brut ajusté'!E50="","",'Brut ajusté'!E50)</f>
        <v/>
      </c>
      <c r="F50" s="33">
        <f>IF('Brut ajusté'!F50="","",'Brut ajusté'!F50)</f>
        <v/>
      </c>
      <c r="G50" s="33">
        <f>IF('Brut ajusté'!G50="","",'Brut ajusté'!G50)</f>
        <v/>
      </c>
      <c r="H50" s="33">
        <f>IF('Brut ajusté'!H50="","",'Brut ajusté'!H50)</f>
        <v/>
      </c>
      <c r="I50" s="33">
        <f>IF('Brut ajusté'!I50="","",'Brut ajusté'!I50)</f>
        <v/>
      </c>
      <c r="J50" s="33">
        <f>IF('Brut ajusté'!J50="","",IF($B50&lt;BIP_date,'Brut ajusté'!J50/BIP_facteur,'Brut ajusté'!J50))</f>
        <v/>
      </c>
      <c r="K50" s="33">
        <f>IF('Brut ajusté'!K50="","",'Brut ajusté'!K50)</f>
        <v/>
      </c>
      <c r="L50" s="33">
        <f>IF('Brut ajusté'!L50="","",'Brut ajusté'!L50)</f>
        <v/>
      </c>
      <c r="M50" s="33">
        <f>IF('Brut ajusté'!M50="","",'Brut ajusté'!M50)</f>
        <v/>
      </c>
      <c r="N50" s="33">
        <f>IF('Brut ajusté'!N50="","",'Brut ajusté'!N50)</f>
        <v/>
      </c>
      <c r="O50" s="33">
        <f>IF('Brut ajusté'!O50="","",'Brut ajusté'!O50)</f>
        <v/>
      </c>
      <c r="P50" s="33">
        <f>IF('Brut ajusté'!P50="","",'Brut ajusté'!P50)</f>
        <v/>
      </c>
    </row>
    <row r="51">
      <c r="B51" s="32">
        <f>'Brut ajusté'!B51</f>
        <v/>
      </c>
      <c r="C51" s="33">
        <f>IF('Brut ajusté'!C51="","",'Brut ajusté'!C51)</f>
        <v/>
      </c>
      <c r="D51" s="33">
        <f>IF(OR('Brut ajusté'!D51="",$B51&lt;INFR_debut),"",'Brut ajusté'!D51)</f>
        <v/>
      </c>
      <c r="E51" s="33">
        <f>IF('Brut ajusté'!E51="","",'Brut ajusté'!E51)</f>
        <v/>
      </c>
      <c r="F51" s="33">
        <f>IF('Brut ajusté'!F51="","",'Brut ajusté'!F51)</f>
        <v/>
      </c>
      <c r="G51" s="33">
        <f>IF('Brut ajusté'!G51="","",'Brut ajusté'!G51)</f>
        <v/>
      </c>
      <c r="H51" s="33">
        <f>IF('Brut ajusté'!H51="","",'Brut ajusté'!H51)</f>
        <v/>
      </c>
      <c r="I51" s="33">
        <f>IF('Brut ajusté'!I51="","",'Brut ajusté'!I51)</f>
        <v/>
      </c>
      <c r="J51" s="33">
        <f>IF('Brut ajusté'!J51="","",IF($B51&lt;BIP_date,'Brut ajusté'!J51/BIP_facteur,'Brut ajusté'!J51))</f>
        <v/>
      </c>
      <c r="K51" s="33">
        <f>IF('Brut ajusté'!K51="","",'Brut ajusté'!K51)</f>
        <v/>
      </c>
      <c r="L51" s="33">
        <f>IF('Brut ajusté'!L51="","",'Brut ajusté'!L51)</f>
        <v/>
      </c>
      <c r="M51" s="33">
        <f>IF('Brut ajusté'!M51="","",'Brut ajusté'!M51)</f>
        <v/>
      </c>
      <c r="N51" s="33">
        <f>IF('Brut ajusté'!N51="","",'Brut ajusté'!N51)</f>
        <v/>
      </c>
      <c r="O51" s="33">
        <f>IF('Brut ajusté'!O51="","",'Brut ajusté'!O51)</f>
        <v/>
      </c>
      <c r="P51" s="33">
        <f>IF('Brut ajusté'!P51="","",'Brut ajusté'!P51)</f>
        <v/>
      </c>
    </row>
    <row r="52">
      <c r="B52" s="32">
        <f>'Brut ajusté'!B52</f>
        <v/>
      </c>
      <c r="C52" s="33">
        <f>IF('Brut ajusté'!C52="","",'Brut ajusté'!C52)</f>
        <v/>
      </c>
      <c r="D52" s="33">
        <f>IF(OR('Brut ajusté'!D52="",$B52&lt;INFR_debut),"",'Brut ajusté'!D52)</f>
        <v/>
      </c>
      <c r="E52" s="33">
        <f>IF('Brut ajusté'!E52="","",'Brut ajusté'!E52)</f>
        <v/>
      </c>
      <c r="F52" s="33">
        <f>IF('Brut ajusté'!F52="","",'Brut ajusté'!F52)</f>
        <v/>
      </c>
      <c r="G52" s="33">
        <f>IF('Brut ajusté'!G52="","",'Brut ajusté'!G52)</f>
        <v/>
      </c>
      <c r="H52" s="33">
        <f>IF('Brut ajusté'!H52="","",'Brut ajusté'!H52)</f>
        <v/>
      </c>
      <c r="I52" s="33">
        <f>IF('Brut ajusté'!I52="","",'Brut ajusté'!I52)</f>
        <v/>
      </c>
      <c r="J52" s="33">
        <f>IF('Brut ajusté'!J52="","",IF($B52&lt;BIP_date,'Brut ajusté'!J52/BIP_facteur,'Brut ajusté'!J52))</f>
        <v/>
      </c>
      <c r="K52" s="33">
        <f>IF('Brut ajusté'!K52="","",'Brut ajusté'!K52)</f>
        <v/>
      </c>
      <c r="L52" s="33">
        <f>IF('Brut ajusté'!L52="","",'Brut ajusté'!L52)</f>
        <v/>
      </c>
      <c r="M52" s="33">
        <f>IF('Brut ajusté'!M52="","",'Brut ajusté'!M52)</f>
        <v/>
      </c>
      <c r="N52" s="33">
        <f>IF('Brut ajusté'!N52="","",'Brut ajusté'!N52)</f>
        <v/>
      </c>
      <c r="O52" s="33">
        <f>IF('Brut ajusté'!O52="","",'Brut ajusté'!O52)</f>
        <v/>
      </c>
      <c r="P52" s="33">
        <f>IF('Brut ajusté'!P52="","",'Brut ajusté'!P52)</f>
        <v/>
      </c>
    </row>
    <row r="53">
      <c r="B53" s="32">
        <f>'Brut ajusté'!B53</f>
        <v/>
      </c>
      <c r="C53" s="33">
        <f>IF('Brut ajusté'!C53="","",'Brut ajusté'!C53)</f>
        <v/>
      </c>
      <c r="D53" s="33">
        <f>IF(OR('Brut ajusté'!D53="",$B53&lt;INFR_debut),"",'Brut ajusté'!D53)</f>
        <v/>
      </c>
      <c r="E53" s="33">
        <f>IF('Brut ajusté'!E53="","",'Brut ajusté'!E53)</f>
        <v/>
      </c>
      <c r="F53" s="33">
        <f>IF('Brut ajusté'!F53="","",'Brut ajusté'!F53)</f>
        <v/>
      </c>
      <c r="G53" s="33">
        <f>IF('Brut ajusté'!G53="","",'Brut ajusté'!G53)</f>
        <v/>
      </c>
      <c r="H53" s="33">
        <f>IF('Brut ajusté'!H53="","",'Brut ajusté'!H53)</f>
        <v/>
      </c>
      <c r="I53" s="33">
        <f>IF('Brut ajusté'!I53="","",'Brut ajusté'!I53)</f>
        <v/>
      </c>
      <c r="J53" s="33">
        <f>IF('Brut ajusté'!J53="","",IF($B53&lt;BIP_date,'Brut ajusté'!J53/BIP_facteur,'Brut ajusté'!J53))</f>
        <v/>
      </c>
      <c r="K53" s="33">
        <f>IF('Brut ajusté'!K53="","",'Brut ajusté'!K53)</f>
        <v/>
      </c>
      <c r="L53" s="33">
        <f>IF('Brut ajusté'!L53="","",'Brut ajusté'!L53)</f>
        <v/>
      </c>
      <c r="M53" s="33">
        <f>IF('Brut ajusté'!M53="","",'Brut ajusté'!M53)</f>
        <v/>
      </c>
      <c r="N53" s="33">
        <f>IF('Brut ajusté'!N53="","",'Brut ajusté'!N53)</f>
        <v/>
      </c>
      <c r="O53" s="33">
        <f>IF('Brut ajusté'!O53="","",'Brut ajusté'!O53)</f>
        <v/>
      </c>
      <c r="P53" s="33">
        <f>IF('Brut ajusté'!P53="","",'Brut ajusté'!P53)</f>
        <v/>
      </c>
    </row>
    <row r="54">
      <c r="B54" s="32">
        <f>'Brut ajusté'!B54</f>
        <v/>
      </c>
      <c r="C54" s="33">
        <f>IF('Brut ajusté'!C54="","",'Brut ajusté'!C54)</f>
        <v/>
      </c>
      <c r="D54" s="33">
        <f>IF(OR('Brut ajusté'!D54="",$B54&lt;INFR_debut),"",'Brut ajusté'!D54)</f>
        <v/>
      </c>
      <c r="E54" s="33">
        <f>IF('Brut ajusté'!E54="","",'Brut ajusté'!E54)</f>
        <v/>
      </c>
      <c r="F54" s="33">
        <f>IF('Brut ajusté'!F54="","",'Brut ajusté'!F54)</f>
        <v/>
      </c>
      <c r="G54" s="33">
        <f>IF('Brut ajusté'!G54="","",'Brut ajusté'!G54)</f>
        <v/>
      </c>
      <c r="H54" s="33">
        <f>IF('Brut ajusté'!H54="","",'Brut ajusté'!H54)</f>
        <v/>
      </c>
      <c r="I54" s="33">
        <f>IF('Brut ajusté'!I54="","",'Brut ajusté'!I54)</f>
        <v/>
      </c>
      <c r="J54" s="33">
        <f>IF('Brut ajusté'!J54="","",IF($B54&lt;BIP_date,'Brut ajusté'!J54/BIP_facteur,'Brut ajusté'!J54))</f>
        <v/>
      </c>
      <c r="K54" s="33">
        <f>IF('Brut ajusté'!K54="","",'Brut ajusté'!K54)</f>
        <v/>
      </c>
      <c r="L54" s="33">
        <f>IF('Brut ajusté'!L54="","",'Brut ajusté'!L54)</f>
        <v/>
      </c>
      <c r="M54" s="33">
        <f>IF('Brut ajusté'!M54="","",'Brut ajusté'!M54)</f>
        <v/>
      </c>
      <c r="N54" s="33">
        <f>IF('Brut ajusté'!N54="","",'Brut ajusté'!N54)</f>
        <v/>
      </c>
      <c r="O54" s="33">
        <f>IF('Brut ajusté'!O54="","",'Brut ajusté'!O54)</f>
        <v/>
      </c>
      <c r="P54" s="33">
        <f>IF('Brut ajusté'!P54="","",'Brut ajusté'!P54)</f>
        <v/>
      </c>
    </row>
    <row r="55">
      <c r="B55" s="32">
        <f>'Brut ajusté'!B55</f>
        <v/>
      </c>
      <c r="C55" s="33">
        <f>IF('Brut ajusté'!C55="","",'Brut ajusté'!C55)</f>
        <v/>
      </c>
      <c r="D55" s="33">
        <f>IF(OR('Brut ajusté'!D55="",$B55&lt;INFR_debut),"",'Brut ajusté'!D55)</f>
        <v/>
      </c>
      <c r="E55" s="33">
        <f>IF('Brut ajusté'!E55="","",'Brut ajusté'!E55)</f>
        <v/>
      </c>
      <c r="F55" s="33">
        <f>IF('Brut ajusté'!F55="","",'Brut ajusté'!F55)</f>
        <v/>
      </c>
      <c r="G55" s="33">
        <f>IF('Brut ajusté'!G55="","",'Brut ajusté'!G55)</f>
        <v/>
      </c>
      <c r="H55" s="33">
        <f>IF('Brut ajusté'!H55="","",'Brut ajusté'!H55)</f>
        <v/>
      </c>
      <c r="I55" s="33">
        <f>IF('Brut ajusté'!I55="","",'Brut ajusté'!I55)</f>
        <v/>
      </c>
      <c r="J55" s="33">
        <f>IF('Brut ajusté'!J55="","",IF($B55&lt;BIP_date,'Brut ajusté'!J55/BIP_facteur,'Brut ajusté'!J55))</f>
        <v/>
      </c>
      <c r="K55" s="33">
        <f>IF('Brut ajusté'!K55="","",'Brut ajusté'!K55)</f>
        <v/>
      </c>
      <c r="L55" s="33">
        <f>IF('Brut ajusté'!L55="","",'Brut ajusté'!L55)</f>
        <v/>
      </c>
      <c r="M55" s="33">
        <f>IF('Brut ajusté'!M55="","",'Brut ajusté'!M55)</f>
        <v/>
      </c>
      <c r="N55" s="33">
        <f>IF('Brut ajusté'!N55="","",'Brut ajusté'!N55)</f>
        <v/>
      </c>
      <c r="O55" s="33">
        <f>IF('Brut ajusté'!O55="","",'Brut ajusté'!O55)</f>
        <v/>
      </c>
      <c r="P55" s="33">
        <f>IF('Brut ajusté'!P55="","",'Brut ajusté'!P55)</f>
        <v/>
      </c>
    </row>
    <row r="56">
      <c r="B56" s="32">
        <f>'Brut ajusté'!B56</f>
        <v/>
      </c>
      <c r="C56" s="33">
        <f>IF('Brut ajusté'!C56="","",'Brut ajusté'!C56)</f>
        <v/>
      </c>
      <c r="D56" s="33">
        <f>IF(OR('Brut ajusté'!D56="",$B56&lt;INFR_debut),"",'Brut ajusté'!D56)</f>
        <v/>
      </c>
      <c r="E56" s="33">
        <f>IF('Brut ajusté'!E56="","",'Brut ajusté'!E56)</f>
        <v/>
      </c>
      <c r="F56" s="33">
        <f>IF('Brut ajusté'!F56="","",'Brut ajusté'!F56)</f>
        <v/>
      </c>
      <c r="G56" s="33">
        <f>IF('Brut ajusté'!G56="","",'Brut ajusté'!G56)</f>
        <v/>
      </c>
      <c r="H56" s="33">
        <f>IF('Brut ajusté'!H56="","",'Brut ajusté'!H56)</f>
        <v/>
      </c>
      <c r="I56" s="33">
        <f>IF('Brut ajusté'!I56="","",'Brut ajusté'!I56)</f>
        <v/>
      </c>
      <c r="J56" s="33">
        <f>IF('Brut ajusté'!J56="","",IF($B56&lt;BIP_date,'Brut ajusté'!J56/BIP_facteur,'Brut ajusté'!J56))</f>
        <v/>
      </c>
      <c r="K56" s="33">
        <f>IF('Brut ajusté'!K56="","",'Brut ajusté'!K56)</f>
        <v/>
      </c>
      <c r="L56" s="33">
        <f>IF('Brut ajusté'!L56="","",'Brut ajusté'!L56)</f>
        <v/>
      </c>
      <c r="M56" s="33">
        <f>IF('Brut ajusté'!M56="","",'Brut ajusté'!M56)</f>
        <v/>
      </c>
      <c r="N56" s="33">
        <f>IF('Brut ajusté'!N56="","",'Brut ajusté'!N56)</f>
        <v/>
      </c>
      <c r="O56" s="33">
        <f>IF('Brut ajusté'!O56="","",'Brut ajusté'!O56)</f>
        <v/>
      </c>
      <c r="P56" s="33">
        <f>IF('Brut ajusté'!P56="","",'Brut ajusté'!P56)</f>
        <v/>
      </c>
    </row>
    <row r="57">
      <c r="B57" s="32">
        <f>'Brut ajusté'!B57</f>
        <v/>
      </c>
      <c r="C57" s="33">
        <f>IF('Brut ajusté'!C57="","",'Brut ajusté'!C57)</f>
        <v/>
      </c>
      <c r="D57" s="33">
        <f>IF(OR('Brut ajusté'!D57="",$B57&lt;INFR_debut),"",'Brut ajusté'!D57)</f>
        <v/>
      </c>
      <c r="E57" s="33">
        <f>IF('Brut ajusté'!E57="","",'Brut ajusté'!E57)</f>
        <v/>
      </c>
      <c r="F57" s="33">
        <f>IF('Brut ajusté'!F57="","",'Brut ajusté'!F57)</f>
        <v/>
      </c>
      <c r="G57" s="33">
        <f>IF('Brut ajusté'!G57="","",'Brut ajusté'!G57)</f>
        <v/>
      </c>
      <c r="H57" s="33">
        <f>IF('Brut ajusté'!H57="","",'Brut ajusté'!H57)</f>
        <v/>
      </c>
      <c r="I57" s="33">
        <f>IF('Brut ajusté'!I57="","",'Brut ajusté'!I57)</f>
        <v/>
      </c>
      <c r="J57" s="33">
        <f>IF('Brut ajusté'!J57="","",IF($B57&lt;BIP_date,'Brut ajusté'!J57/BIP_facteur,'Brut ajusté'!J57))</f>
        <v/>
      </c>
      <c r="K57" s="33">
        <f>IF('Brut ajusté'!K57="","",'Brut ajusté'!K57)</f>
        <v/>
      </c>
      <c r="L57" s="33">
        <f>IF('Brut ajusté'!L57="","",'Brut ajusté'!L57)</f>
        <v/>
      </c>
      <c r="M57" s="33">
        <f>IF('Brut ajusté'!M57="","",'Brut ajusté'!M57)</f>
        <v/>
      </c>
      <c r="N57" s="33">
        <f>IF('Brut ajusté'!N57="","",'Brut ajusté'!N57)</f>
        <v/>
      </c>
      <c r="O57" s="33">
        <f>IF('Brut ajusté'!O57="","",'Brut ajusté'!O57)</f>
        <v/>
      </c>
      <c r="P57" s="33">
        <f>IF('Brut ajusté'!P57="","",'Brut ajusté'!P57)</f>
        <v/>
      </c>
    </row>
    <row r="58">
      <c r="B58" s="32">
        <f>'Brut ajusté'!B58</f>
        <v/>
      </c>
      <c r="C58" s="33">
        <f>IF('Brut ajusté'!C58="","",'Brut ajusté'!C58)</f>
        <v/>
      </c>
      <c r="D58" s="33">
        <f>IF(OR('Brut ajusté'!D58="",$B58&lt;INFR_debut),"",'Brut ajusté'!D58)</f>
        <v/>
      </c>
      <c r="E58" s="33">
        <f>IF('Brut ajusté'!E58="","",'Brut ajusté'!E58)</f>
        <v/>
      </c>
      <c r="F58" s="33">
        <f>IF('Brut ajusté'!F58="","",'Brut ajusté'!F58)</f>
        <v/>
      </c>
      <c r="G58" s="33">
        <f>IF('Brut ajusté'!G58="","",'Brut ajusté'!G58)</f>
        <v/>
      </c>
      <c r="H58" s="33">
        <f>IF('Brut ajusté'!H58="","",'Brut ajusté'!H58)</f>
        <v/>
      </c>
      <c r="I58" s="33">
        <f>IF('Brut ajusté'!I58="","",'Brut ajusté'!I58)</f>
        <v/>
      </c>
      <c r="J58" s="33">
        <f>IF('Brut ajusté'!J58="","",IF($B58&lt;BIP_date,'Brut ajusté'!J58/BIP_facteur,'Brut ajusté'!J58))</f>
        <v/>
      </c>
      <c r="K58" s="33">
        <f>IF('Brut ajusté'!K58="","",'Brut ajusté'!K58)</f>
        <v/>
      </c>
      <c r="L58" s="33">
        <f>IF('Brut ajusté'!L58="","",'Brut ajusté'!L58)</f>
        <v/>
      </c>
      <c r="M58" s="33">
        <f>IF('Brut ajusté'!M58="","",'Brut ajusté'!M58)</f>
        <v/>
      </c>
      <c r="N58" s="33">
        <f>IF('Brut ajusté'!N58="","",'Brut ajusté'!N58)</f>
        <v/>
      </c>
      <c r="O58" s="33">
        <f>IF('Brut ajusté'!O58="","",'Brut ajusté'!O58)</f>
        <v/>
      </c>
      <c r="P58" s="33">
        <f>IF('Brut ajusté'!P58="","",'Brut ajusté'!P58)</f>
        <v/>
      </c>
    </row>
    <row r="59">
      <c r="B59" s="32">
        <f>'Brut ajusté'!B59</f>
        <v/>
      </c>
      <c r="C59" s="33">
        <f>IF('Brut ajusté'!C59="","",'Brut ajusté'!C59)</f>
        <v/>
      </c>
      <c r="D59" s="33">
        <f>IF(OR('Brut ajusté'!D59="",$B59&lt;INFR_debut),"",'Brut ajusté'!D59)</f>
        <v/>
      </c>
      <c r="E59" s="33">
        <f>IF('Brut ajusté'!E59="","",'Brut ajusté'!E59)</f>
        <v/>
      </c>
      <c r="F59" s="33">
        <f>IF('Brut ajusté'!F59="","",'Brut ajusté'!F59)</f>
        <v/>
      </c>
      <c r="G59" s="33">
        <f>IF('Brut ajusté'!G59="","",'Brut ajusté'!G59)</f>
        <v/>
      </c>
      <c r="H59" s="33">
        <f>IF('Brut ajusté'!H59="","",'Brut ajusté'!H59)</f>
        <v/>
      </c>
      <c r="I59" s="33">
        <f>IF('Brut ajusté'!I59="","",'Brut ajusté'!I59)</f>
        <v/>
      </c>
      <c r="J59" s="33">
        <f>IF('Brut ajusté'!J59="","",IF($B59&lt;BIP_date,'Brut ajusté'!J59/BIP_facteur,'Brut ajusté'!J59))</f>
        <v/>
      </c>
      <c r="K59" s="33">
        <f>IF('Brut ajusté'!K59="","",'Brut ajusté'!K59)</f>
        <v/>
      </c>
      <c r="L59" s="33">
        <f>IF('Brut ajusté'!L59="","",'Brut ajusté'!L59)</f>
        <v/>
      </c>
      <c r="M59" s="33">
        <f>IF('Brut ajusté'!M59="","",'Brut ajusté'!M59)</f>
        <v/>
      </c>
      <c r="N59" s="33">
        <f>IF('Brut ajusté'!N59="","",'Brut ajusté'!N59)</f>
        <v/>
      </c>
      <c r="O59" s="33">
        <f>IF('Brut ajusté'!O59="","",'Brut ajusté'!O59)</f>
        <v/>
      </c>
      <c r="P59" s="33">
        <f>IF('Brut ajusté'!P59="","",'Brut ajusté'!P59)</f>
        <v/>
      </c>
    </row>
    <row r="60">
      <c r="B60" s="32">
        <f>'Brut ajusté'!B60</f>
        <v/>
      </c>
      <c r="C60" s="33">
        <f>IF('Brut ajusté'!C60="","",'Brut ajusté'!C60)</f>
        <v/>
      </c>
      <c r="D60" s="33">
        <f>IF(OR('Brut ajusté'!D60="",$B60&lt;INFR_debut),"",'Brut ajusté'!D60)</f>
        <v/>
      </c>
      <c r="E60" s="33">
        <f>IF('Brut ajusté'!E60="","",'Brut ajusté'!E60)</f>
        <v/>
      </c>
      <c r="F60" s="33">
        <f>IF('Brut ajusté'!F60="","",'Brut ajusté'!F60)</f>
        <v/>
      </c>
      <c r="G60" s="33">
        <f>IF('Brut ajusté'!G60="","",'Brut ajusté'!G60)</f>
        <v/>
      </c>
      <c r="H60" s="33">
        <f>IF('Brut ajusté'!H60="","",'Brut ajusté'!H60)</f>
        <v/>
      </c>
      <c r="I60" s="33">
        <f>IF('Brut ajusté'!I60="","",'Brut ajusté'!I60)</f>
        <v/>
      </c>
      <c r="J60" s="33">
        <f>IF('Brut ajusté'!J60="","",IF($B60&lt;BIP_date,'Brut ajusté'!J60/BIP_facteur,'Brut ajusté'!J60))</f>
        <v/>
      </c>
      <c r="K60" s="33">
        <f>IF('Brut ajusté'!K60="","",'Brut ajusté'!K60)</f>
        <v/>
      </c>
      <c r="L60" s="33">
        <f>IF('Brut ajusté'!L60="","",'Brut ajusté'!L60)</f>
        <v/>
      </c>
      <c r="M60" s="33">
        <f>IF('Brut ajusté'!M60="","",'Brut ajusté'!M60)</f>
        <v/>
      </c>
      <c r="N60" s="33">
        <f>IF('Brut ajusté'!N60="","",'Brut ajusté'!N60)</f>
        <v/>
      </c>
      <c r="O60" s="33">
        <f>IF('Brut ajusté'!O60="","",'Brut ajusté'!O60)</f>
        <v/>
      </c>
      <c r="P60" s="33">
        <f>IF('Brut ajusté'!P60="","",'Brut ajusté'!P60)</f>
        <v/>
      </c>
    </row>
    <row r="61">
      <c r="B61" s="32">
        <f>'Brut ajusté'!B61</f>
        <v/>
      </c>
      <c r="C61" s="33">
        <f>IF('Brut ajusté'!C61="","",'Brut ajusté'!C61)</f>
        <v/>
      </c>
      <c r="D61" s="33">
        <f>IF(OR('Brut ajusté'!D61="",$B61&lt;INFR_debut),"",'Brut ajusté'!D61)</f>
        <v/>
      </c>
      <c r="E61" s="33">
        <f>IF('Brut ajusté'!E61="","",'Brut ajusté'!E61)</f>
        <v/>
      </c>
      <c r="F61" s="33">
        <f>IF('Brut ajusté'!F61="","",'Brut ajusté'!F61)</f>
        <v/>
      </c>
      <c r="G61" s="33">
        <f>IF('Brut ajusté'!G61="","",'Brut ajusté'!G61)</f>
        <v/>
      </c>
      <c r="H61" s="33">
        <f>IF('Brut ajusté'!H61="","",'Brut ajusté'!H61)</f>
        <v/>
      </c>
      <c r="I61" s="33">
        <f>IF('Brut ajusté'!I61="","",'Brut ajusté'!I61)</f>
        <v/>
      </c>
      <c r="J61" s="33">
        <f>IF('Brut ajusté'!J61="","",IF($B61&lt;BIP_date,'Brut ajusté'!J61/BIP_facteur,'Brut ajusté'!J61))</f>
        <v/>
      </c>
      <c r="K61" s="33">
        <f>IF('Brut ajusté'!K61="","",'Brut ajusté'!K61)</f>
        <v/>
      </c>
      <c r="L61" s="33">
        <f>IF('Brut ajusté'!L61="","",'Brut ajusté'!L61)</f>
        <v/>
      </c>
      <c r="M61" s="33">
        <f>IF('Brut ajusté'!M61="","",'Brut ajusté'!M61)</f>
        <v/>
      </c>
      <c r="N61" s="33">
        <f>IF('Brut ajusté'!N61="","",'Brut ajusté'!N61)</f>
        <v/>
      </c>
      <c r="O61" s="33">
        <f>IF('Brut ajusté'!O61="","",'Brut ajusté'!O61)</f>
        <v/>
      </c>
      <c r="P61" s="33">
        <f>IF('Brut ajusté'!P61="","",'Brut ajusté'!P61)</f>
        <v/>
      </c>
    </row>
    <row r="62">
      <c r="B62" s="32">
        <f>'Brut ajusté'!B62</f>
        <v/>
      </c>
      <c r="C62" s="33">
        <f>IF('Brut ajusté'!C62="","",'Brut ajusté'!C62)</f>
        <v/>
      </c>
      <c r="D62" s="33">
        <f>IF(OR('Brut ajusté'!D62="",$B62&lt;INFR_debut),"",'Brut ajusté'!D62)</f>
        <v/>
      </c>
      <c r="E62" s="33">
        <f>IF('Brut ajusté'!E62="","",'Brut ajusté'!E62)</f>
        <v/>
      </c>
      <c r="F62" s="33">
        <f>IF('Brut ajusté'!F62="","",'Brut ajusté'!F62)</f>
        <v/>
      </c>
      <c r="G62" s="33">
        <f>IF('Brut ajusté'!G62="","",'Brut ajusté'!G62)</f>
        <v/>
      </c>
      <c r="H62" s="33">
        <f>IF('Brut ajusté'!H62="","",'Brut ajusté'!H62)</f>
        <v/>
      </c>
      <c r="I62" s="33">
        <f>IF('Brut ajusté'!I62="","",'Brut ajusté'!I62)</f>
        <v/>
      </c>
      <c r="J62" s="33">
        <f>IF('Brut ajusté'!J62="","",IF($B62&lt;BIP_date,'Brut ajusté'!J62/BIP_facteur,'Brut ajusté'!J62))</f>
        <v/>
      </c>
      <c r="K62" s="33">
        <f>IF('Brut ajusté'!K62="","",'Brut ajusté'!K62)</f>
        <v/>
      </c>
      <c r="L62" s="33">
        <f>IF('Brut ajusté'!L62="","",'Brut ajusté'!L62)</f>
        <v/>
      </c>
      <c r="M62" s="33">
        <f>IF('Brut ajusté'!M62="","",'Brut ajusté'!M62)</f>
        <v/>
      </c>
      <c r="N62" s="33">
        <f>IF('Brut ajusté'!N62="","",'Brut ajusté'!N62)</f>
        <v/>
      </c>
      <c r="O62" s="33">
        <f>IF('Brut ajusté'!O62="","",'Brut ajusté'!O62)</f>
        <v/>
      </c>
      <c r="P62" s="33">
        <f>IF('Brut ajusté'!P62="","",'Brut ajusté'!P62)</f>
        <v/>
      </c>
    </row>
    <row r="63">
      <c r="B63" s="32">
        <f>'Brut ajusté'!B63</f>
        <v/>
      </c>
      <c r="C63" s="33">
        <f>IF('Brut ajusté'!C63="","",'Brut ajusté'!C63)</f>
        <v/>
      </c>
      <c r="D63" s="33">
        <f>IF(OR('Brut ajusté'!D63="",$B63&lt;INFR_debut),"",'Brut ajusté'!D63)</f>
        <v/>
      </c>
      <c r="E63" s="33">
        <f>IF('Brut ajusté'!E63="","",'Brut ajusté'!E63)</f>
        <v/>
      </c>
      <c r="F63" s="33">
        <f>IF('Brut ajusté'!F63="","",'Brut ajusté'!F63)</f>
        <v/>
      </c>
      <c r="G63" s="33">
        <f>IF('Brut ajusté'!G63="","",'Brut ajusté'!G63)</f>
        <v/>
      </c>
      <c r="H63" s="33">
        <f>IF('Brut ajusté'!H63="","",'Brut ajusté'!H63)</f>
        <v/>
      </c>
      <c r="I63" s="33">
        <f>IF('Brut ajusté'!I63="","",'Brut ajusté'!I63)</f>
        <v/>
      </c>
      <c r="J63" s="33">
        <f>IF('Brut ajusté'!J63="","",IF($B63&lt;BIP_date,'Brut ajusté'!J63/BIP_facteur,'Brut ajusté'!J63))</f>
        <v/>
      </c>
      <c r="K63" s="33">
        <f>IF('Brut ajusté'!K63="","",'Brut ajusté'!K63)</f>
        <v/>
      </c>
      <c r="L63" s="33">
        <f>IF('Brut ajusté'!L63="","",'Brut ajusté'!L63)</f>
        <v/>
      </c>
      <c r="M63" s="33">
        <f>IF('Brut ajusté'!M63="","",'Brut ajusté'!M63)</f>
        <v/>
      </c>
      <c r="N63" s="33">
        <f>IF('Brut ajusté'!N63="","",'Brut ajusté'!N63)</f>
        <v/>
      </c>
      <c r="O63" s="33">
        <f>IF('Brut ajusté'!O63="","",'Brut ajusté'!O63)</f>
        <v/>
      </c>
      <c r="P63" s="33">
        <f>IF('Brut ajusté'!P63="","",'Brut ajusté'!P63)</f>
        <v/>
      </c>
    </row>
    <row r="64">
      <c r="B64" s="32">
        <f>'Brut ajusté'!B64</f>
        <v/>
      </c>
      <c r="C64" s="33">
        <f>IF('Brut ajusté'!C64="","",'Brut ajusté'!C64)</f>
        <v/>
      </c>
      <c r="D64" s="33">
        <f>IF(OR('Brut ajusté'!D64="",$B64&lt;INFR_debut),"",'Brut ajusté'!D64)</f>
        <v/>
      </c>
      <c r="E64" s="33">
        <f>IF('Brut ajusté'!E64="","",'Brut ajusté'!E64)</f>
        <v/>
      </c>
      <c r="F64" s="33">
        <f>IF('Brut ajusté'!F64="","",'Brut ajusté'!F64)</f>
        <v/>
      </c>
      <c r="G64" s="33">
        <f>IF('Brut ajusté'!G64="","",'Brut ajusté'!G64)</f>
        <v/>
      </c>
      <c r="H64" s="33">
        <f>IF('Brut ajusté'!H64="","",'Brut ajusté'!H64)</f>
        <v/>
      </c>
      <c r="I64" s="33">
        <f>IF('Brut ajusté'!I64="","",'Brut ajusté'!I64)</f>
        <v/>
      </c>
      <c r="J64" s="33">
        <f>IF('Brut ajusté'!J64="","",IF($B64&lt;BIP_date,'Brut ajusté'!J64/BIP_facteur,'Brut ajusté'!J64))</f>
        <v/>
      </c>
      <c r="K64" s="33">
        <f>IF('Brut ajusté'!K64="","",'Brut ajusté'!K64)</f>
        <v/>
      </c>
      <c r="L64" s="33">
        <f>IF('Brut ajusté'!L64="","",'Brut ajusté'!L64)</f>
        <v/>
      </c>
      <c r="M64" s="33">
        <f>IF('Brut ajusté'!M64="","",'Brut ajusté'!M64)</f>
        <v/>
      </c>
      <c r="N64" s="33">
        <f>IF('Brut ajusté'!N64="","",'Brut ajusté'!N64)</f>
        <v/>
      </c>
      <c r="O64" s="33">
        <f>IF('Brut ajusté'!O64="","",'Brut ajusté'!O64)</f>
        <v/>
      </c>
      <c r="P64" s="33">
        <f>IF('Brut ajusté'!P64="","",'Brut ajusté'!P64)</f>
        <v/>
      </c>
    </row>
    <row r="65">
      <c r="B65" s="32">
        <f>'Brut ajusté'!B65</f>
        <v/>
      </c>
      <c r="C65" s="33">
        <f>IF('Brut ajusté'!C65="","",'Brut ajusté'!C65)</f>
        <v/>
      </c>
      <c r="D65" s="33">
        <f>IF(OR('Brut ajusté'!D65="",$B65&lt;INFR_debut),"",'Brut ajusté'!D65)</f>
        <v/>
      </c>
      <c r="E65" s="33">
        <f>IF('Brut ajusté'!E65="","",'Brut ajusté'!E65)</f>
        <v/>
      </c>
      <c r="F65" s="33">
        <f>IF('Brut ajusté'!F65="","",'Brut ajusté'!F65)</f>
        <v/>
      </c>
      <c r="G65" s="33">
        <f>IF('Brut ajusté'!G65="","",'Brut ajusté'!G65)</f>
        <v/>
      </c>
      <c r="H65" s="33">
        <f>IF('Brut ajusté'!H65="","",'Brut ajusté'!H65)</f>
        <v/>
      </c>
      <c r="I65" s="33">
        <f>IF('Brut ajusté'!I65="","",'Brut ajusté'!I65)</f>
        <v/>
      </c>
      <c r="J65" s="33">
        <f>IF('Brut ajusté'!J65="","",IF($B65&lt;BIP_date,'Brut ajusté'!J65/BIP_facteur,'Brut ajusté'!J65))</f>
        <v/>
      </c>
      <c r="K65" s="33">
        <f>IF('Brut ajusté'!K65="","",'Brut ajusté'!K65)</f>
        <v/>
      </c>
      <c r="L65" s="33">
        <f>IF('Brut ajusté'!L65="","",'Brut ajusté'!L65)</f>
        <v/>
      </c>
      <c r="M65" s="33">
        <f>IF('Brut ajusté'!M65="","",'Brut ajusté'!M65)</f>
        <v/>
      </c>
      <c r="N65" s="33">
        <f>IF('Brut ajusté'!N65="","",'Brut ajusté'!N65)</f>
        <v/>
      </c>
      <c r="O65" s="33">
        <f>IF('Brut ajusté'!O65="","",'Brut ajusté'!O65)</f>
        <v/>
      </c>
      <c r="P65" s="33">
        <f>IF('Brut ajusté'!P65="","",'Brut ajusté'!P65)</f>
        <v/>
      </c>
    </row>
    <row r="66">
      <c r="B66" s="32">
        <f>'Brut ajusté'!B66</f>
        <v/>
      </c>
      <c r="C66" s="33">
        <f>IF('Brut ajusté'!C66="","",'Brut ajusté'!C66)</f>
        <v/>
      </c>
      <c r="D66" s="33">
        <f>IF(OR('Brut ajusté'!D66="",$B66&lt;INFR_debut),"",'Brut ajusté'!D66)</f>
        <v/>
      </c>
      <c r="E66" s="33">
        <f>IF('Brut ajusté'!E66="","",'Brut ajusté'!E66)</f>
        <v/>
      </c>
      <c r="F66" s="33">
        <f>IF('Brut ajusté'!F66="","",'Brut ajusté'!F66)</f>
        <v/>
      </c>
      <c r="G66" s="33">
        <f>IF('Brut ajusté'!G66="","",'Brut ajusté'!G66)</f>
        <v/>
      </c>
      <c r="H66" s="33">
        <f>IF('Brut ajusté'!H66="","",'Brut ajusté'!H66)</f>
        <v/>
      </c>
      <c r="I66" s="33">
        <f>IF('Brut ajusté'!I66="","",'Brut ajusté'!I66)</f>
        <v/>
      </c>
      <c r="J66" s="33">
        <f>IF('Brut ajusté'!J66="","",IF($B66&lt;BIP_date,'Brut ajusté'!J66/BIP_facteur,'Brut ajusté'!J66))</f>
        <v/>
      </c>
      <c r="K66" s="33">
        <f>IF('Brut ajusté'!K66="","",'Brut ajusté'!K66)</f>
        <v/>
      </c>
      <c r="L66" s="33">
        <f>IF('Brut ajusté'!L66="","",'Brut ajusté'!L66)</f>
        <v/>
      </c>
      <c r="M66" s="33">
        <f>IF('Brut ajusté'!M66="","",'Brut ajusté'!M66)</f>
        <v/>
      </c>
      <c r="N66" s="33">
        <f>IF('Brut ajusté'!N66="","",'Brut ajusté'!N66)</f>
        <v/>
      </c>
      <c r="O66" s="33">
        <f>IF('Brut ajusté'!O66="","",'Brut ajusté'!O66)</f>
        <v/>
      </c>
      <c r="P66" s="33">
        <f>IF('Brut ajusté'!P66="","",'Brut ajusté'!P66)</f>
        <v/>
      </c>
    </row>
    <row r="67">
      <c r="B67" s="32">
        <f>'Brut ajusté'!B67</f>
        <v/>
      </c>
      <c r="C67" s="33">
        <f>IF('Brut ajusté'!C67="","",'Brut ajusté'!C67)</f>
        <v/>
      </c>
      <c r="D67" s="33">
        <f>IF(OR('Brut ajusté'!D67="",$B67&lt;INFR_debut),"",'Brut ajusté'!D67)</f>
        <v/>
      </c>
      <c r="E67" s="33">
        <f>IF('Brut ajusté'!E67="","",'Brut ajusté'!E67)</f>
        <v/>
      </c>
      <c r="F67" s="33">
        <f>IF('Brut ajusté'!F67="","",'Brut ajusté'!F67)</f>
        <v/>
      </c>
      <c r="G67" s="33">
        <f>IF('Brut ajusté'!G67="","",'Brut ajusté'!G67)</f>
        <v/>
      </c>
      <c r="H67" s="33">
        <f>IF('Brut ajusté'!H67="","",'Brut ajusté'!H67)</f>
        <v/>
      </c>
      <c r="I67" s="33">
        <f>IF('Brut ajusté'!I67="","",'Brut ajusté'!I67)</f>
        <v/>
      </c>
      <c r="J67" s="33">
        <f>IF('Brut ajusté'!J67="","",IF($B67&lt;BIP_date,'Brut ajusté'!J67/BIP_facteur,'Brut ajusté'!J67))</f>
        <v/>
      </c>
      <c r="K67" s="33">
        <f>IF('Brut ajusté'!K67="","",'Brut ajusté'!K67)</f>
        <v/>
      </c>
      <c r="L67" s="33">
        <f>IF('Brut ajusté'!L67="","",'Brut ajusté'!L67)</f>
        <v/>
      </c>
      <c r="M67" s="33">
        <f>IF('Brut ajusté'!M67="","",'Brut ajusté'!M67)</f>
        <v/>
      </c>
      <c r="N67" s="33">
        <f>IF('Brut ajusté'!N67="","",'Brut ajusté'!N67)</f>
        <v/>
      </c>
      <c r="O67" s="33">
        <f>IF('Brut ajusté'!O67="","",'Brut ajusté'!O67)</f>
        <v/>
      </c>
      <c r="P67" s="33">
        <f>IF('Brut ajusté'!P67="","",'Brut ajusté'!P67)</f>
        <v/>
      </c>
    </row>
    <row r="68">
      <c r="B68" s="32">
        <f>'Brut ajusté'!B68</f>
        <v/>
      </c>
      <c r="C68" s="33">
        <f>IF('Brut ajusté'!C68="","",'Brut ajusté'!C68)</f>
        <v/>
      </c>
      <c r="D68" s="33">
        <f>IF(OR('Brut ajusté'!D68="",$B68&lt;INFR_debut),"",'Brut ajusté'!D68)</f>
        <v/>
      </c>
      <c r="E68" s="33">
        <f>IF('Brut ajusté'!E68="","",'Brut ajusté'!E68)</f>
        <v/>
      </c>
      <c r="F68" s="33">
        <f>IF('Brut ajusté'!F68="","",'Brut ajusté'!F68)</f>
        <v/>
      </c>
      <c r="G68" s="33">
        <f>IF('Brut ajusté'!G68="","",'Brut ajusté'!G68)</f>
        <v/>
      </c>
      <c r="H68" s="33">
        <f>IF('Brut ajusté'!H68="","",'Brut ajusté'!H68)</f>
        <v/>
      </c>
      <c r="I68" s="33">
        <f>IF('Brut ajusté'!I68="","",'Brut ajusté'!I68)</f>
        <v/>
      </c>
      <c r="J68" s="33">
        <f>IF('Brut ajusté'!J68="","",IF($B68&lt;BIP_date,'Brut ajusté'!J68/BIP_facteur,'Brut ajusté'!J68))</f>
        <v/>
      </c>
      <c r="K68" s="33">
        <f>IF('Brut ajusté'!K68="","",'Brut ajusté'!K68)</f>
        <v/>
      </c>
      <c r="L68" s="33">
        <f>IF('Brut ajusté'!L68="","",'Brut ajusté'!L68)</f>
        <v/>
      </c>
      <c r="M68" s="33">
        <f>IF('Brut ajusté'!M68="","",'Brut ajusté'!M68)</f>
        <v/>
      </c>
      <c r="N68" s="33">
        <f>IF('Brut ajusté'!N68="","",'Brut ajusté'!N68)</f>
        <v/>
      </c>
      <c r="O68" s="33">
        <f>IF('Brut ajusté'!O68="","",'Brut ajusté'!O68)</f>
        <v/>
      </c>
      <c r="P68" s="33">
        <f>IF('Brut ajusté'!P68="","",'Brut ajusté'!P68)</f>
        <v/>
      </c>
    </row>
    <row r="69">
      <c r="B69" s="32">
        <f>'Brut ajusté'!B69</f>
        <v/>
      </c>
      <c r="C69" s="33">
        <f>IF('Brut ajusté'!C69="","",'Brut ajusté'!C69)</f>
        <v/>
      </c>
      <c r="D69" s="33">
        <f>IF(OR('Brut ajusté'!D69="",$B69&lt;INFR_debut),"",'Brut ajusté'!D69)</f>
        <v/>
      </c>
      <c r="E69" s="33">
        <f>IF('Brut ajusté'!E69="","",'Brut ajusté'!E69)</f>
        <v/>
      </c>
      <c r="F69" s="33">
        <f>IF('Brut ajusté'!F69="","",'Brut ajusté'!F69)</f>
        <v/>
      </c>
      <c r="G69" s="33">
        <f>IF('Brut ajusté'!G69="","",'Brut ajusté'!G69)</f>
        <v/>
      </c>
      <c r="H69" s="33">
        <f>IF('Brut ajusté'!H69="","",'Brut ajusté'!H69)</f>
        <v/>
      </c>
      <c r="I69" s="33">
        <f>IF('Brut ajusté'!I69="","",'Brut ajusté'!I69)</f>
        <v/>
      </c>
      <c r="J69" s="33">
        <f>IF('Brut ajusté'!J69="","",IF($B69&lt;BIP_date,'Brut ajusté'!J69/BIP_facteur,'Brut ajusté'!J69))</f>
        <v/>
      </c>
      <c r="K69" s="33">
        <f>IF('Brut ajusté'!K69="","",'Brut ajusté'!K69)</f>
        <v/>
      </c>
      <c r="L69" s="33">
        <f>IF('Brut ajusté'!L69="","",'Brut ajusté'!L69)</f>
        <v/>
      </c>
      <c r="M69" s="33">
        <f>IF('Brut ajusté'!M69="","",'Brut ajusté'!M69)</f>
        <v/>
      </c>
      <c r="N69" s="33">
        <f>IF('Brut ajusté'!N69="","",'Brut ajusté'!N69)</f>
        <v/>
      </c>
      <c r="O69" s="33">
        <f>IF('Brut ajusté'!O69="","",'Brut ajusté'!O69)</f>
        <v/>
      </c>
      <c r="P69" s="33">
        <f>IF('Brut ajusté'!P69="","",'Brut ajusté'!P69)</f>
        <v/>
      </c>
    </row>
    <row r="70">
      <c r="B70" s="32">
        <f>'Brut ajusté'!B70</f>
        <v/>
      </c>
      <c r="C70" s="33">
        <f>IF('Brut ajusté'!C70="","",'Brut ajusté'!C70)</f>
        <v/>
      </c>
      <c r="D70" s="33">
        <f>IF(OR('Brut ajusté'!D70="",$B70&lt;INFR_debut),"",'Brut ajusté'!D70)</f>
        <v/>
      </c>
      <c r="E70" s="33">
        <f>IF('Brut ajusté'!E70="","",'Brut ajusté'!E70)</f>
        <v/>
      </c>
      <c r="F70" s="33">
        <f>IF('Brut ajusté'!F70="","",'Brut ajusté'!F70)</f>
        <v/>
      </c>
      <c r="G70" s="33">
        <f>IF('Brut ajusté'!G70="","",'Brut ajusté'!G70)</f>
        <v/>
      </c>
      <c r="H70" s="33">
        <f>IF('Brut ajusté'!H70="","",'Brut ajusté'!H70)</f>
        <v/>
      </c>
      <c r="I70" s="33">
        <f>IF('Brut ajusté'!I70="","",'Brut ajusté'!I70)</f>
        <v/>
      </c>
      <c r="J70" s="33">
        <f>IF('Brut ajusté'!J70="","",IF($B70&lt;BIP_date,'Brut ajusté'!J70/BIP_facteur,'Brut ajusté'!J70))</f>
        <v/>
      </c>
      <c r="K70" s="33">
        <f>IF('Brut ajusté'!K70="","",'Brut ajusté'!K70)</f>
        <v/>
      </c>
      <c r="L70" s="33">
        <f>IF('Brut ajusté'!L70="","",'Brut ajusté'!L70)</f>
        <v/>
      </c>
      <c r="M70" s="33">
        <f>IF('Brut ajusté'!M70="","",'Brut ajusté'!M70)</f>
        <v/>
      </c>
      <c r="N70" s="33">
        <f>IF('Brut ajusté'!N70="","",'Brut ajusté'!N70)</f>
        <v/>
      </c>
      <c r="O70" s="33">
        <f>IF('Brut ajusté'!O70="","",'Brut ajusté'!O70)</f>
        <v/>
      </c>
      <c r="P70" s="33">
        <f>IF('Brut ajusté'!P70="","",'Brut ajusté'!P70)</f>
        <v/>
      </c>
    </row>
    <row r="71">
      <c r="B71" s="32">
        <f>'Brut ajusté'!B71</f>
        <v/>
      </c>
      <c r="C71" s="33">
        <f>IF('Brut ajusté'!C71="","",'Brut ajusté'!C71)</f>
        <v/>
      </c>
      <c r="D71" s="33">
        <f>IF(OR('Brut ajusté'!D71="",$B71&lt;INFR_debut),"",'Brut ajusté'!D71)</f>
        <v/>
      </c>
      <c r="E71" s="33">
        <f>IF('Brut ajusté'!E71="","",'Brut ajusté'!E71)</f>
        <v/>
      </c>
      <c r="F71" s="33">
        <f>IF('Brut ajusté'!F71="","",'Brut ajusté'!F71)</f>
        <v/>
      </c>
      <c r="G71" s="33">
        <f>IF('Brut ajusté'!G71="","",'Brut ajusté'!G71)</f>
        <v/>
      </c>
      <c r="H71" s="33">
        <f>IF('Brut ajusté'!H71="","",'Brut ajusté'!H71)</f>
        <v/>
      </c>
      <c r="I71" s="33">
        <f>IF('Brut ajusté'!I71="","",'Brut ajusté'!I71)</f>
        <v/>
      </c>
      <c r="J71" s="33">
        <f>IF('Brut ajusté'!J71="","",IF($B71&lt;BIP_date,'Brut ajusté'!J71/BIP_facteur,'Brut ajusté'!J71))</f>
        <v/>
      </c>
      <c r="K71" s="33">
        <f>IF('Brut ajusté'!K71="","",'Brut ajusté'!K71)</f>
        <v/>
      </c>
      <c r="L71" s="33">
        <f>IF('Brut ajusté'!L71="","",'Brut ajusté'!L71)</f>
        <v/>
      </c>
      <c r="M71" s="33">
        <f>IF('Brut ajusté'!M71="","",'Brut ajusté'!M71)</f>
        <v/>
      </c>
      <c r="N71" s="33">
        <f>IF('Brut ajusté'!N71="","",'Brut ajusté'!N71)</f>
        <v/>
      </c>
      <c r="O71" s="33">
        <f>IF('Brut ajusté'!O71="","",'Brut ajusté'!O71)</f>
        <v/>
      </c>
      <c r="P71" s="33">
        <f>IF('Brut ajusté'!P71="","",'Brut ajusté'!P71)</f>
        <v/>
      </c>
    </row>
    <row r="72">
      <c r="B72" s="32">
        <f>'Brut ajusté'!B72</f>
        <v/>
      </c>
      <c r="C72" s="33">
        <f>IF('Brut ajusté'!C72="","",'Brut ajusté'!C72)</f>
        <v/>
      </c>
      <c r="D72" s="33">
        <f>IF(OR('Brut ajusté'!D72="",$B72&lt;INFR_debut),"",'Brut ajusté'!D72)</f>
        <v/>
      </c>
      <c r="E72" s="33">
        <f>IF('Brut ajusté'!E72="","",'Brut ajusté'!E72)</f>
        <v/>
      </c>
      <c r="F72" s="33">
        <f>IF('Brut ajusté'!F72="","",'Brut ajusté'!F72)</f>
        <v/>
      </c>
      <c r="G72" s="33">
        <f>IF('Brut ajusté'!G72="","",'Brut ajusté'!G72)</f>
        <v/>
      </c>
      <c r="H72" s="33">
        <f>IF('Brut ajusté'!H72="","",'Brut ajusté'!H72)</f>
        <v/>
      </c>
      <c r="I72" s="33">
        <f>IF('Brut ajusté'!I72="","",'Brut ajusté'!I72)</f>
        <v/>
      </c>
      <c r="J72" s="33">
        <f>IF('Brut ajusté'!J72="","",IF($B72&lt;BIP_date,'Brut ajusté'!J72/BIP_facteur,'Brut ajusté'!J72))</f>
        <v/>
      </c>
      <c r="K72" s="33">
        <f>IF('Brut ajusté'!K72="","",'Brut ajusté'!K72)</f>
        <v/>
      </c>
      <c r="L72" s="33">
        <f>IF('Brut ajusté'!L72="","",'Brut ajusté'!L72)</f>
        <v/>
      </c>
      <c r="M72" s="33">
        <f>IF('Brut ajusté'!M72="","",'Brut ajusté'!M72)</f>
        <v/>
      </c>
      <c r="N72" s="33">
        <f>IF('Brut ajusté'!N72="","",'Brut ajusté'!N72)</f>
        <v/>
      </c>
      <c r="O72" s="33">
        <f>IF('Brut ajusté'!O72="","",'Brut ajusté'!O72)</f>
        <v/>
      </c>
      <c r="P72" s="33">
        <f>IF('Brut ajusté'!P72="","",'Brut ajusté'!P72)</f>
        <v/>
      </c>
    </row>
    <row r="73">
      <c r="B73" s="32">
        <f>'Brut ajusté'!B73</f>
        <v/>
      </c>
      <c r="C73" s="33">
        <f>IF('Brut ajusté'!C73="","",'Brut ajusté'!C73)</f>
        <v/>
      </c>
      <c r="D73" s="33">
        <f>IF(OR('Brut ajusté'!D73="",$B73&lt;INFR_debut),"",'Brut ajusté'!D73)</f>
        <v/>
      </c>
      <c r="E73" s="33">
        <f>IF('Brut ajusté'!E73="","",'Brut ajusté'!E73)</f>
        <v/>
      </c>
      <c r="F73" s="33">
        <f>IF('Brut ajusté'!F73="","",'Brut ajusté'!F73)</f>
        <v/>
      </c>
      <c r="G73" s="33">
        <f>IF('Brut ajusté'!G73="","",'Brut ajusté'!G73)</f>
        <v/>
      </c>
      <c r="H73" s="33">
        <f>IF('Brut ajusté'!H73="","",'Brut ajusté'!H73)</f>
        <v/>
      </c>
      <c r="I73" s="33">
        <f>IF('Brut ajusté'!I73="","",'Brut ajusté'!I73)</f>
        <v/>
      </c>
      <c r="J73" s="33">
        <f>IF('Brut ajusté'!J73="","",IF($B73&lt;BIP_date,'Brut ajusté'!J73/BIP_facteur,'Brut ajusté'!J73))</f>
        <v/>
      </c>
      <c r="K73" s="33">
        <f>IF('Brut ajusté'!K73="","",'Brut ajusté'!K73)</f>
        <v/>
      </c>
      <c r="L73" s="33">
        <f>IF('Brut ajusté'!L73="","",'Brut ajusté'!L73)</f>
        <v/>
      </c>
      <c r="M73" s="33">
        <f>IF('Brut ajusté'!M73="","",'Brut ajusté'!M73)</f>
        <v/>
      </c>
      <c r="N73" s="33">
        <f>IF('Brut ajusté'!N73="","",'Brut ajusté'!N73)</f>
        <v/>
      </c>
      <c r="O73" s="33">
        <f>IF('Brut ajusté'!O73="","",'Brut ajusté'!O73)</f>
        <v/>
      </c>
      <c r="P73" s="33">
        <f>IF('Brut ajusté'!P73="","",'Brut ajusté'!P73)</f>
        <v/>
      </c>
    </row>
    <row r="74">
      <c r="B74" s="32">
        <f>'Brut ajusté'!B74</f>
        <v/>
      </c>
      <c r="C74" s="33">
        <f>IF('Brut ajusté'!C74="","",'Brut ajusté'!C74)</f>
        <v/>
      </c>
      <c r="D74" s="33">
        <f>IF(OR('Brut ajusté'!D74="",$B74&lt;INFR_debut),"",'Brut ajusté'!D74)</f>
        <v/>
      </c>
      <c r="E74" s="33">
        <f>IF('Brut ajusté'!E74="","",'Brut ajusté'!E74)</f>
        <v/>
      </c>
      <c r="F74" s="33">
        <f>IF('Brut ajusté'!F74="","",'Brut ajusté'!F74)</f>
        <v/>
      </c>
      <c r="G74" s="33">
        <f>IF('Brut ajusté'!G74="","",'Brut ajusté'!G74)</f>
        <v/>
      </c>
      <c r="H74" s="33">
        <f>IF('Brut ajusté'!H74="","",'Brut ajusté'!H74)</f>
        <v/>
      </c>
      <c r="I74" s="33">
        <f>IF('Brut ajusté'!I74="","",'Brut ajusté'!I74)</f>
        <v/>
      </c>
      <c r="J74" s="33">
        <f>IF('Brut ajusté'!J74="","",IF($B74&lt;BIP_date,'Brut ajusté'!J74/BIP_facteur,'Brut ajusté'!J74))</f>
        <v/>
      </c>
      <c r="K74" s="33">
        <f>IF('Brut ajusté'!K74="","",'Brut ajusté'!K74)</f>
        <v/>
      </c>
      <c r="L74" s="33">
        <f>IF('Brut ajusté'!L74="","",'Brut ajusté'!L74)</f>
        <v/>
      </c>
      <c r="M74" s="33">
        <f>IF('Brut ajusté'!M74="","",'Brut ajusté'!M74)</f>
        <v/>
      </c>
      <c r="N74" s="33">
        <f>IF('Brut ajusté'!N74="","",'Brut ajusté'!N74)</f>
        <v/>
      </c>
      <c r="O74" s="33">
        <f>IF('Brut ajusté'!O74="","",'Brut ajusté'!O74)</f>
        <v/>
      </c>
      <c r="P74" s="33">
        <f>IF('Brut ajusté'!P74="","",'Brut ajusté'!P74)</f>
        <v/>
      </c>
    </row>
    <row r="75">
      <c r="B75" s="32">
        <f>'Brut ajusté'!B75</f>
        <v/>
      </c>
      <c r="C75" s="33">
        <f>IF('Brut ajusté'!C75="","",'Brut ajusté'!C75)</f>
        <v/>
      </c>
      <c r="D75" s="33">
        <f>IF(OR('Brut ajusté'!D75="",$B75&lt;INFR_debut),"",'Brut ajusté'!D75)</f>
        <v/>
      </c>
      <c r="E75" s="33">
        <f>IF('Brut ajusté'!E75="","",'Brut ajusté'!E75)</f>
        <v/>
      </c>
      <c r="F75" s="33">
        <f>IF('Brut ajusté'!F75="","",'Brut ajusté'!F75)</f>
        <v/>
      </c>
      <c r="G75" s="33">
        <f>IF('Brut ajusté'!G75="","",'Brut ajusté'!G75)</f>
        <v/>
      </c>
      <c r="H75" s="33">
        <f>IF('Brut ajusté'!H75="","",'Brut ajusté'!H75)</f>
        <v/>
      </c>
      <c r="I75" s="33">
        <f>IF('Brut ajusté'!I75="","",'Brut ajusté'!I75)</f>
        <v/>
      </c>
      <c r="J75" s="33">
        <f>IF('Brut ajusté'!J75="","",IF($B75&lt;BIP_date,'Brut ajusté'!J75/BIP_facteur,'Brut ajusté'!J75))</f>
        <v/>
      </c>
      <c r="K75" s="33">
        <f>IF('Brut ajusté'!K75="","",'Brut ajusté'!K75)</f>
        <v/>
      </c>
      <c r="L75" s="33">
        <f>IF('Brut ajusté'!L75="","",'Brut ajusté'!L75)</f>
        <v/>
      </c>
      <c r="M75" s="33">
        <f>IF('Brut ajusté'!M75="","",'Brut ajusté'!M75)</f>
        <v/>
      </c>
      <c r="N75" s="33">
        <f>IF('Brut ajusté'!N75="","",'Brut ajusté'!N75)</f>
        <v/>
      </c>
      <c r="O75" s="33">
        <f>IF('Brut ajusté'!O75="","",'Brut ajusté'!O75)</f>
        <v/>
      </c>
      <c r="P75" s="33">
        <f>IF('Brut ajusté'!P75="","",'Brut ajusté'!P75)</f>
        <v/>
      </c>
    </row>
    <row r="76">
      <c r="B76" s="32">
        <f>'Brut ajusté'!B76</f>
        <v/>
      </c>
      <c r="C76" s="33">
        <f>IF('Brut ajusté'!C76="","",'Brut ajusté'!C76)</f>
        <v/>
      </c>
      <c r="D76" s="33">
        <f>IF(OR('Brut ajusté'!D76="",$B76&lt;INFR_debut),"",'Brut ajusté'!D76)</f>
        <v/>
      </c>
      <c r="E76" s="33">
        <f>IF('Brut ajusté'!E76="","",'Brut ajusté'!E76)</f>
        <v/>
      </c>
      <c r="F76" s="33">
        <f>IF('Brut ajusté'!F76="","",'Brut ajusté'!F76)</f>
        <v/>
      </c>
      <c r="G76" s="33">
        <f>IF('Brut ajusté'!G76="","",'Brut ajusté'!G76)</f>
        <v/>
      </c>
      <c r="H76" s="33">
        <f>IF('Brut ajusté'!H76="","",'Brut ajusté'!H76)</f>
        <v/>
      </c>
      <c r="I76" s="33">
        <f>IF('Brut ajusté'!I76="","",'Brut ajusté'!I76)</f>
        <v/>
      </c>
      <c r="J76" s="33">
        <f>IF('Brut ajusté'!J76="","",IF($B76&lt;BIP_date,'Brut ajusté'!J76/BIP_facteur,'Brut ajusté'!J76))</f>
        <v/>
      </c>
      <c r="K76" s="33">
        <f>IF('Brut ajusté'!K76="","",'Brut ajusté'!K76)</f>
        <v/>
      </c>
      <c r="L76" s="33">
        <f>IF('Brut ajusté'!L76="","",'Brut ajusté'!L76)</f>
        <v/>
      </c>
      <c r="M76" s="33">
        <f>IF('Brut ajusté'!M76="","",'Brut ajusté'!M76)</f>
        <v/>
      </c>
      <c r="N76" s="33">
        <f>IF('Brut ajusté'!N76="","",'Brut ajusté'!N76)</f>
        <v/>
      </c>
      <c r="O76" s="33">
        <f>IF('Brut ajusté'!O76="","",'Brut ajusté'!O76)</f>
        <v/>
      </c>
      <c r="P76" s="33">
        <f>IF('Brut ajusté'!P76="","",'Brut ajusté'!P76)</f>
        <v/>
      </c>
    </row>
    <row r="77">
      <c r="B77" s="32">
        <f>'Brut ajusté'!B77</f>
        <v/>
      </c>
      <c r="C77" s="33">
        <f>IF('Brut ajusté'!C77="","",'Brut ajusté'!C77)</f>
        <v/>
      </c>
      <c r="D77" s="33">
        <f>IF(OR('Brut ajusté'!D77="",$B77&lt;INFR_debut),"",'Brut ajusté'!D77)</f>
        <v/>
      </c>
      <c r="E77" s="33">
        <f>IF('Brut ajusté'!E77="","",'Brut ajusté'!E77)</f>
        <v/>
      </c>
      <c r="F77" s="33">
        <f>IF('Brut ajusté'!F77="","",'Brut ajusté'!F77)</f>
        <v/>
      </c>
      <c r="G77" s="33">
        <f>IF('Brut ajusté'!G77="","",'Brut ajusté'!G77)</f>
        <v/>
      </c>
      <c r="H77" s="33">
        <f>IF('Brut ajusté'!H77="","",'Brut ajusté'!H77)</f>
        <v/>
      </c>
      <c r="I77" s="33">
        <f>IF('Brut ajusté'!I77="","",'Brut ajusté'!I77)</f>
        <v/>
      </c>
      <c r="J77" s="33">
        <f>IF('Brut ajusté'!J77="","",IF($B77&lt;BIP_date,'Brut ajusté'!J77/BIP_facteur,'Brut ajusté'!J77))</f>
        <v/>
      </c>
      <c r="K77" s="33">
        <f>IF('Brut ajusté'!K77="","",'Brut ajusté'!K77)</f>
        <v/>
      </c>
      <c r="L77" s="33">
        <f>IF('Brut ajusté'!L77="","",'Brut ajusté'!L77)</f>
        <v/>
      </c>
      <c r="M77" s="33">
        <f>IF('Brut ajusté'!M77="","",'Brut ajusté'!M77)</f>
        <v/>
      </c>
      <c r="N77" s="33">
        <f>IF('Brut ajusté'!N77="","",'Brut ajusté'!N77)</f>
        <v/>
      </c>
      <c r="O77" s="33">
        <f>IF('Brut ajusté'!O77="","",'Brut ajusté'!O77)</f>
        <v/>
      </c>
      <c r="P77" s="33">
        <f>IF('Brut ajusté'!P77="","",'Brut ajusté'!P77)</f>
        <v/>
      </c>
    </row>
    <row r="78">
      <c r="B78" s="32">
        <f>'Brut ajusté'!B78</f>
        <v/>
      </c>
      <c r="C78" s="33">
        <f>IF('Brut ajusté'!C78="","",'Brut ajusté'!C78)</f>
        <v/>
      </c>
      <c r="D78" s="33">
        <f>IF(OR('Brut ajusté'!D78="",$B78&lt;INFR_debut),"",'Brut ajusté'!D78)</f>
        <v/>
      </c>
      <c r="E78" s="33">
        <f>IF('Brut ajusté'!E78="","",'Brut ajusté'!E78)</f>
        <v/>
      </c>
      <c r="F78" s="33">
        <f>IF('Brut ajusté'!F78="","",'Brut ajusté'!F78)</f>
        <v/>
      </c>
      <c r="G78" s="33">
        <f>IF('Brut ajusté'!G78="","",'Brut ajusté'!G78)</f>
        <v/>
      </c>
      <c r="H78" s="33">
        <f>IF('Brut ajusté'!H78="","",'Brut ajusté'!H78)</f>
        <v/>
      </c>
      <c r="I78" s="33">
        <f>IF('Brut ajusté'!I78="","",'Brut ajusté'!I78)</f>
        <v/>
      </c>
      <c r="J78" s="33">
        <f>IF('Brut ajusté'!J78="","",IF($B78&lt;BIP_date,'Brut ajusté'!J78/BIP_facteur,'Brut ajusté'!J78))</f>
        <v/>
      </c>
      <c r="K78" s="33">
        <f>IF('Brut ajusté'!K78="","",'Brut ajusté'!K78)</f>
        <v/>
      </c>
      <c r="L78" s="33">
        <f>IF('Brut ajusté'!L78="","",'Brut ajusté'!L78)</f>
        <v/>
      </c>
      <c r="M78" s="33">
        <f>IF('Brut ajusté'!M78="","",'Brut ajusté'!M78)</f>
        <v/>
      </c>
      <c r="N78" s="33">
        <f>IF('Brut ajusté'!N78="","",'Brut ajusté'!N78)</f>
        <v/>
      </c>
      <c r="O78" s="33">
        <f>IF('Brut ajusté'!O78="","",'Brut ajusté'!O78)</f>
        <v/>
      </c>
      <c r="P78" s="33">
        <f>IF('Brut ajusté'!P78="","",'Brut ajusté'!P78)</f>
        <v/>
      </c>
    </row>
    <row r="79">
      <c r="B79" s="32">
        <f>'Brut ajusté'!B79</f>
        <v/>
      </c>
      <c r="C79" s="33">
        <f>IF('Brut ajusté'!C79="","",'Brut ajusté'!C79)</f>
        <v/>
      </c>
      <c r="D79" s="33">
        <f>IF(OR('Brut ajusté'!D79="",$B79&lt;INFR_debut),"",'Brut ajusté'!D79)</f>
        <v/>
      </c>
      <c r="E79" s="33">
        <f>IF('Brut ajusté'!E79="","",'Brut ajusté'!E79)</f>
        <v/>
      </c>
      <c r="F79" s="33">
        <f>IF('Brut ajusté'!F79="","",'Brut ajusté'!F79)</f>
        <v/>
      </c>
      <c r="G79" s="33">
        <f>IF('Brut ajusté'!G79="","",'Brut ajusté'!G79)</f>
        <v/>
      </c>
      <c r="H79" s="33">
        <f>IF('Brut ajusté'!H79="","",'Brut ajusté'!H79)</f>
        <v/>
      </c>
      <c r="I79" s="33">
        <f>IF('Brut ajusté'!I79="","",'Brut ajusté'!I79)</f>
        <v/>
      </c>
      <c r="J79" s="33">
        <f>IF('Brut ajusté'!J79="","",IF($B79&lt;BIP_date,'Brut ajusté'!J79/BIP_facteur,'Brut ajusté'!J79))</f>
        <v/>
      </c>
      <c r="K79" s="33">
        <f>IF('Brut ajusté'!K79="","",'Brut ajusté'!K79)</f>
        <v/>
      </c>
      <c r="L79" s="33">
        <f>IF('Brut ajusté'!L79="","",'Brut ajusté'!L79)</f>
        <v/>
      </c>
      <c r="M79" s="33">
        <f>IF('Brut ajusté'!M79="","",'Brut ajusté'!M79)</f>
        <v/>
      </c>
      <c r="N79" s="33">
        <f>IF('Brut ajusté'!N79="","",'Brut ajusté'!N79)</f>
        <v/>
      </c>
      <c r="O79" s="33">
        <f>IF('Brut ajusté'!O79="","",'Brut ajusté'!O79)</f>
        <v/>
      </c>
      <c r="P79" s="33">
        <f>IF('Brut ajusté'!P79="","",'Brut ajusté'!P79)</f>
        <v/>
      </c>
    </row>
    <row r="80">
      <c r="B80" s="32">
        <f>'Brut ajusté'!B80</f>
        <v/>
      </c>
      <c r="C80" s="33">
        <f>IF('Brut ajusté'!C80="","",'Brut ajusté'!C80)</f>
        <v/>
      </c>
      <c r="D80" s="33">
        <f>IF(OR('Brut ajusté'!D80="",$B80&lt;INFR_debut),"",'Brut ajusté'!D80)</f>
        <v/>
      </c>
      <c r="E80" s="33">
        <f>IF('Brut ajusté'!E80="","",'Brut ajusté'!E80)</f>
        <v/>
      </c>
      <c r="F80" s="33">
        <f>IF('Brut ajusté'!F80="","",'Brut ajusté'!F80)</f>
        <v/>
      </c>
      <c r="G80" s="33">
        <f>IF('Brut ajusté'!G80="","",'Brut ajusté'!G80)</f>
        <v/>
      </c>
      <c r="H80" s="33">
        <f>IF('Brut ajusté'!H80="","",'Brut ajusté'!H80)</f>
        <v/>
      </c>
      <c r="I80" s="33">
        <f>IF('Brut ajusté'!I80="","",'Brut ajusté'!I80)</f>
        <v/>
      </c>
      <c r="J80" s="33">
        <f>IF('Brut ajusté'!J80="","",IF($B80&lt;BIP_date,'Brut ajusté'!J80/BIP_facteur,'Brut ajusté'!J80))</f>
        <v/>
      </c>
      <c r="K80" s="33">
        <f>IF('Brut ajusté'!K80="","",'Brut ajusté'!K80)</f>
        <v/>
      </c>
      <c r="L80" s="33">
        <f>IF('Brut ajusté'!L80="","",'Brut ajusté'!L80)</f>
        <v/>
      </c>
      <c r="M80" s="33">
        <f>IF('Brut ajusté'!M80="","",'Brut ajusté'!M80)</f>
        <v/>
      </c>
      <c r="N80" s="33">
        <f>IF('Brut ajusté'!N80="","",'Brut ajusté'!N80)</f>
        <v/>
      </c>
      <c r="O80" s="33">
        <f>IF('Brut ajusté'!O80="","",'Brut ajusté'!O80)</f>
        <v/>
      </c>
      <c r="P80" s="33">
        <f>IF('Brut ajusté'!P80="","",'Brut ajusté'!P80)</f>
        <v/>
      </c>
    </row>
    <row r="81">
      <c r="B81" s="32">
        <f>'Brut ajusté'!B81</f>
        <v/>
      </c>
      <c r="C81" s="33">
        <f>IF('Brut ajusté'!C81="","",'Brut ajusté'!C81)</f>
        <v/>
      </c>
      <c r="D81" s="33">
        <f>IF(OR('Brut ajusté'!D81="",$B81&lt;INFR_debut),"",'Brut ajusté'!D81)</f>
        <v/>
      </c>
      <c r="E81" s="33">
        <f>IF('Brut ajusté'!E81="","",'Brut ajusté'!E81)</f>
        <v/>
      </c>
      <c r="F81" s="33">
        <f>IF('Brut ajusté'!F81="","",'Brut ajusté'!F81)</f>
        <v/>
      </c>
      <c r="G81" s="33">
        <f>IF('Brut ajusté'!G81="","",'Brut ajusté'!G81)</f>
        <v/>
      </c>
      <c r="H81" s="33">
        <f>IF('Brut ajusté'!H81="","",'Brut ajusté'!H81)</f>
        <v/>
      </c>
      <c r="I81" s="33">
        <f>IF('Brut ajusté'!I81="","",'Brut ajusté'!I81)</f>
        <v/>
      </c>
      <c r="J81" s="33">
        <f>IF('Brut ajusté'!J81="","",IF($B81&lt;BIP_date,'Brut ajusté'!J81/BIP_facteur,'Brut ajusté'!J81))</f>
        <v/>
      </c>
      <c r="K81" s="33">
        <f>IF('Brut ajusté'!K81="","",'Brut ajusté'!K81)</f>
        <v/>
      </c>
      <c r="L81" s="33">
        <f>IF('Brut ajusté'!L81="","",'Brut ajusté'!L81)</f>
        <v/>
      </c>
      <c r="M81" s="33">
        <f>IF('Brut ajusté'!M81="","",'Brut ajusté'!M81)</f>
        <v/>
      </c>
      <c r="N81" s="33">
        <f>IF('Brut ajusté'!N81="","",'Brut ajusté'!N81)</f>
        <v/>
      </c>
      <c r="O81" s="33">
        <f>IF('Brut ajusté'!O81="","",'Brut ajusté'!O81)</f>
        <v/>
      </c>
      <c r="P81" s="33">
        <f>IF('Brut ajusté'!P81="","",'Brut ajusté'!P81)</f>
        <v/>
      </c>
    </row>
    <row r="82">
      <c r="B82" s="32">
        <f>'Brut ajusté'!B82</f>
        <v/>
      </c>
      <c r="C82" s="33">
        <f>IF('Brut ajusté'!C82="","",'Brut ajusté'!C82)</f>
        <v/>
      </c>
      <c r="D82" s="33">
        <f>IF(OR('Brut ajusté'!D82="",$B82&lt;INFR_debut),"",'Brut ajusté'!D82)</f>
        <v/>
      </c>
      <c r="E82" s="33">
        <f>IF('Brut ajusté'!E82="","",'Brut ajusté'!E82)</f>
        <v/>
      </c>
      <c r="F82" s="33">
        <f>IF('Brut ajusté'!F82="","",'Brut ajusté'!F82)</f>
        <v/>
      </c>
      <c r="G82" s="33">
        <f>IF('Brut ajusté'!G82="","",'Brut ajusté'!G82)</f>
        <v/>
      </c>
      <c r="H82" s="33">
        <f>IF('Brut ajusté'!H82="","",'Brut ajusté'!H82)</f>
        <v/>
      </c>
      <c r="I82" s="33">
        <f>IF('Brut ajusté'!I82="","",'Brut ajusté'!I82)</f>
        <v/>
      </c>
      <c r="J82" s="33">
        <f>IF('Brut ajusté'!J82="","",IF($B82&lt;BIP_date,'Brut ajusté'!J82/BIP_facteur,'Brut ajusté'!J82))</f>
        <v/>
      </c>
      <c r="K82" s="33">
        <f>IF('Brut ajusté'!K82="","",'Brut ajusté'!K82)</f>
        <v/>
      </c>
      <c r="L82" s="33">
        <f>IF('Brut ajusté'!L82="","",'Brut ajusté'!L82)</f>
        <v/>
      </c>
      <c r="M82" s="33">
        <f>IF('Brut ajusté'!M82="","",'Brut ajusté'!M82)</f>
        <v/>
      </c>
      <c r="N82" s="33">
        <f>IF('Brut ajusté'!N82="","",'Brut ajusté'!N82)</f>
        <v/>
      </c>
      <c r="O82" s="33">
        <f>IF('Brut ajusté'!O82="","",'Brut ajusté'!O82)</f>
        <v/>
      </c>
      <c r="P82" s="33">
        <f>IF('Brut ajusté'!P82="","",'Brut ajusté'!P82)</f>
        <v/>
      </c>
    </row>
    <row r="83">
      <c r="B83" s="32">
        <f>'Brut ajusté'!B83</f>
        <v/>
      </c>
      <c r="C83" s="33">
        <f>IF('Brut ajusté'!C83="","",'Brut ajusté'!C83)</f>
        <v/>
      </c>
      <c r="D83" s="33">
        <f>IF(OR('Brut ajusté'!D83="",$B83&lt;INFR_debut),"",'Brut ajusté'!D83)</f>
        <v/>
      </c>
      <c r="E83" s="33">
        <f>IF('Brut ajusté'!E83="","",'Brut ajusté'!E83)</f>
        <v/>
      </c>
      <c r="F83" s="33">
        <f>IF('Brut ajusté'!F83="","",'Brut ajusté'!F83)</f>
        <v/>
      </c>
      <c r="G83" s="33">
        <f>IF('Brut ajusté'!G83="","",'Brut ajusté'!G83)</f>
        <v/>
      </c>
      <c r="H83" s="33">
        <f>IF('Brut ajusté'!H83="","",'Brut ajusté'!H83)</f>
        <v/>
      </c>
      <c r="I83" s="33">
        <f>IF('Brut ajusté'!I83="","",'Brut ajusté'!I83)</f>
        <v/>
      </c>
      <c r="J83" s="33">
        <f>IF('Brut ajusté'!J83="","",IF($B83&lt;BIP_date,'Brut ajusté'!J83/BIP_facteur,'Brut ajusté'!J83))</f>
        <v/>
      </c>
      <c r="K83" s="33">
        <f>IF('Brut ajusté'!K83="","",'Brut ajusté'!K83)</f>
        <v/>
      </c>
      <c r="L83" s="33">
        <f>IF('Brut ajusté'!L83="","",'Brut ajusté'!L83)</f>
        <v/>
      </c>
      <c r="M83" s="33">
        <f>IF('Brut ajusté'!M83="","",'Brut ajusté'!M83)</f>
        <v/>
      </c>
      <c r="N83" s="33">
        <f>IF('Brut ajusté'!N83="","",'Brut ajusté'!N83)</f>
        <v/>
      </c>
      <c r="O83" s="33">
        <f>IF('Brut ajusté'!O83="","",'Brut ajusté'!O83)</f>
        <v/>
      </c>
      <c r="P83" s="33">
        <f>IF('Brut ajusté'!P83="","",'Brut ajusté'!P83)</f>
        <v/>
      </c>
    </row>
    <row r="84">
      <c r="B84" s="32">
        <f>'Brut ajusté'!B84</f>
        <v/>
      </c>
      <c r="C84" s="33">
        <f>IF('Brut ajusté'!C84="","",'Brut ajusté'!C84)</f>
        <v/>
      </c>
      <c r="D84" s="33">
        <f>IF(OR('Brut ajusté'!D84="",$B84&lt;INFR_debut),"",'Brut ajusté'!D84)</f>
        <v/>
      </c>
      <c r="E84" s="33">
        <f>IF('Brut ajusté'!E84="","",'Brut ajusté'!E84)</f>
        <v/>
      </c>
      <c r="F84" s="33">
        <f>IF('Brut ajusté'!F84="","",'Brut ajusté'!F84)</f>
        <v/>
      </c>
      <c r="G84" s="33">
        <f>IF('Brut ajusté'!G84="","",'Brut ajusté'!G84)</f>
        <v/>
      </c>
      <c r="H84" s="33">
        <f>IF('Brut ajusté'!H84="","",'Brut ajusté'!H84)</f>
        <v/>
      </c>
      <c r="I84" s="33">
        <f>IF('Brut ajusté'!I84="","",'Brut ajusté'!I84)</f>
        <v/>
      </c>
      <c r="J84" s="33">
        <f>IF('Brut ajusté'!J84="","",IF($B84&lt;BIP_date,'Brut ajusté'!J84/BIP_facteur,'Brut ajusté'!J84))</f>
        <v/>
      </c>
      <c r="K84" s="33">
        <f>IF('Brut ajusté'!K84="","",'Brut ajusté'!K84)</f>
        <v/>
      </c>
      <c r="L84" s="33">
        <f>IF('Brut ajusté'!L84="","",'Brut ajusté'!L84)</f>
        <v/>
      </c>
      <c r="M84" s="33">
        <f>IF('Brut ajusté'!M84="","",'Brut ajusté'!M84)</f>
        <v/>
      </c>
      <c r="N84" s="33">
        <f>IF('Brut ajusté'!N84="","",'Brut ajusté'!N84)</f>
        <v/>
      </c>
      <c r="O84" s="33">
        <f>IF('Brut ajusté'!O84="","",'Brut ajusté'!O84)</f>
        <v/>
      </c>
      <c r="P84" s="33">
        <f>IF('Brut ajusté'!P84="","",'Brut ajusté'!P84)</f>
        <v/>
      </c>
    </row>
    <row r="85">
      <c r="B85" s="32">
        <f>'Brut ajusté'!B85</f>
        <v/>
      </c>
      <c r="C85" s="33">
        <f>IF('Brut ajusté'!C85="","",'Brut ajusté'!C85)</f>
        <v/>
      </c>
      <c r="D85" s="33">
        <f>IF(OR('Brut ajusté'!D85="",$B85&lt;INFR_debut),"",'Brut ajusté'!D85)</f>
        <v/>
      </c>
      <c r="E85" s="33">
        <f>IF('Brut ajusté'!E85="","",'Brut ajusté'!E85)</f>
        <v/>
      </c>
      <c r="F85" s="33">
        <f>IF('Brut ajusté'!F85="","",'Brut ajusté'!F85)</f>
        <v/>
      </c>
      <c r="G85" s="33">
        <f>IF('Brut ajusté'!G85="","",'Brut ajusté'!G85)</f>
        <v/>
      </c>
      <c r="H85" s="33">
        <f>IF('Brut ajusté'!H85="","",'Brut ajusté'!H85)</f>
        <v/>
      </c>
      <c r="I85" s="33">
        <f>IF('Brut ajusté'!I85="","",'Brut ajusté'!I85)</f>
        <v/>
      </c>
      <c r="J85" s="33">
        <f>IF('Brut ajusté'!J85="","",IF($B85&lt;BIP_date,'Brut ajusté'!J85/BIP_facteur,'Brut ajusté'!J85))</f>
        <v/>
      </c>
      <c r="K85" s="33">
        <f>IF('Brut ajusté'!K85="","",'Brut ajusté'!K85)</f>
        <v/>
      </c>
      <c r="L85" s="33">
        <f>IF('Brut ajusté'!L85="","",'Brut ajusté'!L85)</f>
        <v/>
      </c>
      <c r="M85" s="33">
        <f>IF('Brut ajusté'!M85="","",'Brut ajusté'!M85)</f>
        <v/>
      </c>
      <c r="N85" s="33">
        <f>IF('Brut ajusté'!N85="","",'Brut ajusté'!N85)</f>
        <v/>
      </c>
      <c r="O85" s="33">
        <f>IF('Brut ajusté'!O85="","",'Brut ajusté'!O85)</f>
        <v/>
      </c>
      <c r="P85" s="33">
        <f>IF('Brut ajusté'!P85="","",'Brut ajusté'!P85)</f>
        <v/>
      </c>
    </row>
    <row r="86">
      <c r="B86" s="32">
        <f>'Brut ajusté'!B86</f>
        <v/>
      </c>
      <c r="C86" s="33">
        <f>IF('Brut ajusté'!C86="","",'Brut ajusté'!C86)</f>
        <v/>
      </c>
      <c r="D86" s="33">
        <f>IF(OR('Brut ajusté'!D86="",$B86&lt;INFR_debut),"",'Brut ajusté'!D86)</f>
        <v/>
      </c>
      <c r="E86" s="33">
        <f>IF('Brut ajusté'!E86="","",'Brut ajusté'!E86)</f>
        <v/>
      </c>
      <c r="F86" s="33">
        <f>IF('Brut ajusté'!F86="","",'Brut ajusté'!F86)</f>
        <v/>
      </c>
      <c r="G86" s="33">
        <f>IF('Brut ajusté'!G86="","",'Brut ajusté'!G86)</f>
        <v/>
      </c>
      <c r="H86" s="33">
        <f>IF('Brut ajusté'!H86="","",'Brut ajusté'!H86)</f>
        <v/>
      </c>
      <c r="I86" s="33">
        <f>IF('Brut ajusté'!I86="","",'Brut ajusté'!I86)</f>
        <v/>
      </c>
      <c r="J86" s="33">
        <f>IF('Brut ajusté'!J86="","",IF($B86&lt;BIP_date,'Brut ajusté'!J86/BIP_facteur,'Brut ajusté'!J86))</f>
        <v/>
      </c>
      <c r="K86" s="33">
        <f>IF('Brut ajusté'!K86="","",'Brut ajusté'!K86)</f>
        <v/>
      </c>
      <c r="L86" s="33">
        <f>IF('Brut ajusté'!L86="","",'Brut ajusté'!L86)</f>
        <v/>
      </c>
      <c r="M86" s="33">
        <f>IF('Brut ajusté'!M86="","",'Brut ajusté'!M86)</f>
        <v/>
      </c>
      <c r="N86" s="33">
        <f>IF('Brut ajusté'!N86="","",'Brut ajusté'!N86)</f>
        <v/>
      </c>
      <c r="O86" s="33">
        <f>IF('Brut ajusté'!O86="","",'Brut ajusté'!O86)</f>
        <v/>
      </c>
      <c r="P86" s="33">
        <f>IF('Brut ajusté'!P86="","",'Brut ajusté'!P86)</f>
        <v/>
      </c>
    </row>
    <row r="87">
      <c r="B87" s="32">
        <f>'Brut ajusté'!B87</f>
        <v/>
      </c>
      <c r="C87" s="33">
        <f>IF('Brut ajusté'!C87="","",'Brut ajusté'!C87)</f>
        <v/>
      </c>
      <c r="D87" s="33">
        <f>IF(OR('Brut ajusté'!D87="",$B87&lt;INFR_debut),"",'Brut ajusté'!D87)</f>
        <v/>
      </c>
      <c r="E87" s="33">
        <f>IF('Brut ajusté'!E87="","",'Brut ajusté'!E87)</f>
        <v/>
      </c>
      <c r="F87" s="33">
        <f>IF('Brut ajusté'!F87="","",'Brut ajusté'!F87)</f>
        <v/>
      </c>
      <c r="G87" s="33">
        <f>IF('Brut ajusté'!G87="","",'Brut ajusté'!G87)</f>
        <v/>
      </c>
      <c r="H87" s="33">
        <f>IF('Brut ajusté'!H87="","",'Brut ajusté'!H87)</f>
        <v/>
      </c>
      <c r="I87" s="33">
        <f>IF('Brut ajusté'!I87="","",'Brut ajusté'!I87)</f>
        <v/>
      </c>
      <c r="J87" s="33">
        <f>IF('Brut ajusté'!J87="","",IF($B87&lt;BIP_date,'Brut ajusté'!J87/BIP_facteur,'Brut ajusté'!J87))</f>
        <v/>
      </c>
      <c r="K87" s="33">
        <f>IF('Brut ajusté'!K87="","",'Brut ajusté'!K87)</f>
        <v/>
      </c>
      <c r="L87" s="33">
        <f>IF('Brut ajusté'!L87="","",'Brut ajusté'!L87)</f>
        <v/>
      </c>
      <c r="M87" s="33">
        <f>IF('Brut ajusté'!M87="","",'Brut ajusté'!M87)</f>
        <v/>
      </c>
      <c r="N87" s="33">
        <f>IF('Brut ajusté'!N87="","",'Brut ajusté'!N87)</f>
        <v/>
      </c>
      <c r="O87" s="33">
        <f>IF('Brut ajusté'!O87="","",'Brut ajusté'!O87)</f>
        <v/>
      </c>
      <c r="P87" s="33">
        <f>IF('Brut ajusté'!P87="","",'Brut ajusté'!P87)</f>
        <v/>
      </c>
    </row>
    <row r="88">
      <c r="B88" s="32">
        <f>'Brut ajusté'!B88</f>
        <v/>
      </c>
      <c r="C88" s="33">
        <f>IF('Brut ajusté'!C88="","",'Brut ajusté'!C88)</f>
        <v/>
      </c>
      <c r="D88" s="33">
        <f>IF(OR('Brut ajusté'!D88="",$B88&lt;INFR_debut),"",'Brut ajusté'!D88)</f>
        <v/>
      </c>
      <c r="E88" s="33">
        <f>IF('Brut ajusté'!E88="","",'Brut ajusté'!E88)</f>
        <v/>
      </c>
      <c r="F88" s="33">
        <f>IF('Brut ajusté'!F88="","",'Brut ajusté'!F88)</f>
        <v/>
      </c>
      <c r="G88" s="33">
        <f>IF('Brut ajusté'!G88="","",'Brut ajusté'!G88)</f>
        <v/>
      </c>
      <c r="H88" s="33">
        <f>IF('Brut ajusté'!H88="","",'Brut ajusté'!H88)</f>
        <v/>
      </c>
      <c r="I88" s="33">
        <f>IF('Brut ajusté'!I88="","",'Brut ajusté'!I88)</f>
        <v/>
      </c>
      <c r="J88" s="33">
        <f>IF('Brut ajusté'!J88="","",IF($B88&lt;BIP_date,'Brut ajusté'!J88/BIP_facteur,'Brut ajusté'!J88))</f>
        <v/>
      </c>
      <c r="K88" s="33">
        <f>IF('Brut ajusté'!K88="","",'Brut ajusté'!K88)</f>
        <v/>
      </c>
      <c r="L88" s="33">
        <f>IF('Brut ajusté'!L88="","",'Brut ajusté'!L88)</f>
        <v/>
      </c>
      <c r="M88" s="33">
        <f>IF('Brut ajusté'!M88="","",'Brut ajusté'!M88)</f>
        <v/>
      </c>
      <c r="N88" s="33">
        <f>IF('Brut ajusté'!N88="","",'Brut ajusté'!N88)</f>
        <v/>
      </c>
      <c r="O88" s="33">
        <f>IF('Brut ajusté'!O88="","",'Brut ajusté'!O88)</f>
        <v/>
      </c>
      <c r="P88" s="33">
        <f>IF('Brut ajusté'!P88="","",'Brut ajusté'!P88)</f>
        <v/>
      </c>
    </row>
    <row r="89">
      <c r="B89" s="32">
        <f>'Brut ajusté'!B89</f>
        <v/>
      </c>
      <c r="C89" s="33">
        <f>IF('Brut ajusté'!C89="","",'Brut ajusté'!C89)</f>
        <v/>
      </c>
      <c r="D89" s="33">
        <f>IF(OR('Brut ajusté'!D89="",$B89&lt;INFR_debut),"",'Brut ajusté'!D89)</f>
        <v/>
      </c>
      <c r="E89" s="33">
        <f>IF('Brut ajusté'!E89="","",'Brut ajusté'!E89)</f>
        <v/>
      </c>
      <c r="F89" s="33">
        <f>IF('Brut ajusté'!F89="","",'Brut ajusté'!F89)</f>
        <v/>
      </c>
      <c r="G89" s="33">
        <f>IF('Brut ajusté'!G89="","",'Brut ajusté'!G89)</f>
        <v/>
      </c>
      <c r="H89" s="33">
        <f>IF('Brut ajusté'!H89="","",'Brut ajusté'!H89)</f>
        <v/>
      </c>
      <c r="I89" s="33">
        <f>IF('Brut ajusté'!I89="","",'Brut ajusté'!I89)</f>
        <v/>
      </c>
      <c r="J89" s="33">
        <f>IF('Brut ajusté'!J89="","",IF($B89&lt;BIP_date,'Brut ajusté'!J89/BIP_facteur,'Brut ajusté'!J89))</f>
        <v/>
      </c>
      <c r="K89" s="33">
        <f>IF('Brut ajusté'!K89="","",'Brut ajusté'!K89)</f>
        <v/>
      </c>
      <c r="L89" s="33">
        <f>IF('Brut ajusté'!L89="","",'Brut ajusté'!L89)</f>
        <v/>
      </c>
      <c r="M89" s="33">
        <f>IF('Brut ajusté'!M89="","",'Brut ajusté'!M89)</f>
        <v/>
      </c>
      <c r="N89" s="33">
        <f>IF('Brut ajusté'!N89="","",'Brut ajusté'!N89)</f>
        <v/>
      </c>
      <c r="O89" s="33">
        <f>IF('Brut ajusté'!O89="","",'Brut ajusté'!O89)</f>
        <v/>
      </c>
      <c r="P89" s="33">
        <f>IF('Brut ajusté'!P89="","",'Brut ajusté'!P89)</f>
        <v/>
      </c>
    </row>
    <row r="90">
      <c r="B90" s="32">
        <f>'Brut ajusté'!B90</f>
        <v/>
      </c>
      <c r="C90" s="33">
        <f>IF('Brut ajusté'!C90="","",'Brut ajusté'!C90)</f>
        <v/>
      </c>
      <c r="D90" s="33">
        <f>IF(OR('Brut ajusté'!D90="",$B90&lt;INFR_debut),"",'Brut ajusté'!D90)</f>
        <v/>
      </c>
      <c r="E90" s="33">
        <f>IF('Brut ajusté'!E90="","",'Brut ajusté'!E90)</f>
        <v/>
      </c>
      <c r="F90" s="33">
        <f>IF('Brut ajusté'!F90="","",'Brut ajusté'!F90)</f>
        <v/>
      </c>
      <c r="G90" s="33">
        <f>IF('Brut ajusté'!G90="","",'Brut ajusté'!G90)</f>
        <v/>
      </c>
      <c r="H90" s="33">
        <f>IF('Brut ajusté'!H90="","",'Brut ajusté'!H90)</f>
        <v/>
      </c>
      <c r="I90" s="33">
        <f>IF('Brut ajusté'!I90="","",'Brut ajusté'!I90)</f>
        <v/>
      </c>
      <c r="J90" s="33">
        <f>IF('Brut ajusté'!J90="","",IF($B90&lt;BIP_date,'Brut ajusté'!J90/BIP_facteur,'Brut ajusté'!J90))</f>
        <v/>
      </c>
      <c r="K90" s="33">
        <f>IF('Brut ajusté'!K90="","",'Brut ajusté'!K90)</f>
        <v/>
      </c>
      <c r="L90" s="33">
        <f>IF('Brut ajusté'!L90="","",'Brut ajusté'!L90)</f>
        <v/>
      </c>
      <c r="M90" s="33">
        <f>IF('Brut ajusté'!M90="","",'Brut ajusté'!M90)</f>
        <v/>
      </c>
      <c r="N90" s="33">
        <f>IF('Brut ajusté'!N90="","",'Brut ajusté'!N90)</f>
        <v/>
      </c>
      <c r="O90" s="33">
        <f>IF('Brut ajusté'!O90="","",'Brut ajusté'!O90)</f>
        <v/>
      </c>
      <c r="P90" s="33">
        <f>IF('Brut ajusté'!P90="","",'Brut ajusté'!P90)</f>
        <v/>
      </c>
    </row>
    <row r="91">
      <c r="B91" s="32">
        <f>'Brut ajusté'!B91</f>
        <v/>
      </c>
      <c r="C91" s="33">
        <f>IF('Brut ajusté'!C91="","",'Brut ajusté'!C91)</f>
        <v/>
      </c>
      <c r="D91" s="33">
        <f>IF(OR('Brut ajusté'!D91="",$B91&lt;INFR_debut),"",'Brut ajusté'!D91)</f>
        <v/>
      </c>
      <c r="E91" s="33">
        <f>IF('Brut ajusté'!E91="","",'Brut ajusté'!E91)</f>
        <v/>
      </c>
      <c r="F91" s="33">
        <f>IF('Brut ajusté'!F91="","",'Brut ajusté'!F91)</f>
        <v/>
      </c>
      <c r="G91" s="33">
        <f>IF('Brut ajusté'!G91="","",'Brut ajusté'!G91)</f>
        <v/>
      </c>
      <c r="H91" s="33">
        <f>IF('Brut ajusté'!H91="","",'Brut ajusté'!H91)</f>
        <v/>
      </c>
      <c r="I91" s="33">
        <f>IF('Brut ajusté'!I91="","",'Brut ajusté'!I91)</f>
        <v/>
      </c>
      <c r="J91" s="33">
        <f>IF('Brut ajusté'!J91="","",IF($B91&lt;BIP_date,'Brut ajusté'!J91/BIP_facteur,'Brut ajusté'!J91))</f>
        <v/>
      </c>
      <c r="K91" s="33">
        <f>IF('Brut ajusté'!K91="","",'Brut ajusté'!K91)</f>
        <v/>
      </c>
      <c r="L91" s="33">
        <f>IF('Brut ajusté'!L91="","",'Brut ajusté'!L91)</f>
        <v/>
      </c>
      <c r="M91" s="33">
        <f>IF('Brut ajusté'!M91="","",'Brut ajusté'!M91)</f>
        <v/>
      </c>
      <c r="N91" s="33">
        <f>IF('Brut ajusté'!N91="","",'Brut ajusté'!N91)</f>
        <v/>
      </c>
      <c r="O91" s="33">
        <f>IF('Brut ajusté'!O91="","",'Brut ajusté'!O91)</f>
        <v/>
      </c>
      <c r="P91" s="33">
        <f>IF('Brut ajusté'!P91="","",'Brut ajusté'!P91)</f>
        <v/>
      </c>
    </row>
    <row r="92">
      <c r="B92" s="32">
        <f>'Brut ajusté'!B92</f>
        <v/>
      </c>
      <c r="C92" s="33">
        <f>IF('Brut ajusté'!C92="","",'Brut ajusté'!C92)</f>
        <v/>
      </c>
      <c r="D92" s="33">
        <f>IF(OR('Brut ajusté'!D92="",$B92&lt;INFR_debut),"",'Brut ajusté'!D92)</f>
        <v/>
      </c>
      <c r="E92" s="33">
        <f>IF('Brut ajusté'!E92="","",'Brut ajusté'!E92)</f>
        <v/>
      </c>
      <c r="F92" s="33">
        <f>IF('Brut ajusté'!F92="","",'Brut ajusté'!F92)</f>
        <v/>
      </c>
      <c r="G92" s="33">
        <f>IF('Brut ajusté'!G92="","",'Brut ajusté'!G92)</f>
        <v/>
      </c>
      <c r="H92" s="33">
        <f>IF('Brut ajusté'!H92="","",'Brut ajusté'!H92)</f>
        <v/>
      </c>
      <c r="I92" s="33">
        <f>IF('Brut ajusté'!I92="","",'Brut ajusté'!I92)</f>
        <v/>
      </c>
      <c r="J92" s="33">
        <f>IF('Brut ajusté'!J92="","",IF($B92&lt;BIP_date,'Brut ajusté'!J92/BIP_facteur,'Brut ajusté'!J92))</f>
        <v/>
      </c>
      <c r="K92" s="33">
        <f>IF('Brut ajusté'!K92="","",'Brut ajusté'!K92)</f>
        <v/>
      </c>
      <c r="L92" s="33">
        <f>IF('Brut ajusté'!L92="","",'Brut ajusté'!L92)</f>
        <v/>
      </c>
      <c r="M92" s="33">
        <f>IF('Brut ajusté'!M92="","",'Brut ajusté'!M92)</f>
        <v/>
      </c>
      <c r="N92" s="33">
        <f>IF('Brut ajusté'!N92="","",'Brut ajusté'!N92)</f>
        <v/>
      </c>
      <c r="O92" s="33">
        <f>IF('Brut ajusté'!O92="","",'Brut ajusté'!O92)</f>
        <v/>
      </c>
      <c r="P92" s="33">
        <f>IF('Brut ajusté'!P92="","",'Brut ajusté'!P92)</f>
        <v/>
      </c>
    </row>
    <row r="93">
      <c r="B93" s="32">
        <f>'Brut ajusté'!B93</f>
        <v/>
      </c>
      <c r="C93" s="33">
        <f>IF('Brut ajusté'!C93="","",'Brut ajusté'!C93)</f>
        <v/>
      </c>
      <c r="D93" s="33">
        <f>IF(OR('Brut ajusté'!D93="",$B93&lt;INFR_debut),"",'Brut ajusté'!D93)</f>
        <v/>
      </c>
      <c r="E93" s="33">
        <f>IF('Brut ajusté'!E93="","",'Brut ajusté'!E93)</f>
        <v/>
      </c>
      <c r="F93" s="33">
        <f>IF('Brut ajusté'!F93="","",'Brut ajusté'!F93)</f>
        <v/>
      </c>
      <c r="G93" s="33">
        <f>IF('Brut ajusté'!G93="","",'Brut ajusté'!G93)</f>
        <v/>
      </c>
      <c r="H93" s="33">
        <f>IF('Brut ajusté'!H93="","",'Brut ajusté'!H93)</f>
        <v/>
      </c>
      <c r="I93" s="33">
        <f>IF('Brut ajusté'!I93="","",'Brut ajusté'!I93)</f>
        <v/>
      </c>
      <c r="J93" s="33">
        <f>IF('Brut ajusté'!J93="","",IF($B93&lt;BIP_date,'Brut ajusté'!J93/BIP_facteur,'Brut ajusté'!J93))</f>
        <v/>
      </c>
      <c r="K93" s="33">
        <f>IF('Brut ajusté'!K93="","",'Brut ajusté'!K93)</f>
        <v/>
      </c>
      <c r="L93" s="33">
        <f>IF('Brut ajusté'!L93="","",'Brut ajusté'!L93)</f>
        <v/>
      </c>
      <c r="M93" s="33">
        <f>IF('Brut ajusté'!M93="","",'Brut ajusté'!M93)</f>
        <v/>
      </c>
      <c r="N93" s="33">
        <f>IF('Brut ajusté'!N93="","",'Brut ajusté'!N93)</f>
        <v/>
      </c>
      <c r="O93" s="33">
        <f>IF('Brut ajusté'!O93="","",'Brut ajusté'!O93)</f>
        <v/>
      </c>
      <c r="P93" s="33">
        <f>IF('Brut ajusté'!P93="","",'Brut ajusté'!P93)</f>
        <v/>
      </c>
    </row>
    <row r="94">
      <c r="B94" s="32">
        <f>'Brut ajusté'!B94</f>
        <v/>
      </c>
      <c r="C94" s="33">
        <f>IF('Brut ajusté'!C94="","",'Brut ajusté'!C94)</f>
        <v/>
      </c>
      <c r="D94" s="33">
        <f>IF(OR('Brut ajusté'!D94="",$B94&lt;INFR_debut),"",'Brut ajusté'!D94)</f>
        <v/>
      </c>
      <c r="E94" s="33">
        <f>IF('Brut ajusté'!E94="","",'Brut ajusté'!E94)</f>
        <v/>
      </c>
      <c r="F94" s="33">
        <f>IF('Brut ajusté'!F94="","",'Brut ajusté'!F94)</f>
        <v/>
      </c>
      <c r="G94" s="33">
        <f>IF('Brut ajusté'!G94="","",'Brut ajusté'!G94)</f>
        <v/>
      </c>
      <c r="H94" s="33">
        <f>IF('Brut ajusté'!H94="","",'Brut ajusté'!H94)</f>
        <v/>
      </c>
      <c r="I94" s="33">
        <f>IF('Brut ajusté'!I94="","",'Brut ajusté'!I94)</f>
        <v/>
      </c>
      <c r="J94" s="33">
        <f>IF('Brut ajusté'!J94="","",IF($B94&lt;BIP_date,'Brut ajusté'!J94/BIP_facteur,'Brut ajusté'!J94))</f>
        <v/>
      </c>
      <c r="K94" s="33">
        <f>IF('Brut ajusté'!K94="","",'Brut ajusté'!K94)</f>
        <v/>
      </c>
      <c r="L94" s="33">
        <f>IF('Brut ajusté'!L94="","",'Brut ajusté'!L94)</f>
        <v/>
      </c>
      <c r="M94" s="33">
        <f>IF('Brut ajusté'!M94="","",'Brut ajusté'!M94)</f>
        <v/>
      </c>
      <c r="N94" s="33">
        <f>IF('Brut ajusté'!N94="","",'Brut ajusté'!N94)</f>
        <v/>
      </c>
      <c r="O94" s="33">
        <f>IF('Brut ajusté'!O94="","",'Brut ajusté'!O94)</f>
        <v/>
      </c>
      <c r="P94" s="33">
        <f>IF('Brut ajusté'!P94="","",'Brut ajusté'!P94)</f>
        <v/>
      </c>
    </row>
    <row r="95">
      <c r="B95" s="32">
        <f>'Brut ajusté'!B95</f>
        <v/>
      </c>
      <c r="C95" s="33">
        <f>IF('Brut ajusté'!C95="","",'Brut ajusté'!C95)</f>
        <v/>
      </c>
      <c r="D95" s="33">
        <f>IF(OR('Brut ajusté'!D95="",$B95&lt;INFR_debut),"",'Brut ajusté'!D95)</f>
        <v/>
      </c>
      <c r="E95" s="33">
        <f>IF('Brut ajusté'!E95="","",'Brut ajusté'!E95)</f>
        <v/>
      </c>
      <c r="F95" s="33">
        <f>IF('Brut ajusté'!F95="","",'Brut ajusté'!F95)</f>
        <v/>
      </c>
      <c r="G95" s="33">
        <f>IF('Brut ajusté'!G95="","",'Brut ajusté'!G95)</f>
        <v/>
      </c>
      <c r="H95" s="33">
        <f>IF('Brut ajusté'!H95="","",'Brut ajusté'!H95)</f>
        <v/>
      </c>
      <c r="I95" s="33">
        <f>IF('Brut ajusté'!I95="","",'Brut ajusté'!I95)</f>
        <v/>
      </c>
      <c r="J95" s="33">
        <f>IF('Brut ajusté'!J95="","",IF($B95&lt;BIP_date,'Brut ajusté'!J95/BIP_facteur,'Brut ajusté'!J95))</f>
        <v/>
      </c>
      <c r="K95" s="33">
        <f>IF('Brut ajusté'!K95="","",'Brut ajusté'!K95)</f>
        <v/>
      </c>
      <c r="L95" s="33">
        <f>IF('Brut ajusté'!L95="","",'Brut ajusté'!L95)</f>
        <v/>
      </c>
      <c r="M95" s="33">
        <f>IF('Brut ajusté'!M95="","",'Brut ajusté'!M95)</f>
        <v/>
      </c>
      <c r="N95" s="33">
        <f>IF('Brut ajusté'!N95="","",'Brut ajusté'!N95)</f>
        <v/>
      </c>
      <c r="O95" s="33">
        <f>IF('Brut ajusté'!O95="","",'Brut ajusté'!O95)</f>
        <v/>
      </c>
      <c r="P95" s="33">
        <f>IF('Brut ajusté'!P95="","",'Brut ajusté'!P95)</f>
        <v/>
      </c>
    </row>
    <row r="96">
      <c r="B96" s="32">
        <f>'Brut ajusté'!B96</f>
        <v/>
      </c>
      <c r="C96" s="33">
        <f>IF('Brut ajusté'!C96="","",'Brut ajusté'!C96)</f>
        <v/>
      </c>
      <c r="D96" s="33">
        <f>IF(OR('Brut ajusté'!D96="",$B96&lt;INFR_debut),"",'Brut ajusté'!D96)</f>
        <v/>
      </c>
      <c r="E96" s="33">
        <f>IF('Brut ajusté'!E96="","",'Brut ajusté'!E96)</f>
        <v/>
      </c>
      <c r="F96" s="33">
        <f>IF('Brut ajusté'!F96="","",'Brut ajusté'!F96)</f>
        <v/>
      </c>
      <c r="G96" s="33">
        <f>IF('Brut ajusté'!G96="","",'Brut ajusté'!G96)</f>
        <v/>
      </c>
      <c r="H96" s="33">
        <f>IF('Brut ajusté'!H96="","",'Brut ajusté'!H96)</f>
        <v/>
      </c>
      <c r="I96" s="33">
        <f>IF('Brut ajusté'!I96="","",'Brut ajusté'!I96)</f>
        <v/>
      </c>
      <c r="J96" s="33">
        <f>IF('Brut ajusté'!J96="","",IF($B96&lt;BIP_date,'Brut ajusté'!J96/BIP_facteur,'Brut ajusté'!J96))</f>
        <v/>
      </c>
      <c r="K96" s="33">
        <f>IF('Brut ajusté'!K96="","",'Brut ajusté'!K96)</f>
        <v/>
      </c>
      <c r="L96" s="33">
        <f>IF('Brut ajusté'!L96="","",'Brut ajusté'!L96)</f>
        <v/>
      </c>
      <c r="M96" s="33">
        <f>IF('Brut ajusté'!M96="","",'Brut ajusté'!M96)</f>
        <v/>
      </c>
      <c r="N96" s="33">
        <f>IF('Brut ajusté'!N96="","",'Brut ajusté'!N96)</f>
        <v/>
      </c>
      <c r="O96" s="33">
        <f>IF('Brut ajusté'!O96="","",'Brut ajusté'!O96)</f>
        <v/>
      </c>
      <c r="P96" s="33">
        <f>IF('Brut ajusté'!P96="","",'Brut ajusté'!P96)</f>
        <v/>
      </c>
    </row>
    <row r="97">
      <c r="B97" s="32">
        <f>'Brut ajusté'!B97</f>
        <v/>
      </c>
      <c r="C97" s="33">
        <f>IF('Brut ajusté'!C97="","",'Brut ajusté'!C97)</f>
        <v/>
      </c>
      <c r="D97" s="33">
        <f>IF(OR('Brut ajusté'!D97="",$B97&lt;INFR_debut),"",'Brut ajusté'!D97)</f>
        <v/>
      </c>
      <c r="E97" s="33">
        <f>IF('Brut ajusté'!E97="","",'Brut ajusté'!E97)</f>
        <v/>
      </c>
      <c r="F97" s="33">
        <f>IF('Brut ajusté'!F97="","",'Brut ajusté'!F97)</f>
        <v/>
      </c>
      <c r="G97" s="33">
        <f>IF('Brut ajusté'!G97="","",'Brut ajusté'!G97)</f>
        <v/>
      </c>
      <c r="H97" s="33">
        <f>IF('Brut ajusté'!H97="","",'Brut ajusté'!H97)</f>
        <v/>
      </c>
      <c r="I97" s="33">
        <f>IF('Brut ajusté'!I97="","",'Brut ajusté'!I97)</f>
        <v/>
      </c>
      <c r="J97" s="33">
        <f>IF('Brut ajusté'!J97="","",IF($B97&lt;BIP_date,'Brut ajusté'!J97/BIP_facteur,'Brut ajusté'!J97))</f>
        <v/>
      </c>
      <c r="K97" s="33">
        <f>IF('Brut ajusté'!K97="","",'Brut ajusté'!K97)</f>
        <v/>
      </c>
      <c r="L97" s="33">
        <f>IF('Brut ajusté'!L97="","",'Brut ajusté'!L97)</f>
        <v/>
      </c>
      <c r="M97" s="33">
        <f>IF('Brut ajusté'!M97="","",'Brut ajusté'!M97)</f>
        <v/>
      </c>
      <c r="N97" s="33">
        <f>IF('Brut ajusté'!N97="","",'Brut ajusté'!N97)</f>
        <v/>
      </c>
      <c r="O97" s="33">
        <f>IF('Brut ajusté'!O97="","",'Brut ajusté'!O97)</f>
        <v/>
      </c>
      <c r="P97" s="33">
        <f>IF('Brut ajusté'!P97="","",'Brut ajusté'!P97)</f>
        <v/>
      </c>
    </row>
    <row r="98">
      <c r="B98" s="32">
        <f>'Brut ajusté'!B98</f>
        <v/>
      </c>
      <c r="C98" s="33">
        <f>IF('Brut ajusté'!C98="","",'Brut ajusté'!C98)</f>
        <v/>
      </c>
      <c r="D98" s="33">
        <f>IF(OR('Brut ajusté'!D98="",$B98&lt;INFR_debut),"",'Brut ajusté'!D98)</f>
        <v/>
      </c>
      <c r="E98" s="33">
        <f>IF('Brut ajusté'!E98="","",'Brut ajusté'!E98)</f>
        <v/>
      </c>
      <c r="F98" s="33">
        <f>IF('Brut ajusté'!F98="","",'Brut ajusté'!F98)</f>
        <v/>
      </c>
      <c r="G98" s="33">
        <f>IF('Brut ajusté'!G98="","",'Brut ajusté'!G98)</f>
        <v/>
      </c>
      <c r="H98" s="33">
        <f>IF('Brut ajusté'!H98="","",'Brut ajusté'!H98)</f>
        <v/>
      </c>
      <c r="I98" s="33">
        <f>IF('Brut ajusté'!I98="","",'Brut ajusté'!I98)</f>
        <v/>
      </c>
      <c r="J98" s="33">
        <f>IF('Brut ajusté'!J98="","",IF($B98&lt;BIP_date,'Brut ajusté'!J98/BIP_facteur,'Brut ajusté'!J98))</f>
        <v/>
      </c>
      <c r="K98" s="33">
        <f>IF('Brut ajusté'!K98="","",'Brut ajusté'!K98)</f>
        <v/>
      </c>
      <c r="L98" s="33">
        <f>IF('Brut ajusté'!L98="","",'Brut ajusté'!L98)</f>
        <v/>
      </c>
      <c r="M98" s="33">
        <f>IF('Brut ajusté'!M98="","",'Brut ajusté'!M98)</f>
        <v/>
      </c>
      <c r="N98" s="33">
        <f>IF('Brut ajusté'!N98="","",'Brut ajusté'!N98)</f>
        <v/>
      </c>
      <c r="O98" s="33">
        <f>IF('Brut ajusté'!O98="","",'Brut ajusté'!O98)</f>
        <v/>
      </c>
      <c r="P98" s="33">
        <f>IF('Brut ajusté'!P98="","",'Brut ajusté'!P98)</f>
        <v/>
      </c>
    </row>
    <row r="99">
      <c r="B99" s="32">
        <f>'Brut ajusté'!B99</f>
        <v/>
      </c>
      <c r="C99" s="33">
        <f>IF('Brut ajusté'!C99="","",'Brut ajusté'!C99)</f>
        <v/>
      </c>
      <c r="D99" s="33">
        <f>IF(OR('Brut ajusté'!D99="",$B99&lt;INFR_debut),"",'Brut ajusté'!D99)</f>
        <v/>
      </c>
      <c r="E99" s="33">
        <f>IF('Brut ajusté'!E99="","",'Brut ajusté'!E99)</f>
        <v/>
      </c>
      <c r="F99" s="33">
        <f>IF('Brut ajusté'!F99="","",'Brut ajusté'!F99)</f>
        <v/>
      </c>
      <c r="G99" s="33">
        <f>IF('Brut ajusté'!G99="","",'Brut ajusté'!G99)</f>
        <v/>
      </c>
      <c r="H99" s="33">
        <f>IF('Brut ajusté'!H99="","",'Brut ajusté'!H99)</f>
        <v/>
      </c>
      <c r="I99" s="33">
        <f>IF('Brut ajusté'!I99="","",'Brut ajusté'!I99)</f>
        <v/>
      </c>
      <c r="J99" s="33">
        <f>IF('Brut ajusté'!J99="","",IF($B99&lt;BIP_date,'Brut ajusté'!J99/BIP_facteur,'Brut ajusté'!J99))</f>
        <v/>
      </c>
      <c r="K99" s="33">
        <f>IF('Brut ajusté'!K99="","",'Brut ajusté'!K99)</f>
        <v/>
      </c>
      <c r="L99" s="33">
        <f>IF('Brut ajusté'!L99="","",'Brut ajusté'!L99)</f>
        <v/>
      </c>
      <c r="M99" s="33">
        <f>IF('Brut ajusté'!M99="","",'Brut ajusté'!M99)</f>
        <v/>
      </c>
      <c r="N99" s="33">
        <f>IF('Brut ajusté'!N99="","",'Brut ajusté'!N99)</f>
        <v/>
      </c>
      <c r="O99" s="33">
        <f>IF('Brut ajusté'!O99="","",'Brut ajusté'!O99)</f>
        <v/>
      </c>
      <c r="P99" s="33">
        <f>IF('Brut ajusté'!P99="","",'Brut ajusté'!P99)</f>
        <v/>
      </c>
    </row>
    <row r="100">
      <c r="B100" s="32">
        <f>'Brut ajusté'!B100</f>
        <v/>
      </c>
      <c r="C100" s="33">
        <f>IF('Brut ajusté'!C100="","",'Brut ajusté'!C100)</f>
        <v/>
      </c>
      <c r="D100" s="33">
        <f>IF(OR('Brut ajusté'!D100="",$B100&lt;INFR_debut),"",'Brut ajusté'!D100)</f>
        <v/>
      </c>
      <c r="E100" s="33">
        <f>IF('Brut ajusté'!E100="","",'Brut ajusté'!E100)</f>
        <v/>
      </c>
      <c r="F100" s="33">
        <f>IF('Brut ajusté'!F100="","",'Brut ajusté'!F100)</f>
        <v/>
      </c>
      <c r="G100" s="33">
        <f>IF('Brut ajusté'!G100="","",'Brut ajusté'!G100)</f>
        <v/>
      </c>
      <c r="H100" s="33">
        <f>IF('Brut ajusté'!H100="","",'Brut ajusté'!H100)</f>
        <v/>
      </c>
      <c r="I100" s="33">
        <f>IF('Brut ajusté'!I100="","",'Brut ajusté'!I100)</f>
        <v/>
      </c>
      <c r="J100" s="33">
        <f>IF('Brut ajusté'!J100="","",IF($B100&lt;BIP_date,'Brut ajusté'!J100/BIP_facteur,'Brut ajusté'!J100))</f>
        <v/>
      </c>
      <c r="K100" s="33">
        <f>IF('Brut ajusté'!K100="","",'Brut ajusté'!K100)</f>
        <v/>
      </c>
      <c r="L100" s="33">
        <f>IF('Brut ajusté'!L100="","",'Brut ajusté'!L100)</f>
        <v/>
      </c>
      <c r="M100" s="33">
        <f>IF('Brut ajusté'!M100="","",'Brut ajusté'!M100)</f>
        <v/>
      </c>
      <c r="N100" s="33">
        <f>IF('Brut ajusté'!N100="","",'Brut ajusté'!N100)</f>
        <v/>
      </c>
      <c r="O100" s="33">
        <f>IF('Brut ajusté'!O100="","",'Brut ajusté'!O100)</f>
        <v/>
      </c>
      <c r="P100" s="33">
        <f>IF('Brut ajusté'!P100="","",'Brut ajusté'!P100)</f>
        <v/>
      </c>
    </row>
    <row r="101">
      <c r="B101" s="32">
        <f>'Brut ajusté'!B101</f>
        <v/>
      </c>
      <c r="C101" s="33">
        <f>IF('Brut ajusté'!C101="","",'Brut ajusté'!C101)</f>
        <v/>
      </c>
      <c r="D101" s="33">
        <f>IF(OR('Brut ajusté'!D101="",$B101&lt;INFR_debut),"",'Brut ajusté'!D101)</f>
        <v/>
      </c>
      <c r="E101" s="33">
        <f>IF('Brut ajusté'!E101="","",'Brut ajusté'!E101)</f>
        <v/>
      </c>
      <c r="F101" s="33">
        <f>IF('Brut ajusté'!F101="","",'Brut ajusté'!F101)</f>
        <v/>
      </c>
      <c r="G101" s="33">
        <f>IF('Brut ajusté'!G101="","",'Brut ajusté'!G101)</f>
        <v/>
      </c>
      <c r="H101" s="33">
        <f>IF('Brut ajusté'!H101="","",'Brut ajusté'!H101)</f>
        <v/>
      </c>
      <c r="I101" s="33">
        <f>IF('Brut ajusté'!I101="","",'Brut ajusté'!I101)</f>
        <v/>
      </c>
      <c r="J101" s="33">
        <f>IF('Brut ajusté'!J101="","",IF($B101&lt;BIP_date,'Brut ajusté'!J101/BIP_facteur,'Brut ajusté'!J101))</f>
        <v/>
      </c>
      <c r="K101" s="33">
        <f>IF('Brut ajusté'!K101="","",'Brut ajusté'!K101)</f>
        <v/>
      </c>
      <c r="L101" s="33">
        <f>IF('Brut ajusté'!L101="","",'Brut ajusté'!L101)</f>
        <v/>
      </c>
      <c r="M101" s="33">
        <f>IF('Brut ajusté'!M101="","",'Brut ajusté'!M101)</f>
        <v/>
      </c>
      <c r="N101" s="33">
        <f>IF('Brut ajusté'!N101="","",'Brut ajusté'!N101)</f>
        <v/>
      </c>
      <c r="O101" s="33">
        <f>IF('Brut ajusté'!O101="","",'Brut ajusté'!O101)</f>
        <v/>
      </c>
      <c r="P101" s="33">
        <f>IF('Brut ajusté'!P101="","",'Brut ajusté'!P101)</f>
        <v/>
      </c>
    </row>
    <row r="102">
      <c r="B102" s="32">
        <f>'Brut ajusté'!B102</f>
        <v/>
      </c>
      <c r="C102" s="33">
        <f>IF('Brut ajusté'!C102="","",'Brut ajusté'!C102)</f>
        <v/>
      </c>
      <c r="D102" s="33">
        <f>IF(OR('Brut ajusté'!D102="",$B102&lt;INFR_debut),"",'Brut ajusté'!D102)</f>
        <v/>
      </c>
      <c r="E102" s="33">
        <f>IF('Brut ajusté'!E102="","",'Brut ajusté'!E102)</f>
        <v/>
      </c>
      <c r="F102" s="33">
        <f>IF('Brut ajusté'!F102="","",'Brut ajusté'!F102)</f>
        <v/>
      </c>
      <c r="G102" s="33">
        <f>IF('Brut ajusté'!G102="","",'Brut ajusté'!G102)</f>
        <v/>
      </c>
      <c r="H102" s="33">
        <f>IF('Brut ajusté'!H102="","",'Brut ajusté'!H102)</f>
        <v/>
      </c>
      <c r="I102" s="33">
        <f>IF('Brut ajusté'!I102="","",'Brut ajusté'!I102)</f>
        <v/>
      </c>
      <c r="J102" s="33">
        <f>IF('Brut ajusté'!J102="","",IF($B102&lt;BIP_date,'Brut ajusté'!J102/BIP_facteur,'Brut ajusté'!J102))</f>
        <v/>
      </c>
      <c r="K102" s="33">
        <f>IF('Brut ajusté'!K102="","",'Brut ajusté'!K102)</f>
        <v/>
      </c>
      <c r="L102" s="33">
        <f>IF('Brut ajusté'!L102="","",'Brut ajusté'!L102)</f>
        <v/>
      </c>
      <c r="M102" s="33">
        <f>IF('Brut ajusté'!M102="","",'Brut ajusté'!M102)</f>
        <v/>
      </c>
      <c r="N102" s="33">
        <f>IF('Brut ajusté'!N102="","",'Brut ajusté'!N102)</f>
        <v/>
      </c>
      <c r="O102" s="33">
        <f>IF('Brut ajusté'!O102="","",'Brut ajusté'!O102)</f>
        <v/>
      </c>
      <c r="P102" s="33">
        <f>IF('Brut ajusté'!P102="","",'Brut ajusté'!P102)</f>
        <v/>
      </c>
    </row>
    <row r="103">
      <c r="B103" s="32">
        <f>'Brut ajusté'!B103</f>
        <v/>
      </c>
      <c r="C103" s="33">
        <f>IF('Brut ajusté'!C103="","",'Brut ajusté'!C103)</f>
        <v/>
      </c>
      <c r="D103" s="33">
        <f>IF(OR('Brut ajusté'!D103="",$B103&lt;INFR_debut),"",'Brut ajusté'!D103)</f>
        <v/>
      </c>
      <c r="E103" s="33">
        <f>IF('Brut ajusté'!E103="","",'Brut ajusté'!E103)</f>
        <v/>
      </c>
      <c r="F103" s="33">
        <f>IF('Brut ajusté'!F103="","",'Brut ajusté'!F103)</f>
        <v/>
      </c>
      <c r="G103" s="33">
        <f>IF('Brut ajusté'!G103="","",'Brut ajusté'!G103)</f>
        <v/>
      </c>
      <c r="H103" s="33">
        <f>IF('Brut ajusté'!H103="","",'Brut ajusté'!H103)</f>
        <v/>
      </c>
      <c r="I103" s="33">
        <f>IF('Brut ajusté'!I103="","",'Brut ajusté'!I103)</f>
        <v/>
      </c>
      <c r="J103" s="33">
        <f>IF('Brut ajusté'!J103="","",IF($B103&lt;BIP_date,'Brut ajusté'!J103/BIP_facteur,'Brut ajusté'!J103))</f>
        <v/>
      </c>
      <c r="K103" s="33">
        <f>IF('Brut ajusté'!K103="","",'Brut ajusté'!K103)</f>
        <v/>
      </c>
      <c r="L103" s="33">
        <f>IF('Brut ajusté'!L103="","",'Brut ajusté'!L103)</f>
        <v/>
      </c>
      <c r="M103" s="33">
        <f>IF('Brut ajusté'!M103="","",'Brut ajusté'!M103)</f>
        <v/>
      </c>
      <c r="N103" s="33">
        <f>IF('Brut ajusté'!N103="","",'Brut ajusté'!N103)</f>
        <v/>
      </c>
      <c r="O103" s="33">
        <f>IF('Brut ajusté'!O103="","",'Brut ajusté'!O103)</f>
        <v/>
      </c>
      <c r="P103" s="33">
        <f>IF('Brut ajusté'!P103="","",'Brut ajusté'!P103)</f>
        <v/>
      </c>
    </row>
    <row r="104">
      <c r="B104" s="32">
        <f>'Brut ajusté'!B104</f>
        <v/>
      </c>
      <c r="C104" s="33">
        <f>IF('Brut ajusté'!C104="","",'Brut ajusté'!C104)</f>
        <v/>
      </c>
      <c r="D104" s="33">
        <f>IF(OR('Brut ajusté'!D104="",$B104&lt;INFR_debut),"",'Brut ajusté'!D104)</f>
        <v/>
      </c>
      <c r="E104" s="33">
        <f>IF('Brut ajusté'!E104="","",'Brut ajusté'!E104)</f>
        <v/>
      </c>
      <c r="F104" s="33">
        <f>IF('Brut ajusté'!F104="","",'Brut ajusté'!F104)</f>
        <v/>
      </c>
      <c r="G104" s="33">
        <f>IF('Brut ajusté'!G104="","",'Brut ajusté'!G104)</f>
        <v/>
      </c>
      <c r="H104" s="33">
        <f>IF('Brut ajusté'!H104="","",'Brut ajusté'!H104)</f>
        <v/>
      </c>
      <c r="I104" s="33">
        <f>IF('Brut ajusté'!I104="","",'Brut ajusté'!I104)</f>
        <v/>
      </c>
      <c r="J104" s="33">
        <f>IF('Brut ajusté'!J104="","",IF($B104&lt;BIP_date,'Brut ajusté'!J104/BIP_facteur,'Brut ajusté'!J104))</f>
        <v/>
      </c>
      <c r="K104" s="33">
        <f>IF('Brut ajusté'!K104="","",'Brut ajusté'!K104)</f>
        <v/>
      </c>
      <c r="L104" s="33">
        <f>IF('Brut ajusté'!L104="","",'Brut ajusté'!L104)</f>
        <v/>
      </c>
      <c r="M104" s="33">
        <f>IF('Brut ajusté'!M104="","",'Brut ajusté'!M104)</f>
        <v/>
      </c>
      <c r="N104" s="33">
        <f>IF('Brut ajusté'!N104="","",'Brut ajusté'!N104)</f>
        <v/>
      </c>
      <c r="O104" s="33">
        <f>IF('Brut ajusté'!O104="","",'Brut ajusté'!O104)</f>
        <v/>
      </c>
      <c r="P104" s="33">
        <f>IF('Brut ajusté'!P104="","",'Brut ajusté'!P104)</f>
        <v/>
      </c>
    </row>
    <row r="105">
      <c r="B105" s="32">
        <f>'Brut ajusté'!B105</f>
        <v/>
      </c>
      <c r="C105" s="33">
        <f>IF('Brut ajusté'!C105="","",'Brut ajusté'!C105)</f>
        <v/>
      </c>
      <c r="D105" s="33">
        <f>IF(OR('Brut ajusté'!D105="",$B105&lt;INFR_debut),"",'Brut ajusté'!D105)</f>
        <v/>
      </c>
      <c r="E105" s="33">
        <f>IF('Brut ajusté'!E105="","",'Brut ajusté'!E105)</f>
        <v/>
      </c>
      <c r="F105" s="33">
        <f>IF('Brut ajusté'!F105="","",'Brut ajusté'!F105)</f>
        <v/>
      </c>
      <c r="G105" s="33">
        <f>IF('Brut ajusté'!G105="","",'Brut ajusté'!G105)</f>
        <v/>
      </c>
      <c r="H105" s="33">
        <f>IF('Brut ajusté'!H105="","",'Brut ajusté'!H105)</f>
        <v/>
      </c>
      <c r="I105" s="33">
        <f>IF('Brut ajusté'!I105="","",'Brut ajusté'!I105)</f>
        <v/>
      </c>
      <c r="J105" s="33">
        <f>IF('Brut ajusté'!J105="","",IF($B105&lt;BIP_date,'Brut ajusté'!J105/BIP_facteur,'Brut ajusté'!J105))</f>
        <v/>
      </c>
      <c r="K105" s="33">
        <f>IF('Brut ajusté'!K105="","",'Brut ajusté'!K105)</f>
        <v/>
      </c>
      <c r="L105" s="33">
        <f>IF('Brut ajusté'!L105="","",'Brut ajusté'!L105)</f>
        <v/>
      </c>
      <c r="M105" s="33">
        <f>IF('Brut ajusté'!M105="","",'Brut ajusté'!M105)</f>
        <v/>
      </c>
      <c r="N105" s="33">
        <f>IF('Brut ajusté'!N105="","",'Brut ajusté'!N105)</f>
        <v/>
      </c>
      <c r="O105" s="33">
        <f>IF('Brut ajusté'!O105="","",'Brut ajusté'!O105)</f>
        <v/>
      </c>
      <c r="P105" s="33">
        <f>IF('Brut ajusté'!P105="","",'Brut ajusté'!P105)</f>
        <v/>
      </c>
    </row>
    <row r="106">
      <c r="B106" s="32">
        <f>'Brut ajusté'!B106</f>
        <v/>
      </c>
      <c r="C106" s="33">
        <f>IF('Brut ajusté'!C106="","",'Brut ajusté'!C106)</f>
        <v/>
      </c>
      <c r="D106" s="33">
        <f>IF(OR('Brut ajusté'!D106="",$B106&lt;INFR_debut),"",'Brut ajusté'!D106)</f>
        <v/>
      </c>
      <c r="E106" s="33">
        <f>IF('Brut ajusté'!E106="","",'Brut ajusté'!E106)</f>
        <v/>
      </c>
      <c r="F106" s="33">
        <f>IF('Brut ajusté'!F106="","",'Brut ajusté'!F106)</f>
        <v/>
      </c>
      <c r="G106" s="33">
        <f>IF('Brut ajusté'!G106="","",'Brut ajusté'!G106)</f>
        <v/>
      </c>
      <c r="H106" s="33">
        <f>IF('Brut ajusté'!H106="","",'Brut ajusté'!H106)</f>
        <v/>
      </c>
      <c r="I106" s="33">
        <f>IF('Brut ajusté'!I106="","",'Brut ajusté'!I106)</f>
        <v/>
      </c>
      <c r="J106" s="33">
        <f>IF('Brut ajusté'!J106="","",IF($B106&lt;BIP_date,'Brut ajusté'!J106/BIP_facteur,'Brut ajusté'!J106))</f>
        <v/>
      </c>
      <c r="K106" s="33">
        <f>IF('Brut ajusté'!K106="","",'Brut ajusté'!K106)</f>
        <v/>
      </c>
      <c r="L106" s="33">
        <f>IF('Brut ajusté'!L106="","",'Brut ajusté'!L106)</f>
        <v/>
      </c>
      <c r="M106" s="33">
        <f>IF('Brut ajusté'!M106="","",'Brut ajusté'!M106)</f>
        <v/>
      </c>
      <c r="N106" s="33">
        <f>IF('Brut ajusté'!N106="","",'Brut ajusté'!N106)</f>
        <v/>
      </c>
      <c r="O106" s="33">
        <f>IF('Brut ajusté'!O106="","",'Brut ajusté'!O106)</f>
        <v/>
      </c>
      <c r="P106" s="33">
        <f>IF('Brut ajusté'!P106="","",'Brut ajusté'!P106)</f>
        <v/>
      </c>
    </row>
    <row r="107">
      <c r="B107" s="32">
        <f>'Brut ajusté'!B107</f>
        <v/>
      </c>
      <c r="C107" s="33">
        <f>IF('Brut ajusté'!C107="","",'Brut ajusté'!C107)</f>
        <v/>
      </c>
      <c r="D107" s="33">
        <f>IF(OR('Brut ajusté'!D107="",$B107&lt;INFR_debut),"",'Brut ajusté'!D107)</f>
        <v/>
      </c>
      <c r="E107" s="33">
        <f>IF('Brut ajusté'!E107="","",'Brut ajusté'!E107)</f>
        <v/>
      </c>
      <c r="F107" s="33">
        <f>IF('Brut ajusté'!F107="","",'Brut ajusté'!F107)</f>
        <v/>
      </c>
      <c r="G107" s="33">
        <f>IF('Brut ajusté'!G107="","",'Brut ajusté'!G107)</f>
        <v/>
      </c>
      <c r="H107" s="33">
        <f>IF('Brut ajusté'!H107="","",'Brut ajusté'!H107)</f>
        <v/>
      </c>
      <c r="I107" s="33">
        <f>IF('Brut ajusté'!I107="","",'Brut ajusté'!I107)</f>
        <v/>
      </c>
      <c r="J107" s="33">
        <f>IF('Brut ajusté'!J107="","",IF($B107&lt;BIP_date,'Brut ajusté'!J107/BIP_facteur,'Brut ajusté'!J107))</f>
        <v/>
      </c>
      <c r="K107" s="33">
        <f>IF('Brut ajusté'!K107="","",'Brut ajusté'!K107)</f>
        <v/>
      </c>
      <c r="L107" s="33">
        <f>IF('Brut ajusté'!L107="","",'Brut ajusté'!L107)</f>
        <v/>
      </c>
      <c r="M107" s="33">
        <f>IF('Brut ajusté'!M107="","",'Brut ajusté'!M107)</f>
        <v/>
      </c>
      <c r="N107" s="33">
        <f>IF('Brut ajusté'!N107="","",'Brut ajusté'!N107)</f>
        <v/>
      </c>
      <c r="O107" s="33">
        <f>IF('Brut ajusté'!O107="","",'Brut ajusté'!O107)</f>
        <v/>
      </c>
      <c r="P107" s="33">
        <f>IF('Brut ajusté'!P107="","",'Brut ajusté'!P107)</f>
        <v/>
      </c>
    </row>
    <row r="108">
      <c r="B108" s="32">
        <f>'Brut ajusté'!B108</f>
        <v/>
      </c>
      <c r="C108" s="33">
        <f>IF('Brut ajusté'!C108="","",'Brut ajusté'!C108)</f>
        <v/>
      </c>
      <c r="D108" s="33">
        <f>IF(OR('Brut ajusté'!D108="",$B108&lt;INFR_debut),"",'Brut ajusté'!D108)</f>
        <v/>
      </c>
      <c r="E108" s="33">
        <f>IF('Brut ajusté'!E108="","",'Brut ajusté'!E108)</f>
        <v/>
      </c>
      <c r="F108" s="33">
        <f>IF('Brut ajusté'!F108="","",'Brut ajusté'!F108)</f>
        <v/>
      </c>
      <c r="G108" s="33">
        <f>IF('Brut ajusté'!G108="","",'Brut ajusté'!G108)</f>
        <v/>
      </c>
      <c r="H108" s="33">
        <f>IF('Brut ajusté'!H108="","",'Brut ajusté'!H108)</f>
        <v/>
      </c>
      <c r="I108" s="33">
        <f>IF('Brut ajusté'!I108="","",'Brut ajusté'!I108)</f>
        <v/>
      </c>
      <c r="J108" s="33">
        <f>IF('Brut ajusté'!J108="","",IF($B108&lt;BIP_date,'Brut ajusté'!J108/BIP_facteur,'Brut ajusté'!J108))</f>
        <v/>
      </c>
      <c r="K108" s="33">
        <f>IF('Brut ajusté'!K108="","",'Brut ajusté'!K108)</f>
        <v/>
      </c>
      <c r="L108" s="33">
        <f>IF('Brut ajusté'!L108="","",'Brut ajusté'!L108)</f>
        <v/>
      </c>
      <c r="M108" s="33">
        <f>IF('Brut ajusté'!M108="","",'Brut ajusté'!M108)</f>
        <v/>
      </c>
      <c r="N108" s="33">
        <f>IF('Brut ajusté'!N108="","",'Brut ajusté'!N108)</f>
        <v/>
      </c>
      <c r="O108" s="33">
        <f>IF('Brut ajusté'!O108="","",'Brut ajusté'!O108)</f>
        <v/>
      </c>
      <c r="P108" s="33">
        <f>IF('Brut ajusté'!P108="","",'Brut ajusté'!P108)</f>
        <v/>
      </c>
    </row>
    <row r="109">
      <c r="B109" s="32">
        <f>'Brut ajusté'!B109</f>
        <v/>
      </c>
      <c r="C109" s="33">
        <f>IF('Brut ajusté'!C109="","",'Brut ajusté'!C109)</f>
        <v/>
      </c>
      <c r="D109" s="33">
        <f>IF(OR('Brut ajusté'!D109="",$B109&lt;INFR_debut),"",'Brut ajusté'!D109)</f>
        <v/>
      </c>
      <c r="E109" s="33">
        <f>IF('Brut ajusté'!E109="","",'Brut ajusté'!E109)</f>
        <v/>
      </c>
      <c r="F109" s="33">
        <f>IF('Brut ajusté'!F109="","",'Brut ajusté'!F109)</f>
        <v/>
      </c>
      <c r="G109" s="33">
        <f>IF('Brut ajusté'!G109="","",'Brut ajusté'!G109)</f>
        <v/>
      </c>
      <c r="H109" s="33">
        <f>IF('Brut ajusté'!H109="","",'Brut ajusté'!H109)</f>
        <v/>
      </c>
      <c r="I109" s="33">
        <f>IF('Brut ajusté'!I109="","",'Brut ajusté'!I109)</f>
        <v/>
      </c>
      <c r="J109" s="33">
        <f>IF('Brut ajusté'!J109="","",IF($B109&lt;BIP_date,'Brut ajusté'!J109/BIP_facteur,'Brut ajusté'!J109))</f>
        <v/>
      </c>
      <c r="K109" s="33">
        <f>IF('Brut ajusté'!K109="","",'Brut ajusté'!K109)</f>
        <v/>
      </c>
      <c r="L109" s="33">
        <f>IF('Brut ajusté'!L109="","",'Brut ajusté'!L109)</f>
        <v/>
      </c>
      <c r="M109" s="33">
        <f>IF('Brut ajusté'!M109="","",'Brut ajusté'!M109)</f>
        <v/>
      </c>
      <c r="N109" s="33">
        <f>IF('Brut ajusté'!N109="","",'Brut ajusté'!N109)</f>
        <v/>
      </c>
      <c r="O109" s="33">
        <f>IF('Brut ajusté'!O109="","",'Brut ajusté'!O109)</f>
        <v/>
      </c>
      <c r="P109" s="33">
        <f>IF('Brut ajusté'!P109="","",'Brut ajusté'!P109)</f>
        <v/>
      </c>
    </row>
    <row r="110">
      <c r="B110" s="32">
        <f>'Brut ajusté'!B110</f>
        <v/>
      </c>
      <c r="C110" s="33">
        <f>IF('Brut ajusté'!C110="","",'Brut ajusté'!C110)</f>
        <v/>
      </c>
      <c r="D110" s="33">
        <f>IF(OR('Brut ajusté'!D110="",$B110&lt;INFR_debut),"",'Brut ajusté'!D110)</f>
        <v/>
      </c>
      <c r="E110" s="33">
        <f>IF('Brut ajusté'!E110="","",'Brut ajusté'!E110)</f>
        <v/>
      </c>
      <c r="F110" s="33">
        <f>IF('Brut ajusté'!F110="","",'Brut ajusté'!F110)</f>
        <v/>
      </c>
      <c r="G110" s="33">
        <f>IF('Brut ajusté'!G110="","",'Brut ajusté'!G110)</f>
        <v/>
      </c>
      <c r="H110" s="33">
        <f>IF('Brut ajusté'!H110="","",'Brut ajusté'!H110)</f>
        <v/>
      </c>
      <c r="I110" s="33">
        <f>IF('Brut ajusté'!I110="","",'Brut ajusté'!I110)</f>
        <v/>
      </c>
      <c r="J110" s="33">
        <f>IF('Brut ajusté'!J110="","",IF($B110&lt;BIP_date,'Brut ajusté'!J110/BIP_facteur,'Brut ajusté'!J110))</f>
        <v/>
      </c>
      <c r="K110" s="33">
        <f>IF('Brut ajusté'!K110="","",'Brut ajusté'!K110)</f>
        <v/>
      </c>
      <c r="L110" s="33">
        <f>IF('Brut ajusté'!L110="","",'Brut ajusté'!L110)</f>
        <v/>
      </c>
      <c r="M110" s="33">
        <f>IF('Brut ajusté'!M110="","",'Brut ajusté'!M110)</f>
        <v/>
      </c>
      <c r="N110" s="33">
        <f>IF('Brut ajusté'!N110="","",'Brut ajusté'!N110)</f>
        <v/>
      </c>
      <c r="O110" s="33">
        <f>IF('Brut ajusté'!O110="","",'Brut ajusté'!O110)</f>
        <v/>
      </c>
      <c r="P110" s="33">
        <f>IF('Brut ajusté'!P110="","",'Brut ajusté'!P110)</f>
        <v/>
      </c>
    </row>
    <row r="111">
      <c r="B111" s="32">
        <f>'Brut ajusté'!B111</f>
        <v/>
      </c>
      <c r="C111" s="33">
        <f>IF('Brut ajusté'!C111="","",'Brut ajusté'!C111)</f>
        <v/>
      </c>
      <c r="D111" s="33">
        <f>IF(OR('Brut ajusté'!D111="",$B111&lt;INFR_debut),"",'Brut ajusté'!D111)</f>
        <v/>
      </c>
      <c r="E111" s="33">
        <f>IF('Brut ajusté'!E111="","",'Brut ajusté'!E111)</f>
        <v/>
      </c>
      <c r="F111" s="33">
        <f>IF('Brut ajusté'!F111="","",'Brut ajusté'!F111)</f>
        <v/>
      </c>
      <c r="G111" s="33">
        <f>IF('Brut ajusté'!G111="","",'Brut ajusté'!G111)</f>
        <v/>
      </c>
      <c r="H111" s="33">
        <f>IF('Brut ajusté'!H111="","",'Brut ajusté'!H111)</f>
        <v/>
      </c>
      <c r="I111" s="33">
        <f>IF('Brut ajusté'!I111="","",'Brut ajusté'!I111)</f>
        <v/>
      </c>
      <c r="J111" s="33">
        <f>IF('Brut ajusté'!J111="","",IF($B111&lt;BIP_date,'Brut ajusté'!J111/BIP_facteur,'Brut ajusté'!J111))</f>
        <v/>
      </c>
      <c r="K111" s="33">
        <f>IF('Brut ajusté'!K111="","",'Brut ajusté'!K111)</f>
        <v/>
      </c>
      <c r="L111" s="33">
        <f>IF('Brut ajusté'!L111="","",'Brut ajusté'!L111)</f>
        <v/>
      </c>
      <c r="M111" s="33">
        <f>IF('Brut ajusté'!M111="","",'Brut ajusté'!M111)</f>
        <v/>
      </c>
      <c r="N111" s="33">
        <f>IF('Brut ajusté'!N111="","",'Brut ajusté'!N111)</f>
        <v/>
      </c>
      <c r="O111" s="33">
        <f>IF('Brut ajusté'!O111="","",'Brut ajusté'!O111)</f>
        <v/>
      </c>
      <c r="P111" s="33">
        <f>IF('Brut ajusté'!P111="","",'Brut ajusté'!P111)</f>
        <v/>
      </c>
    </row>
    <row r="112">
      <c r="B112" s="32">
        <f>'Brut ajusté'!B112</f>
        <v/>
      </c>
      <c r="C112" s="33">
        <f>IF('Brut ajusté'!C112="","",'Brut ajusté'!C112)</f>
        <v/>
      </c>
      <c r="D112" s="33">
        <f>IF(OR('Brut ajusté'!D112="",$B112&lt;INFR_debut),"",'Brut ajusté'!D112)</f>
        <v/>
      </c>
      <c r="E112" s="33">
        <f>IF('Brut ajusté'!E112="","",'Brut ajusté'!E112)</f>
        <v/>
      </c>
      <c r="F112" s="33">
        <f>IF('Brut ajusté'!F112="","",'Brut ajusté'!F112)</f>
        <v/>
      </c>
      <c r="G112" s="33">
        <f>IF('Brut ajusté'!G112="","",'Brut ajusté'!G112)</f>
        <v/>
      </c>
      <c r="H112" s="33">
        <f>IF('Brut ajusté'!H112="","",'Brut ajusté'!H112)</f>
        <v/>
      </c>
      <c r="I112" s="33">
        <f>IF('Brut ajusté'!I112="","",'Brut ajusté'!I112)</f>
        <v/>
      </c>
      <c r="J112" s="33">
        <f>IF('Brut ajusté'!J112="","",IF($B112&lt;BIP_date,'Brut ajusté'!J112/BIP_facteur,'Brut ajusté'!J112))</f>
        <v/>
      </c>
      <c r="K112" s="33">
        <f>IF('Brut ajusté'!K112="","",'Brut ajusté'!K112)</f>
        <v/>
      </c>
      <c r="L112" s="33">
        <f>IF('Brut ajusté'!L112="","",'Brut ajusté'!L112)</f>
        <v/>
      </c>
      <c r="M112" s="33">
        <f>IF('Brut ajusté'!M112="","",'Brut ajusté'!M112)</f>
        <v/>
      </c>
      <c r="N112" s="33">
        <f>IF('Brut ajusté'!N112="","",'Brut ajusté'!N112)</f>
        <v/>
      </c>
      <c r="O112" s="33">
        <f>IF('Brut ajusté'!O112="","",'Brut ajusté'!O112)</f>
        <v/>
      </c>
      <c r="P112" s="33">
        <f>IF('Brut ajusté'!P112="","",'Brut ajusté'!P112)</f>
        <v/>
      </c>
    </row>
    <row r="113">
      <c r="B113" s="32">
        <f>'Brut ajusté'!B113</f>
        <v/>
      </c>
      <c r="C113" s="33">
        <f>IF('Brut ajusté'!C113="","",'Brut ajusté'!C113)</f>
        <v/>
      </c>
      <c r="D113" s="33">
        <f>IF(OR('Brut ajusté'!D113="",$B113&lt;INFR_debut),"",'Brut ajusté'!D113)</f>
        <v/>
      </c>
      <c r="E113" s="33">
        <f>IF('Brut ajusté'!E113="","",'Brut ajusté'!E113)</f>
        <v/>
      </c>
      <c r="F113" s="33">
        <f>IF('Brut ajusté'!F113="","",'Brut ajusté'!F113)</f>
        <v/>
      </c>
      <c r="G113" s="33">
        <f>IF('Brut ajusté'!G113="","",'Brut ajusté'!G113)</f>
        <v/>
      </c>
      <c r="H113" s="33">
        <f>IF('Brut ajusté'!H113="","",'Brut ajusté'!H113)</f>
        <v/>
      </c>
      <c r="I113" s="33">
        <f>IF('Brut ajusté'!I113="","",'Brut ajusté'!I113)</f>
        <v/>
      </c>
      <c r="J113" s="33">
        <f>IF('Brut ajusté'!J113="","",IF($B113&lt;BIP_date,'Brut ajusté'!J113/BIP_facteur,'Brut ajusté'!J113))</f>
        <v/>
      </c>
      <c r="K113" s="33">
        <f>IF('Brut ajusté'!K113="","",'Brut ajusté'!K113)</f>
        <v/>
      </c>
      <c r="L113" s="33">
        <f>IF('Brut ajusté'!L113="","",'Brut ajusté'!L113)</f>
        <v/>
      </c>
      <c r="M113" s="33">
        <f>IF('Brut ajusté'!M113="","",'Brut ajusté'!M113)</f>
        <v/>
      </c>
      <c r="N113" s="33">
        <f>IF('Brut ajusté'!N113="","",'Brut ajusté'!N113)</f>
        <v/>
      </c>
      <c r="O113" s="33">
        <f>IF('Brut ajusté'!O113="","",'Brut ajusté'!O113)</f>
        <v/>
      </c>
      <c r="P113" s="33">
        <f>IF('Brut ajusté'!P113="","",'Brut ajusté'!P113)</f>
        <v/>
      </c>
    </row>
    <row r="114">
      <c r="B114" s="32">
        <f>'Brut ajusté'!B114</f>
        <v/>
      </c>
      <c r="C114" s="33">
        <f>IF('Brut ajusté'!C114="","",'Brut ajusté'!C114)</f>
        <v/>
      </c>
      <c r="D114" s="33">
        <f>IF(OR('Brut ajusté'!D114="",$B114&lt;INFR_debut),"",'Brut ajusté'!D114)</f>
        <v/>
      </c>
      <c r="E114" s="33">
        <f>IF('Brut ajusté'!E114="","",'Brut ajusté'!E114)</f>
        <v/>
      </c>
      <c r="F114" s="33">
        <f>IF('Brut ajusté'!F114="","",'Brut ajusté'!F114)</f>
        <v/>
      </c>
      <c r="G114" s="33">
        <f>IF('Brut ajusté'!G114="","",'Brut ajusté'!G114)</f>
        <v/>
      </c>
      <c r="H114" s="33">
        <f>IF('Brut ajusté'!H114="","",'Brut ajusté'!H114)</f>
        <v/>
      </c>
      <c r="I114" s="33">
        <f>IF('Brut ajusté'!I114="","",'Brut ajusté'!I114)</f>
        <v/>
      </c>
      <c r="J114" s="33">
        <f>IF('Brut ajusté'!J114="","",IF($B114&lt;BIP_date,'Brut ajusté'!J114/BIP_facteur,'Brut ajusté'!J114))</f>
        <v/>
      </c>
      <c r="K114" s="33">
        <f>IF('Brut ajusté'!K114="","",'Brut ajusté'!K114)</f>
        <v/>
      </c>
      <c r="L114" s="33">
        <f>IF('Brut ajusté'!L114="","",'Brut ajusté'!L114)</f>
        <v/>
      </c>
      <c r="M114" s="33">
        <f>IF('Brut ajusté'!M114="","",'Brut ajusté'!M114)</f>
        <v/>
      </c>
      <c r="N114" s="33">
        <f>IF('Brut ajusté'!N114="","",'Brut ajusté'!N114)</f>
        <v/>
      </c>
      <c r="O114" s="33">
        <f>IF('Brut ajusté'!O114="","",'Brut ajusté'!O114)</f>
        <v/>
      </c>
      <c r="P114" s="33">
        <f>IF('Brut ajusté'!P114="","",'Brut ajusté'!P114)</f>
        <v/>
      </c>
    </row>
    <row r="115">
      <c r="B115" s="32">
        <f>'Brut ajusté'!B115</f>
        <v/>
      </c>
      <c r="C115" s="33">
        <f>IF('Brut ajusté'!C115="","",'Brut ajusté'!C115)</f>
        <v/>
      </c>
      <c r="D115" s="33">
        <f>IF(OR('Brut ajusté'!D115="",$B115&lt;INFR_debut),"",'Brut ajusté'!D115)</f>
        <v/>
      </c>
      <c r="E115" s="33">
        <f>IF('Brut ajusté'!E115="","",'Brut ajusté'!E115)</f>
        <v/>
      </c>
      <c r="F115" s="33">
        <f>IF('Brut ajusté'!F115="","",'Brut ajusté'!F115)</f>
        <v/>
      </c>
      <c r="G115" s="33">
        <f>IF('Brut ajusté'!G115="","",'Brut ajusté'!G115)</f>
        <v/>
      </c>
      <c r="H115" s="33">
        <f>IF('Brut ajusté'!H115="","",'Brut ajusté'!H115)</f>
        <v/>
      </c>
      <c r="I115" s="33">
        <f>IF('Brut ajusté'!I115="","",'Brut ajusté'!I115)</f>
        <v/>
      </c>
      <c r="J115" s="33">
        <f>IF('Brut ajusté'!J115="","",IF($B115&lt;BIP_date,'Brut ajusté'!J115/BIP_facteur,'Brut ajusté'!J115))</f>
        <v/>
      </c>
      <c r="K115" s="33">
        <f>IF('Brut ajusté'!K115="","",'Brut ajusté'!K115)</f>
        <v/>
      </c>
      <c r="L115" s="33">
        <f>IF('Brut ajusté'!L115="","",'Brut ajusté'!L115)</f>
        <v/>
      </c>
      <c r="M115" s="33">
        <f>IF('Brut ajusté'!M115="","",'Brut ajusté'!M115)</f>
        <v/>
      </c>
      <c r="N115" s="33">
        <f>IF('Brut ajusté'!N115="","",'Brut ajusté'!N115)</f>
        <v/>
      </c>
      <c r="O115" s="33">
        <f>IF('Brut ajusté'!O115="","",'Brut ajusté'!O115)</f>
        <v/>
      </c>
      <c r="P115" s="33">
        <f>IF('Brut ajusté'!P115="","",'Brut ajusté'!P115)</f>
        <v/>
      </c>
    </row>
    <row r="116">
      <c r="B116" s="32">
        <f>'Brut ajusté'!B116</f>
        <v/>
      </c>
      <c r="C116" s="33">
        <f>IF('Brut ajusté'!C116="","",'Brut ajusté'!C116)</f>
        <v/>
      </c>
      <c r="D116" s="33">
        <f>IF(OR('Brut ajusté'!D116="",$B116&lt;INFR_debut),"",'Brut ajusté'!D116)</f>
        <v/>
      </c>
      <c r="E116" s="33">
        <f>IF('Brut ajusté'!E116="","",'Brut ajusté'!E116)</f>
        <v/>
      </c>
      <c r="F116" s="33">
        <f>IF('Brut ajusté'!F116="","",'Brut ajusté'!F116)</f>
        <v/>
      </c>
      <c r="G116" s="33">
        <f>IF('Brut ajusté'!G116="","",'Brut ajusté'!G116)</f>
        <v/>
      </c>
      <c r="H116" s="33">
        <f>IF('Brut ajusté'!H116="","",'Brut ajusté'!H116)</f>
        <v/>
      </c>
      <c r="I116" s="33">
        <f>IF('Brut ajusté'!I116="","",'Brut ajusté'!I116)</f>
        <v/>
      </c>
      <c r="J116" s="33">
        <f>IF('Brut ajusté'!J116="","",IF($B116&lt;BIP_date,'Brut ajusté'!J116/BIP_facteur,'Brut ajusté'!J116))</f>
        <v/>
      </c>
      <c r="K116" s="33">
        <f>IF('Brut ajusté'!K116="","",'Brut ajusté'!K116)</f>
        <v/>
      </c>
      <c r="L116" s="33">
        <f>IF('Brut ajusté'!L116="","",'Brut ajusté'!L116)</f>
        <v/>
      </c>
      <c r="M116" s="33">
        <f>IF('Brut ajusté'!M116="","",'Brut ajusté'!M116)</f>
        <v/>
      </c>
      <c r="N116" s="33">
        <f>IF('Brut ajusté'!N116="","",'Brut ajusté'!N116)</f>
        <v/>
      </c>
      <c r="O116" s="33">
        <f>IF('Brut ajusté'!O116="","",'Brut ajusté'!O116)</f>
        <v/>
      </c>
      <c r="P116" s="33">
        <f>IF('Brut ajusté'!P116="","",'Brut ajusté'!P116)</f>
        <v/>
      </c>
    </row>
    <row r="117">
      <c r="B117" s="32">
        <f>'Brut ajusté'!B117</f>
        <v/>
      </c>
      <c r="C117" s="33">
        <f>IF('Brut ajusté'!C117="","",'Brut ajusté'!C117)</f>
        <v/>
      </c>
      <c r="D117" s="33">
        <f>IF(OR('Brut ajusté'!D117="",$B117&lt;INFR_debut),"",'Brut ajusté'!D117)</f>
        <v/>
      </c>
      <c r="E117" s="33">
        <f>IF('Brut ajusté'!E117="","",'Brut ajusté'!E117)</f>
        <v/>
      </c>
      <c r="F117" s="33">
        <f>IF('Brut ajusté'!F117="","",'Brut ajusté'!F117)</f>
        <v/>
      </c>
      <c r="G117" s="33">
        <f>IF('Brut ajusté'!G117="","",'Brut ajusté'!G117)</f>
        <v/>
      </c>
      <c r="H117" s="33">
        <f>IF('Brut ajusté'!H117="","",'Brut ajusté'!H117)</f>
        <v/>
      </c>
      <c r="I117" s="33">
        <f>IF('Brut ajusté'!I117="","",'Brut ajusté'!I117)</f>
        <v/>
      </c>
      <c r="J117" s="33">
        <f>IF('Brut ajusté'!J117="","",IF($B117&lt;BIP_date,'Brut ajusté'!J117/BIP_facteur,'Brut ajusté'!J117))</f>
        <v/>
      </c>
      <c r="K117" s="33">
        <f>IF('Brut ajusté'!K117="","",'Brut ajusté'!K117)</f>
        <v/>
      </c>
      <c r="L117" s="33">
        <f>IF('Brut ajusté'!L117="","",'Brut ajusté'!L117)</f>
        <v/>
      </c>
      <c r="M117" s="33">
        <f>IF('Brut ajusté'!M117="","",'Brut ajusté'!M117)</f>
        <v/>
      </c>
      <c r="N117" s="33">
        <f>IF('Brut ajusté'!N117="","",'Brut ajusté'!N117)</f>
        <v/>
      </c>
      <c r="O117" s="33">
        <f>IF('Brut ajusté'!O117="","",'Brut ajusté'!O117)</f>
        <v/>
      </c>
      <c r="P117" s="33">
        <f>IF('Brut ajusté'!P117="","",'Brut ajusté'!P117)</f>
        <v/>
      </c>
    </row>
    <row r="118">
      <c r="B118" s="32">
        <f>'Brut ajusté'!B118</f>
        <v/>
      </c>
      <c r="C118" s="33">
        <f>IF('Brut ajusté'!C118="","",'Brut ajusté'!C118)</f>
        <v/>
      </c>
      <c r="D118" s="33">
        <f>IF(OR('Brut ajusté'!D118="",$B118&lt;INFR_debut),"",'Brut ajusté'!D118)</f>
        <v/>
      </c>
      <c r="E118" s="33">
        <f>IF('Brut ajusté'!E118="","",'Brut ajusté'!E118)</f>
        <v/>
      </c>
      <c r="F118" s="33">
        <f>IF('Brut ajusté'!F118="","",'Brut ajusté'!F118)</f>
        <v/>
      </c>
      <c r="G118" s="33">
        <f>IF('Brut ajusté'!G118="","",'Brut ajusté'!G118)</f>
        <v/>
      </c>
      <c r="H118" s="33">
        <f>IF('Brut ajusté'!H118="","",'Brut ajusté'!H118)</f>
        <v/>
      </c>
      <c r="I118" s="33">
        <f>IF('Brut ajusté'!I118="","",'Brut ajusté'!I118)</f>
        <v/>
      </c>
      <c r="J118" s="33">
        <f>IF('Brut ajusté'!J118="","",IF($B118&lt;BIP_date,'Brut ajusté'!J118/BIP_facteur,'Brut ajusté'!J118))</f>
        <v/>
      </c>
      <c r="K118" s="33">
        <f>IF('Brut ajusté'!K118="","",'Brut ajusté'!K118)</f>
        <v/>
      </c>
      <c r="L118" s="33">
        <f>IF('Brut ajusté'!L118="","",'Brut ajusté'!L118)</f>
        <v/>
      </c>
      <c r="M118" s="33">
        <f>IF('Brut ajusté'!M118="","",'Brut ajusté'!M118)</f>
        <v/>
      </c>
      <c r="N118" s="33">
        <f>IF('Brut ajusté'!N118="","",'Brut ajusté'!N118)</f>
        <v/>
      </c>
      <c r="O118" s="33">
        <f>IF('Brut ajusté'!O118="","",'Brut ajusté'!O118)</f>
        <v/>
      </c>
      <c r="P118" s="33">
        <f>IF('Brut ajusté'!P118="","",'Brut ajusté'!P118)</f>
        <v/>
      </c>
    </row>
    <row r="119">
      <c r="B119" s="32">
        <f>'Brut ajusté'!B119</f>
        <v/>
      </c>
      <c r="C119" s="33">
        <f>IF('Brut ajusté'!C119="","",'Brut ajusté'!C119)</f>
        <v/>
      </c>
      <c r="D119" s="33">
        <f>IF(OR('Brut ajusté'!D119="",$B119&lt;INFR_debut),"",'Brut ajusté'!D119)</f>
        <v/>
      </c>
      <c r="E119" s="33">
        <f>IF('Brut ajusté'!E119="","",'Brut ajusté'!E119)</f>
        <v/>
      </c>
      <c r="F119" s="33">
        <f>IF('Brut ajusté'!F119="","",'Brut ajusté'!F119)</f>
        <v/>
      </c>
      <c r="G119" s="33">
        <f>IF('Brut ajusté'!G119="","",'Brut ajusté'!G119)</f>
        <v/>
      </c>
      <c r="H119" s="33">
        <f>IF('Brut ajusté'!H119="","",'Brut ajusté'!H119)</f>
        <v/>
      </c>
      <c r="I119" s="33">
        <f>IF('Brut ajusté'!I119="","",'Brut ajusté'!I119)</f>
        <v/>
      </c>
      <c r="J119" s="33">
        <f>IF('Brut ajusté'!J119="","",IF($B119&lt;BIP_date,'Brut ajusté'!J119/BIP_facteur,'Brut ajusté'!J119))</f>
        <v/>
      </c>
      <c r="K119" s="33">
        <f>IF('Brut ajusté'!K119="","",'Brut ajusté'!K119)</f>
        <v/>
      </c>
      <c r="L119" s="33">
        <f>IF('Brut ajusté'!L119="","",'Brut ajusté'!L119)</f>
        <v/>
      </c>
      <c r="M119" s="33">
        <f>IF('Brut ajusté'!M119="","",'Brut ajusté'!M119)</f>
        <v/>
      </c>
      <c r="N119" s="33">
        <f>IF('Brut ajusté'!N119="","",'Brut ajusté'!N119)</f>
        <v/>
      </c>
      <c r="O119" s="33">
        <f>IF('Brut ajusté'!O119="","",'Brut ajusté'!O119)</f>
        <v/>
      </c>
      <c r="P119" s="33">
        <f>IF('Brut ajusté'!P119="","",'Brut ajusté'!P119)</f>
        <v/>
      </c>
    </row>
    <row r="120">
      <c r="B120" s="32">
        <f>'Brut ajusté'!B120</f>
        <v/>
      </c>
      <c r="C120" s="33">
        <f>IF('Brut ajusté'!C120="","",'Brut ajusté'!C120)</f>
        <v/>
      </c>
      <c r="D120" s="33">
        <f>IF(OR('Brut ajusté'!D120="",$B120&lt;INFR_debut),"",'Brut ajusté'!D120)</f>
        <v/>
      </c>
      <c r="E120" s="33">
        <f>IF('Brut ajusté'!E120="","",'Brut ajusté'!E120)</f>
        <v/>
      </c>
      <c r="F120" s="33">
        <f>IF('Brut ajusté'!F120="","",'Brut ajusté'!F120)</f>
        <v/>
      </c>
      <c r="G120" s="33">
        <f>IF('Brut ajusté'!G120="","",'Brut ajusté'!G120)</f>
        <v/>
      </c>
      <c r="H120" s="33">
        <f>IF('Brut ajusté'!H120="","",'Brut ajusté'!H120)</f>
        <v/>
      </c>
      <c r="I120" s="33">
        <f>IF('Brut ajusté'!I120="","",'Brut ajusté'!I120)</f>
        <v/>
      </c>
      <c r="J120" s="33">
        <f>IF('Brut ajusté'!J120="","",IF($B120&lt;BIP_date,'Brut ajusté'!J120/BIP_facteur,'Brut ajusté'!J120))</f>
        <v/>
      </c>
      <c r="K120" s="33">
        <f>IF('Brut ajusté'!K120="","",'Brut ajusté'!K120)</f>
        <v/>
      </c>
      <c r="L120" s="33">
        <f>IF('Brut ajusté'!L120="","",'Brut ajusté'!L120)</f>
        <v/>
      </c>
      <c r="M120" s="33">
        <f>IF('Brut ajusté'!M120="","",'Brut ajusté'!M120)</f>
        <v/>
      </c>
      <c r="N120" s="33">
        <f>IF('Brut ajusté'!N120="","",'Brut ajusté'!N120)</f>
        <v/>
      </c>
      <c r="O120" s="33">
        <f>IF('Brut ajusté'!O120="","",'Brut ajusté'!O120)</f>
        <v/>
      </c>
      <c r="P120" s="33">
        <f>IF('Brut ajusté'!P120="","",'Brut ajusté'!P120)</f>
        <v/>
      </c>
    </row>
    <row r="121">
      <c r="B121" s="32">
        <f>'Brut ajusté'!B121</f>
        <v/>
      </c>
      <c r="C121" s="33">
        <f>IF('Brut ajusté'!C121="","",'Brut ajusté'!C121)</f>
        <v/>
      </c>
      <c r="D121" s="33">
        <f>IF(OR('Brut ajusté'!D121="",$B121&lt;INFR_debut),"",'Brut ajusté'!D121)</f>
        <v/>
      </c>
      <c r="E121" s="33">
        <f>IF('Brut ajusté'!E121="","",'Brut ajusté'!E121)</f>
        <v/>
      </c>
      <c r="F121" s="33">
        <f>IF('Brut ajusté'!F121="","",'Brut ajusté'!F121)</f>
        <v/>
      </c>
      <c r="G121" s="33">
        <f>IF('Brut ajusté'!G121="","",'Brut ajusté'!G121)</f>
        <v/>
      </c>
      <c r="H121" s="33">
        <f>IF('Brut ajusté'!H121="","",'Brut ajusté'!H121)</f>
        <v/>
      </c>
      <c r="I121" s="33">
        <f>IF('Brut ajusté'!I121="","",'Brut ajusté'!I121)</f>
        <v/>
      </c>
      <c r="J121" s="33">
        <f>IF('Brut ajusté'!J121="","",IF($B121&lt;BIP_date,'Brut ajusté'!J121/BIP_facteur,'Brut ajusté'!J121))</f>
        <v/>
      </c>
      <c r="K121" s="33">
        <f>IF('Brut ajusté'!K121="","",'Brut ajusté'!K121)</f>
        <v/>
      </c>
      <c r="L121" s="33">
        <f>IF('Brut ajusté'!L121="","",'Brut ajusté'!L121)</f>
        <v/>
      </c>
      <c r="M121" s="33">
        <f>IF('Brut ajusté'!M121="","",'Brut ajusté'!M121)</f>
        <v/>
      </c>
      <c r="N121" s="33">
        <f>IF('Brut ajusté'!N121="","",'Brut ajusté'!N121)</f>
        <v/>
      </c>
      <c r="O121" s="33">
        <f>IF('Brut ajusté'!O121="","",'Brut ajusté'!O121)</f>
        <v/>
      </c>
      <c r="P121" s="33">
        <f>IF('Brut ajusté'!P121="","",'Brut ajusté'!P121)</f>
        <v/>
      </c>
    </row>
    <row r="122">
      <c r="B122" s="32">
        <f>'Brut ajusté'!B122</f>
        <v/>
      </c>
      <c r="C122" s="33">
        <f>IF('Brut ajusté'!C122="","",'Brut ajusté'!C122)</f>
        <v/>
      </c>
      <c r="D122" s="33">
        <f>IF(OR('Brut ajusté'!D122="",$B122&lt;INFR_debut),"",'Brut ajusté'!D122)</f>
        <v/>
      </c>
      <c r="E122" s="33">
        <f>IF('Brut ajusté'!E122="","",'Brut ajusté'!E122)</f>
        <v/>
      </c>
      <c r="F122" s="33">
        <f>IF('Brut ajusté'!F122="","",'Brut ajusté'!F122)</f>
        <v/>
      </c>
      <c r="G122" s="33">
        <f>IF('Brut ajusté'!G122="","",'Brut ajusté'!G122)</f>
        <v/>
      </c>
      <c r="H122" s="33">
        <f>IF('Brut ajusté'!H122="","",'Brut ajusté'!H122)</f>
        <v/>
      </c>
      <c r="I122" s="33">
        <f>IF('Brut ajusté'!I122="","",'Brut ajusté'!I122)</f>
        <v/>
      </c>
      <c r="J122" s="33">
        <f>IF('Brut ajusté'!J122="","",IF($B122&lt;BIP_date,'Brut ajusté'!J122/BIP_facteur,'Brut ajusté'!J122))</f>
        <v/>
      </c>
      <c r="K122" s="33">
        <f>IF('Brut ajusté'!K122="","",'Brut ajusté'!K122)</f>
        <v/>
      </c>
      <c r="L122" s="33">
        <f>IF('Brut ajusté'!L122="","",'Brut ajusté'!L122)</f>
        <v/>
      </c>
      <c r="M122" s="33">
        <f>IF('Brut ajusté'!M122="","",'Brut ajusté'!M122)</f>
        <v/>
      </c>
      <c r="N122" s="33">
        <f>IF('Brut ajusté'!N122="","",'Brut ajusté'!N122)</f>
        <v/>
      </c>
      <c r="O122" s="33">
        <f>IF('Brut ajusté'!O122="","",'Brut ajusté'!O122)</f>
        <v/>
      </c>
      <c r="P122" s="33">
        <f>IF('Brut ajusté'!P122="","",'Brut ajusté'!P122)</f>
        <v/>
      </c>
    </row>
    <row r="123">
      <c r="B123" s="32">
        <f>'Brut ajusté'!B123</f>
        <v/>
      </c>
      <c r="C123" s="33">
        <f>IF('Brut ajusté'!C123="","",'Brut ajusté'!C123)</f>
        <v/>
      </c>
      <c r="D123" s="33">
        <f>IF(OR('Brut ajusté'!D123="",$B123&lt;INFR_debut),"",'Brut ajusté'!D123)</f>
        <v/>
      </c>
      <c r="E123" s="33">
        <f>IF('Brut ajusté'!E123="","",'Brut ajusté'!E123)</f>
        <v/>
      </c>
      <c r="F123" s="33">
        <f>IF('Brut ajusté'!F123="","",'Brut ajusté'!F123)</f>
        <v/>
      </c>
      <c r="G123" s="33">
        <f>IF('Brut ajusté'!G123="","",'Brut ajusté'!G123)</f>
        <v/>
      </c>
      <c r="H123" s="33">
        <f>IF('Brut ajusté'!H123="","",'Brut ajusté'!H123)</f>
        <v/>
      </c>
      <c r="I123" s="33">
        <f>IF('Brut ajusté'!I123="","",'Brut ajusté'!I123)</f>
        <v/>
      </c>
      <c r="J123" s="33">
        <f>IF('Brut ajusté'!J123="","",IF($B123&lt;BIP_date,'Brut ajusté'!J123/BIP_facteur,'Brut ajusté'!J123))</f>
        <v/>
      </c>
      <c r="K123" s="33">
        <f>IF('Brut ajusté'!K123="","",'Brut ajusté'!K123)</f>
        <v/>
      </c>
      <c r="L123" s="33">
        <f>IF('Brut ajusté'!L123="","",'Brut ajusté'!L123)</f>
        <v/>
      </c>
      <c r="M123" s="33">
        <f>IF('Brut ajusté'!M123="","",'Brut ajusté'!M123)</f>
        <v/>
      </c>
      <c r="N123" s="33">
        <f>IF('Brut ajusté'!N123="","",'Brut ajusté'!N123)</f>
        <v/>
      </c>
      <c r="O123" s="33">
        <f>IF('Brut ajusté'!O123="","",'Brut ajusté'!O123)</f>
        <v/>
      </c>
      <c r="P123" s="33">
        <f>IF('Brut ajusté'!P123="","",'Brut ajusté'!P123)</f>
        <v/>
      </c>
    </row>
    <row r="124">
      <c r="B124" s="32">
        <f>'Brut ajusté'!B124</f>
        <v/>
      </c>
      <c r="C124" s="33">
        <f>IF('Brut ajusté'!C124="","",'Brut ajusté'!C124)</f>
        <v/>
      </c>
      <c r="D124" s="33">
        <f>IF(OR('Brut ajusté'!D124="",$B124&lt;INFR_debut),"",'Brut ajusté'!D124)</f>
        <v/>
      </c>
      <c r="E124" s="33">
        <f>IF('Brut ajusté'!E124="","",'Brut ajusté'!E124)</f>
        <v/>
      </c>
      <c r="F124" s="33">
        <f>IF('Brut ajusté'!F124="","",'Brut ajusté'!F124)</f>
        <v/>
      </c>
      <c r="G124" s="33">
        <f>IF('Brut ajusté'!G124="","",'Brut ajusté'!G124)</f>
        <v/>
      </c>
      <c r="H124" s="33">
        <f>IF('Brut ajusté'!H124="","",'Brut ajusté'!H124)</f>
        <v/>
      </c>
      <c r="I124" s="33">
        <f>IF('Brut ajusté'!I124="","",'Brut ajusté'!I124)</f>
        <v/>
      </c>
      <c r="J124" s="33">
        <f>IF('Brut ajusté'!J124="","",IF($B124&lt;BIP_date,'Brut ajusté'!J124/BIP_facteur,'Brut ajusté'!J124))</f>
        <v/>
      </c>
      <c r="K124" s="33">
        <f>IF('Brut ajusté'!K124="","",'Brut ajusté'!K124)</f>
        <v/>
      </c>
      <c r="L124" s="33">
        <f>IF('Brut ajusté'!L124="","",'Brut ajusté'!L124)</f>
        <v/>
      </c>
      <c r="M124" s="33">
        <f>IF('Brut ajusté'!M124="","",'Brut ajusté'!M124)</f>
        <v/>
      </c>
      <c r="N124" s="33">
        <f>IF('Brut ajusté'!N124="","",'Brut ajusté'!N124)</f>
        <v/>
      </c>
      <c r="O124" s="33">
        <f>IF('Brut ajusté'!O124="","",'Brut ajusté'!O124)</f>
        <v/>
      </c>
      <c r="P124" s="33">
        <f>IF('Brut ajusté'!P124="","",'Brut ajusté'!P124)</f>
        <v/>
      </c>
    </row>
    <row r="125">
      <c r="B125" s="32">
        <f>'Brut ajusté'!B125</f>
        <v/>
      </c>
      <c r="C125" s="33">
        <f>IF('Brut ajusté'!C125="","",'Brut ajusté'!C125)</f>
        <v/>
      </c>
      <c r="D125" s="33">
        <f>IF(OR('Brut ajusté'!D125="",$B125&lt;INFR_debut),"",'Brut ajusté'!D125)</f>
        <v/>
      </c>
      <c r="E125" s="33">
        <f>IF('Brut ajusté'!E125="","",'Brut ajusté'!E125)</f>
        <v/>
      </c>
      <c r="F125" s="33">
        <f>IF('Brut ajusté'!F125="","",'Brut ajusté'!F125)</f>
        <v/>
      </c>
      <c r="G125" s="33">
        <f>IF('Brut ajusté'!G125="","",'Brut ajusté'!G125)</f>
        <v/>
      </c>
      <c r="H125" s="33">
        <f>IF('Brut ajusté'!H125="","",'Brut ajusté'!H125)</f>
        <v/>
      </c>
      <c r="I125" s="33">
        <f>IF('Brut ajusté'!I125="","",'Brut ajusté'!I125)</f>
        <v/>
      </c>
      <c r="J125" s="33">
        <f>IF('Brut ajusté'!J125="","",IF($B125&lt;BIP_date,'Brut ajusté'!J125/BIP_facteur,'Brut ajusté'!J125))</f>
        <v/>
      </c>
      <c r="K125" s="33">
        <f>IF('Brut ajusté'!K125="","",'Brut ajusté'!K125)</f>
        <v/>
      </c>
      <c r="L125" s="33">
        <f>IF('Brut ajusté'!L125="","",'Brut ajusté'!L125)</f>
        <v/>
      </c>
      <c r="M125" s="33">
        <f>IF('Brut ajusté'!M125="","",'Brut ajusté'!M125)</f>
        <v/>
      </c>
      <c r="N125" s="33">
        <f>IF('Brut ajusté'!N125="","",'Brut ajusté'!N125)</f>
        <v/>
      </c>
      <c r="O125" s="33">
        <f>IF('Brut ajusté'!O125="","",'Brut ajusté'!O125)</f>
        <v/>
      </c>
      <c r="P125" s="33">
        <f>IF('Brut ajusté'!P125="","",'Brut ajusté'!P125)</f>
        <v/>
      </c>
    </row>
    <row r="126">
      <c r="B126" s="32">
        <f>'Brut ajusté'!B126</f>
        <v/>
      </c>
      <c r="C126" s="33">
        <f>IF('Brut ajusté'!C126="","",'Brut ajusté'!C126)</f>
        <v/>
      </c>
      <c r="D126" s="33">
        <f>IF(OR('Brut ajusté'!D126="",$B126&lt;INFR_debut),"",'Brut ajusté'!D126)</f>
        <v/>
      </c>
      <c r="E126" s="33">
        <f>IF('Brut ajusté'!E126="","",'Brut ajusté'!E126)</f>
        <v/>
      </c>
      <c r="F126" s="33">
        <f>IF('Brut ajusté'!F126="","",'Brut ajusté'!F126)</f>
        <v/>
      </c>
      <c r="G126" s="33">
        <f>IF('Brut ajusté'!G126="","",'Brut ajusté'!G126)</f>
        <v/>
      </c>
      <c r="H126" s="33">
        <f>IF('Brut ajusté'!H126="","",'Brut ajusté'!H126)</f>
        <v/>
      </c>
      <c r="I126" s="33">
        <f>IF('Brut ajusté'!I126="","",'Brut ajusté'!I126)</f>
        <v/>
      </c>
      <c r="J126" s="33">
        <f>IF('Brut ajusté'!J126="","",IF($B126&lt;BIP_date,'Brut ajusté'!J126/BIP_facteur,'Brut ajusté'!J126))</f>
        <v/>
      </c>
      <c r="K126" s="33">
        <f>IF('Brut ajusté'!K126="","",'Brut ajusté'!K126)</f>
        <v/>
      </c>
      <c r="L126" s="33">
        <f>IF('Brut ajusté'!L126="","",'Brut ajusté'!L126)</f>
        <v/>
      </c>
      <c r="M126" s="33">
        <f>IF('Brut ajusté'!M126="","",'Brut ajusté'!M126)</f>
        <v/>
      </c>
      <c r="N126" s="33">
        <f>IF('Brut ajusté'!N126="","",'Brut ajusté'!N126)</f>
        <v/>
      </c>
      <c r="O126" s="33">
        <f>IF('Brut ajusté'!O126="","",'Brut ajusté'!O126)</f>
        <v/>
      </c>
      <c r="P126" s="33">
        <f>IF('Brut ajusté'!P126="","",'Brut ajusté'!P126)</f>
        <v/>
      </c>
    </row>
    <row r="127">
      <c r="B127" s="32">
        <f>'Brut ajusté'!B127</f>
        <v/>
      </c>
      <c r="C127" s="33">
        <f>IF('Brut ajusté'!C127="","",'Brut ajusté'!C127)</f>
        <v/>
      </c>
      <c r="D127" s="33">
        <f>IF(OR('Brut ajusté'!D127="",$B127&lt;INFR_debut),"",'Brut ajusté'!D127)</f>
        <v/>
      </c>
      <c r="E127" s="33">
        <f>IF('Brut ajusté'!E127="","",'Brut ajusté'!E127)</f>
        <v/>
      </c>
      <c r="F127" s="33">
        <f>IF('Brut ajusté'!F127="","",'Brut ajusté'!F127)</f>
        <v/>
      </c>
      <c r="G127" s="33">
        <f>IF('Brut ajusté'!G127="","",'Brut ajusté'!G127)</f>
        <v/>
      </c>
      <c r="H127" s="33">
        <f>IF('Brut ajusté'!H127="","",'Brut ajusté'!H127)</f>
        <v/>
      </c>
      <c r="I127" s="33">
        <f>IF('Brut ajusté'!I127="","",'Brut ajusté'!I127)</f>
        <v/>
      </c>
      <c r="J127" s="33">
        <f>IF('Brut ajusté'!J127="","",IF($B127&lt;BIP_date,'Brut ajusté'!J127/BIP_facteur,'Brut ajusté'!J127))</f>
        <v/>
      </c>
      <c r="K127" s="33">
        <f>IF('Brut ajusté'!K127="","",'Brut ajusté'!K127)</f>
        <v/>
      </c>
      <c r="L127" s="33">
        <f>IF('Brut ajusté'!L127="","",'Brut ajusté'!L127)</f>
        <v/>
      </c>
      <c r="M127" s="33">
        <f>IF('Brut ajusté'!M127="","",'Brut ajusté'!M127)</f>
        <v/>
      </c>
      <c r="N127" s="33">
        <f>IF('Brut ajusté'!N127="","",'Brut ajusté'!N127)</f>
        <v/>
      </c>
      <c r="O127" s="33">
        <f>IF('Brut ajusté'!O127="","",'Brut ajusté'!O127)</f>
        <v/>
      </c>
      <c r="P127" s="33">
        <f>IF('Brut ajusté'!P127="","",'Brut ajusté'!P127)</f>
        <v/>
      </c>
    </row>
    <row r="128">
      <c r="B128" s="32">
        <f>'Brut ajusté'!B128</f>
        <v/>
      </c>
      <c r="C128" s="33">
        <f>IF('Brut ajusté'!C128="","",'Brut ajusté'!C128)</f>
        <v/>
      </c>
      <c r="D128" s="33">
        <f>IF(OR('Brut ajusté'!D128="",$B128&lt;INFR_debut),"",'Brut ajusté'!D128)</f>
        <v/>
      </c>
      <c r="E128" s="33">
        <f>IF('Brut ajusté'!E128="","",'Brut ajusté'!E128)</f>
        <v/>
      </c>
      <c r="F128" s="33">
        <f>IF('Brut ajusté'!F128="","",'Brut ajusté'!F128)</f>
        <v/>
      </c>
      <c r="G128" s="33">
        <f>IF('Brut ajusté'!G128="","",'Brut ajusté'!G128)</f>
        <v/>
      </c>
      <c r="H128" s="33">
        <f>IF('Brut ajusté'!H128="","",'Brut ajusté'!H128)</f>
        <v/>
      </c>
      <c r="I128" s="33">
        <f>IF('Brut ajusté'!I128="","",'Brut ajusté'!I128)</f>
        <v/>
      </c>
      <c r="J128" s="33">
        <f>IF('Brut ajusté'!J128="","",IF($B128&lt;BIP_date,'Brut ajusté'!J128/BIP_facteur,'Brut ajusté'!J128))</f>
        <v/>
      </c>
      <c r="K128" s="33">
        <f>IF('Brut ajusté'!K128="","",'Brut ajusté'!K128)</f>
        <v/>
      </c>
      <c r="L128" s="33">
        <f>IF('Brut ajusté'!L128="","",'Brut ajusté'!L128)</f>
        <v/>
      </c>
      <c r="M128" s="33">
        <f>IF('Brut ajusté'!M128="","",'Brut ajusté'!M128)</f>
        <v/>
      </c>
      <c r="N128" s="33">
        <f>IF('Brut ajusté'!N128="","",'Brut ajusté'!N128)</f>
        <v/>
      </c>
      <c r="O128" s="33">
        <f>IF('Brut ajusté'!O128="","",'Brut ajusté'!O128)</f>
        <v/>
      </c>
      <c r="P128" s="33">
        <f>IF('Brut ajusté'!P128="","",'Brut ajusté'!P128)</f>
        <v/>
      </c>
    </row>
    <row r="129">
      <c r="B129" s="32">
        <f>'Brut ajusté'!B129</f>
        <v/>
      </c>
      <c r="C129" s="33">
        <f>IF('Brut ajusté'!C129="","",'Brut ajusté'!C129)</f>
        <v/>
      </c>
      <c r="D129" s="33">
        <f>IF(OR('Brut ajusté'!D129="",$B129&lt;INFR_debut),"",'Brut ajusté'!D129)</f>
        <v/>
      </c>
      <c r="E129" s="33">
        <f>IF('Brut ajusté'!E129="","",'Brut ajusté'!E129)</f>
        <v/>
      </c>
      <c r="F129" s="33">
        <f>IF('Brut ajusté'!F129="","",'Brut ajusté'!F129)</f>
        <v/>
      </c>
      <c r="G129" s="33">
        <f>IF('Brut ajusté'!G129="","",'Brut ajusté'!G129)</f>
        <v/>
      </c>
      <c r="H129" s="33">
        <f>IF('Brut ajusté'!H129="","",'Brut ajusté'!H129)</f>
        <v/>
      </c>
      <c r="I129" s="33">
        <f>IF('Brut ajusté'!I129="","",'Brut ajusté'!I129)</f>
        <v/>
      </c>
      <c r="J129" s="33">
        <f>IF('Brut ajusté'!J129="","",IF($B129&lt;BIP_date,'Brut ajusté'!J129/BIP_facteur,'Brut ajusté'!J129))</f>
        <v/>
      </c>
      <c r="K129" s="33">
        <f>IF('Brut ajusté'!K129="","",'Brut ajusté'!K129)</f>
        <v/>
      </c>
      <c r="L129" s="33">
        <f>IF('Brut ajusté'!L129="","",'Brut ajusté'!L129)</f>
        <v/>
      </c>
      <c r="M129" s="33">
        <f>IF('Brut ajusté'!M129="","",'Brut ajusté'!M129)</f>
        <v/>
      </c>
      <c r="N129" s="33">
        <f>IF('Brut ajusté'!N129="","",'Brut ajusté'!N129)</f>
        <v/>
      </c>
      <c r="O129" s="33">
        <f>IF('Brut ajusté'!O129="","",'Brut ajusté'!O129)</f>
        <v/>
      </c>
      <c r="P129" s="33">
        <f>IF('Brut ajusté'!P129="","",'Brut ajusté'!P129)</f>
        <v/>
      </c>
    </row>
    <row r="130">
      <c r="B130" s="32">
        <f>'Brut ajusté'!B130</f>
        <v/>
      </c>
      <c r="C130" s="33">
        <f>IF('Brut ajusté'!C130="","",'Brut ajusté'!C130)</f>
        <v/>
      </c>
      <c r="D130" s="33">
        <f>IF(OR('Brut ajusté'!D130="",$B130&lt;INFR_debut),"",'Brut ajusté'!D130)</f>
        <v/>
      </c>
      <c r="E130" s="33">
        <f>IF('Brut ajusté'!E130="","",'Brut ajusté'!E130)</f>
        <v/>
      </c>
      <c r="F130" s="33">
        <f>IF('Brut ajusté'!F130="","",'Brut ajusté'!F130)</f>
        <v/>
      </c>
      <c r="G130" s="33">
        <f>IF('Brut ajusté'!G130="","",'Brut ajusté'!G130)</f>
        <v/>
      </c>
      <c r="H130" s="33">
        <f>IF('Brut ajusté'!H130="","",'Brut ajusté'!H130)</f>
        <v/>
      </c>
      <c r="I130" s="33">
        <f>IF('Brut ajusté'!I130="","",'Brut ajusté'!I130)</f>
        <v/>
      </c>
      <c r="J130" s="33">
        <f>IF('Brut ajusté'!J130="","",IF($B130&lt;BIP_date,'Brut ajusté'!J130/BIP_facteur,'Brut ajusté'!J130))</f>
        <v/>
      </c>
      <c r="K130" s="33">
        <f>IF('Brut ajusté'!K130="","",'Brut ajusté'!K130)</f>
        <v/>
      </c>
      <c r="L130" s="33">
        <f>IF('Brut ajusté'!L130="","",'Brut ajusté'!L130)</f>
        <v/>
      </c>
      <c r="M130" s="33">
        <f>IF('Brut ajusté'!M130="","",'Brut ajusté'!M130)</f>
        <v/>
      </c>
      <c r="N130" s="33">
        <f>IF('Brut ajusté'!N130="","",'Brut ajusté'!N130)</f>
        <v/>
      </c>
      <c r="O130" s="33">
        <f>IF('Brut ajusté'!O130="","",'Brut ajusté'!O130)</f>
        <v/>
      </c>
      <c r="P130" s="33">
        <f>IF('Brut ajusté'!P130="","",'Brut ajusté'!P130)</f>
        <v/>
      </c>
    </row>
    <row r="131">
      <c r="B131" s="32">
        <f>'Brut ajusté'!B131</f>
        <v/>
      </c>
      <c r="C131" s="33">
        <f>IF('Brut ajusté'!C131="","",'Brut ajusté'!C131)</f>
        <v/>
      </c>
      <c r="D131" s="33">
        <f>IF(OR('Brut ajusté'!D131="",$B131&lt;INFR_debut),"",'Brut ajusté'!D131)</f>
        <v/>
      </c>
      <c r="E131" s="33">
        <f>IF('Brut ajusté'!E131="","",'Brut ajusté'!E131)</f>
        <v/>
      </c>
      <c r="F131" s="33">
        <f>IF('Brut ajusté'!F131="","",'Brut ajusté'!F131)</f>
        <v/>
      </c>
      <c r="G131" s="33">
        <f>IF('Brut ajusté'!G131="","",'Brut ajusté'!G131)</f>
        <v/>
      </c>
      <c r="H131" s="33">
        <f>IF('Brut ajusté'!H131="","",'Brut ajusté'!H131)</f>
        <v/>
      </c>
      <c r="I131" s="33">
        <f>IF('Brut ajusté'!I131="","",'Brut ajusté'!I131)</f>
        <v/>
      </c>
      <c r="J131" s="33">
        <f>IF('Brut ajusté'!J131="","",IF($B131&lt;BIP_date,'Brut ajusté'!J131/BIP_facteur,'Brut ajusté'!J131))</f>
        <v/>
      </c>
      <c r="K131" s="33">
        <f>IF('Brut ajusté'!K131="","",'Brut ajusté'!K131)</f>
        <v/>
      </c>
      <c r="L131" s="33">
        <f>IF('Brut ajusté'!L131="","",'Brut ajusté'!L131)</f>
        <v/>
      </c>
      <c r="M131" s="33">
        <f>IF('Brut ajusté'!M131="","",'Brut ajusté'!M131)</f>
        <v/>
      </c>
      <c r="N131" s="33">
        <f>IF('Brut ajusté'!N131="","",'Brut ajusté'!N131)</f>
        <v/>
      </c>
      <c r="O131" s="33">
        <f>IF('Brut ajusté'!O131="","",'Brut ajusté'!O131)</f>
        <v/>
      </c>
      <c r="P131" s="33">
        <f>IF('Brut ajusté'!P131="","",'Brut ajusté'!P131)</f>
        <v/>
      </c>
    </row>
    <row r="132">
      <c r="B132" s="32">
        <f>'Brut ajusté'!B132</f>
        <v/>
      </c>
      <c r="C132" s="33">
        <f>IF('Brut ajusté'!C132="","",'Brut ajusté'!C132)</f>
        <v/>
      </c>
      <c r="D132" s="33">
        <f>IF(OR('Brut ajusté'!D132="",$B132&lt;INFR_debut),"",'Brut ajusté'!D132)</f>
        <v/>
      </c>
      <c r="E132" s="33">
        <f>IF('Brut ajusté'!E132="","",'Brut ajusté'!E132)</f>
        <v/>
      </c>
      <c r="F132" s="33">
        <f>IF('Brut ajusté'!F132="","",'Brut ajusté'!F132)</f>
        <v/>
      </c>
      <c r="G132" s="33">
        <f>IF('Brut ajusté'!G132="","",'Brut ajusté'!G132)</f>
        <v/>
      </c>
      <c r="H132" s="33">
        <f>IF('Brut ajusté'!H132="","",'Brut ajusté'!H132)</f>
        <v/>
      </c>
      <c r="I132" s="33">
        <f>IF('Brut ajusté'!I132="","",'Brut ajusté'!I132)</f>
        <v/>
      </c>
      <c r="J132" s="33">
        <f>IF('Brut ajusté'!J132="","",IF($B132&lt;BIP_date,'Brut ajusté'!J132/BIP_facteur,'Brut ajusté'!J132))</f>
        <v/>
      </c>
      <c r="K132" s="33">
        <f>IF('Brut ajusté'!K132="","",'Brut ajusté'!K132)</f>
        <v/>
      </c>
      <c r="L132" s="33">
        <f>IF('Brut ajusté'!L132="","",'Brut ajusté'!L132)</f>
        <v/>
      </c>
      <c r="M132" s="33">
        <f>IF('Brut ajusté'!M132="","",'Brut ajusté'!M132)</f>
        <v/>
      </c>
      <c r="N132" s="33">
        <f>IF('Brut ajusté'!N132="","",'Brut ajusté'!N132)</f>
        <v/>
      </c>
      <c r="O132" s="33">
        <f>IF('Brut ajusté'!O132="","",'Brut ajusté'!O132)</f>
        <v/>
      </c>
      <c r="P132" s="33">
        <f>IF('Brut ajusté'!P132="","",'Brut ajusté'!P132)</f>
        <v/>
      </c>
    </row>
    <row r="133">
      <c r="B133" s="32">
        <f>'Brut ajusté'!B133</f>
        <v/>
      </c>
      <c r="C133" s="33">
        <f>IF('Brut ajusté'!C133="","",'Brut ajusté'!C133)</f>
        <v/>
      </c>
      <c r="D133" s="33">
        <f>IF(OR('Brut ajusté'!D133="",$B133&lt;INFR_debut),"",'Brut ajusté'!D133)</f>
        <v/>
      </c>
      <c r="E133" s="33">
        <f>IF('Brut ajusté'!E133="","",'Brut ajusté'!E133)</f>
        <v/>
      </c>
      <c r="F133" s="33">
        <f>IF('Brut ajusté'!F133="","",'Brut ajusté'!F133)</f>
        <v/>
      </c>
      <c r="G133" s="33">
        <f>IF('Brut ajusté'!G133="","",'Brut ajusté'!G133)</f>
        <v/>
      </c>
      <c r="H133" s="33">
        <f>IF('Brut ajusté'!H133="","",'Brut ajusté'!H133)</f>
        <v/>
      </c>
      <c r="I133" s="33">
        <f>IF('Brut ajusté'!I133="","",'Brut ajusté'!I133)</f>
        <v/>
      </c>
      <c r="J133" s="33">
        <f>IF('Brut ajusté'!J133="","",IF($B133&lt;BIP_date,'Brut ajusté'!J133/BIP_facteur,'Brut ajusté'!J133))</f>
        <v/>
      </c>
      <c r="K133" s="33">
        <f>IF('Brut ajusté'!K133="","",'Brut ajusté'!K133)</f>
        <v/>
      </c>
      <c r="L133" s="33">
        <f>IF('Brut ajusté'!L133="","",'Brut ajusté'!L133)</f>
        <v/>
      </c>
      <c r="M133" s="33">
        <f>IF('Brut ajusté'!M133="","",'Brut ajusté'!M133)</f>
        <v/>
      </c>
      <c r="N133" s="33">
        <f>IF('Brut ajusté'!N133="","",'Brut ajusté'!N133)</f>
        <v/>
      </c>
      <c r="O133" s="33">
        <f>IF('Brut ajusté'!O133="","",'Brut ajusté'!O133)</f>
        <v/>
      </c>
      <c r="P133" s="33">
        <f>IF('Brut ajusté'!P133="","",'Brut ajusté'!P133)</f>
        <v/>
      </c>
    </row>
    <row r="134">
      <c r="B134" s="32">
        <f>'Brut ajusté'!B134</f>
        <v/>
      </c>
      <c r="C134" s="33">
        <f>IF('Brut ajusté'!C134="","",'Brut ajusté'!C134)</f>
        <v/>
      </c>
      <c r="D134" s="33">
        <f>IF(OR('Brut ajusté'!D134="",$B134&lt;INFR_debut),"",'Brut ajusté'!D134)</f>
        <v/>
      </c>
      <c r="E134" s="33">
        <f>IF('Brut ajusté'!E134="","",'Brut ajusté'!E134)</f>
        <v/>
      </c>
      <c r="F134" s="33">
        <f>IF('Brut ajusté'!F134="","",'Brut ajusté'!F134)</f>
        <v/>
      </c>
      <c r="G134" s="33">
        <f>IF('Brut ajusté'!G134="","",'Brut ajusté'!G134)</f>
        <v/>
      </c>
      <c r="H134" s="33">
        <f>IF('Brut ajusté'!H134="","",'Brut ajusté'!H134)</f>
        <v/>
      </c>
      <c r="I134" s="33">
        <f>IF('Brut ajusté'!I134="","",'Brut ajusté'!I134)</f>
        <v/>
      </c>
      <c r="J134" s="33">
        <f>IF('Brut ajusté'!J134="","",IF($B134&lt;BIP_date,'Brut ajusté'!J134/BIP_facteur,'Brut ajusté'!J134))</f>
        <v/>
      </c>
      <c r="K134" s="33">
        <f>IF('Brut ajusté'!K134="","",'Brut ajusté'!K134)</f>
        <v/>
      </c>
      <c r="L134" s="33">
        <f>IF('Brut ajusté'!L134="","",'Brut ajusté'!L134)</f>
        <v/>
      </c>
      <c r="M134" s="33">
        <f>IF('Brut ajusté'!M134="","",'Brut ajusté'!M134)</f>
        <v/>
      </c>
      <c r="N134" s="33">
        <f>IF('Brut ajusté'!N134="","",'Brut ajusté'!N134)</f>
        <v/>
      </c>
      <c r="O134" s="33">
        <f>IF('Brut ajusté'!O134="","",'Brut ajusté'!O134)</f>
        <v/>
      </c>
      <c r="P134" s="33">
        <f>IF('Brut ajusté'!P134="","",'Brut ajusté'!P134)</f>
        <v/>
      </c>
    </row>
    <row r="135">
      <c r="B135" s="32">
        <f>'Brut ajusté'!B135</f>
        <v/>
      </c>
      <c r="C135" s="33">
        <f>IF('Brut ajusté'!C135="","",'Brut ajusté'!C135)</f>
        <v/>
      </c>
      <c r="D135" s="33">
        <f>IF(OR('Brut ajusté'!D135="",$B135&lt;INFR_debut),"",'Brut ajusté'!D135)</f>
        <v/>
      </c>
      <c r="E135" s="33">
        <f>IF('Brut ajusté'!E135="","",'Brut ajusté'!E135)</f>
        <v/>
      </c>
      <c r="F135" s="33">
        <f>IF('Brut ajusté'!F135="","",'Brut ajusté'!F135)</f>
        <v/>
      </c>
      <c r="G135" s="33">
        <f>IF('Brut ajusté'!G135="","",'Brut ajusté'!G135)</f>
        <v/>
      </c>
      <c r="H135" s="33">
        <f>IF('Brut ajusté'!H135="","",'Brut ajusté'!H135)</f>
        <v/>
      </c>
      <c r="I135" s="33">
        <f>IF('Brut ajusté'!I135="","",'Brut ajusté'!I135)</f>
        <v/>
      </c>
      <c r="J135" s="33">
        <f>IF('Brut ajusté'!J135="","",IF($B135&lt;BIP_date,'Brut ajusté'!J135/BIP_facteur,'Brut ajusté'!J135))</f>
        <v/>
      </c>
      <c r="K135" s="33">
        <f>IF('Brut ajusté'!K135="","",'Brut ajusté'!K135)</f>
        <v/>
      </c>
      <c r="L135" s="33">
        <f>IF('Brut ajusté'!L135="","",'Brut ajusté'!L135)</f>
        <v/>
      </c>
      <c r="M135" s="33">
        <f>IF('Brut ajusté'!M135="","",'Brut ajusté'!M135)</f>
        <v/>
      </c>
      <c r="N135" s="33">
        <f>IF('Brut ajusté'!N135="","",'Brut ajusté'!N135)</f>
        <v/>
      </c>
      <c r="O135" s="33">
        <f>IF('Brut ajusté'!O135="","",'Brut ajusté'!O135)</f>
        <v/>
      </c>
      <c r="P135" s="33">
        <f>IF('Brut ajusté'!P135="","",'Brut ajusté'!P135)</f>
        <v/>
      </c>
    </row>
    <row r="136">
      <c r="B136" s="32">
        <f>'Brut ajusté'!B136</f>
        <v/>
      </c>
      <c r="C136" s="33">
        <f>IF('Brut ajusté'!C136="","",'Brut ajusté'!C136)</f>
        <v/>
      </c>
      <c r="D136" s="33">
        <f>IF(OR('Brut ajusté'!D136="",$B136&lt;INFR_debut),"",'Brut ajusté'!D136)</f>
        <v/>
      </c>
      <c r="E136" s="33">
        <f>IF('Brut ajusté'!E136="","",'Brut ajusté'!E136)</f>
        <v/>
      </c>
      <c r="F136" s="33">
        <f>IF('Brut ajusté'!F136="","",'Brut ajusté'!F136)</f>
        <v/>
      </c>
      <c r="G136" s="33">
        <f>IF('Brut ajusté'!G136="","",'Brut ajusté'!G136)</f>
        <v/>
      </c>
      <c r="H136" s="33">
        <f>IF('Brut ajusté'!H136="","",'Brut ajusté'!H136)</f>
        <v/>
      </c>
      <c r="I136" s="33">
        <f>IF('Brut ajusté'!I136="","",'Brut ajusté'!I136)</f>
        <v/>
      </c>
      <c r="J136" s="33">
        <f>IF('Brut ajusté'!J136="","",IF($B136&lt;BIP_date,'Brut ajusté'!J136/BIP_facteur,'Brut ajusté'!J136))</f>
        <v/>
      </c>
      <c r="K136" s="33">
        <f>IF('Brut ajusté'!K136="","",'Brut ajusté'!K136)</f>
        <v/>
      </c>
      <c r="L136" s="33">
        <f>IF('Brut ajusté'!L136="","",'Brut ajusté'!L136)</f>
        <v/>
      </c>
      <c r="M136" s="33">
        <f>IF('Brut ajusté'!M136="","",'Brut ajusté'!M136)</f>
        <v/>
      </c>
      <c r="N136" s="33">
        <f>IF('Brut ajusté'!N136="","",'Brut ajusté'!N136)</f>
        <v/>
      </c>
      <c r="O136" s="33">
        <f>IF('Brut ajusté'!O136="","",'Brut ajusté'!O136)</f>
        <v/>
      </c>
      <c r="P136" s="33">
        <f>IF('Brut ajusté'!P136="","",'Brut ajusté'!P136)</f>
        <v/>
      </c>
    </row>
    <row r="137">
      <c r="B137" s="32">
        <f>'Brut ajusté'!B137</f>
        <v/>
      </c>
      <c r="C137" s="33">
        <f>IF('Brut ajusté'!C137="","",'Brut ajusté'!C137)</f>
        <v/>
      </c>
      <c r="D137" s="33">
        <f>IF(OR('Brut ajusté'!D137="",$B137&lt;INFR_debut),"",'Brut ajusté'!D137)</f>
        <v/>
      </c>
      <c r="E137" s="33">
        <f>IF('Brut ajusté'!E137="","",'Brut ajusté'!E137)</f>
        <v/>
      </c>
      <c r="F137" s="33">
        <f>IF('Brut ajusté'!F137="","",'Brut ajusté'!F137)</f>
        <v/>
      </c>
      <c r="G137" s="33">
        <f>IF('Brut ajusté'!G137="","",'Brut ajusté'!G137)</f>
        <v/>
      </c>
      <c r="H137" s="33">
        <f>IF('Brut ajusté'!H137="","",'Brut ajusté'!H137)</f>
        <v/>
      </c>
      <c r="I137" s="33">
        <f>IF('Brut ajusté'!I137="","",'Brut ajusté'!I137)</f>
        <v/>
      </c>
      <c r="J137" s="33">
        <f>IF('Brut ajusté'!J137="","",IF($B137&lt;BIP_date,'Brut ajusté'!J137/BIP_facteur,'Brut ajusté'!J137))</f>
        <v/>
      </c>
      <c r="K137" s="33">
        <f>IF('Brut ajusté'!K137="","",'Brut ajusté'!K137)</f>
        <v/>
      </c>
      <c r="L137" s="33">
        <f>IF('Brut ajusté'!L137="","",'Brut ajusté'!L137)</f>
        <v/>
      </c>
      <c r="M137" s="33">
        <f>IF('Brut ajusté'!M137="","",'Brut ajusté'!M137)</f>
        <v/>
      </c>
      <c r="N137" s="33">
        <f>IF('Brut ajusté'!N137="","",'Brut ajusté'!N137)</f>
        <v/>
      </c>
      <c r="O137" s="33">
        <f>IF('Brut ajusté'!O137="","",'Brut ajusté'!O137)</f>
        <v/>
      </c>
      <c r="P137" s="33">
        <f>IF('Brut ajusté'!P137="","",'Brut ajusté'!P137)</f>
        <v/>
      </c>
    </row>
    <row r="138">
      <c r="B138" s="32">
        <f>'Brut ajusté'!B138</f>
        <v/>
      </c>
      <c r="C138" s="33">
        <f>IF('Brut ajusté'!C138="","",'Brut ajusté'!C138)</f>
        <v/>
      </c>
      <c r="D138" s="33">
        <f>IF(OR('Brut ajusté'!D138="",$B138&lt;INFR_debut),"",'Brut ajusté'!D138)</f>
        <v/>
      </c>
      <c r="E138" s="33">
        <f>IF('Brut ajusté'!E138="","",'Brut ajusté'!E138)</f>
        <v/>
      </c>
      <c r="F138" s="33">
        <f>IF('Brut ajusté'!F138="","",'Brut ajusté'!F138)</f>
        <v/>
      </c>
      <c r="G138" s="33">
        <f>IF('Brut ajusté'!G138="","",'Brut ajusté'!G138)</f>
        <v/>
      </c>
      <c r="H138" s="33">
        <f>IF('Brut ajusté'!H138="","",'Brut ajusté'!H138)</f>
        <v/>
      </c>
      <c r="I138" s="33">
        <f>IF('Brut ajusté'!I138="","",'Brut ajusté'!I138)</f>
        <v/>
      </c>
      <c r="J138" s="33">
        <f>IF('Brut ajusté'!J138="","",IF($B138&lt;BIP_date,'Brut ajusté'!J138/BIP_facteur,'Brut ajusté'!J138))</f>
        <v/>
      </c>
      <c r="K138" s="33">
        <f>IF('Brut ajusté'!K138="","",'Brut ajusté'!K138)</f>
        <v/>
      </c>
      <c r="L138" s="33">
        <f>IF('Brut ajusté'!L138="","",'Brut ajusté'!L138)</f>
        <v/>
      </c>
      <c r="M138" s="33">
        <f>IF('Brut ajusté'!M138="","",'Brut ajusté'!M138)</f>
        <v/>
      </c>
      <c r="N138" s="33">
        <f>IF('Brut ajusté'!N138="","",'Brut ajusté'!N138)</f>
        <v/>
      </c>
      <c r="O138" s="33">
        <f>IF('Brut ajusté'!O138="","",'Brut ajusté'!O138)</f>
        <v/>
      </c>
      <c r="P138" s="33">
        <f>IF('Brut ajusté'!P138="","",'Brut ajusté'!P138)</f>
        <v/>
      </c>
    </row>
    <row r="139">
      <c r="B139" s="32">
        <f>'Brut ajusté'!B139</f>
        <v/>
      </c>
      <c r="C139" s="33">
        <f>IF('Brut ajusté'!C139="","",'Brut ajusté'!C139)</f>
        <v/>
      </c>
      <c r="D139" s="33">
        <f>IF(OR('Brut ajusté'!D139="",$B139&lt;INFR_debut),"",'Brut ajusté'!D139)</f>
        <v/>
      </c>
      <c r="E139" s="33">
        <f>IF('Brut ajusté'!E139="","",'Brut ajusté'!E139)</f>
        <v/>
      </c>
      <c r="F139" s="33">
        <f>IF('Brut ajusté'!F139="","",'Brut ajusté'!F139)</f>
        <v/>
      </c>
      <c r="G139" s="33">
        <f>IF('Brut ajusté'!G139="","",'Brut ajusté'!G139)</f>
        <v/>
      </c>
      <c r="H139" s="33">
        <f>IF('Brut ajusté'!H139="","",'Brut ajusté'!H139)</f>
        <v/>
      </c>
      <c r="I139" s="33">
        <f>IF('Brut ajusté'!I139="","",'Brut ajusté'!I139)</f>
        <v/>
      </c>
      <c r="J139" s="33">
        <f>IF('Brut ajusté'!J139="","",IF($B139&lt;BIP_date,'Brut ajusté'!J139/BIP_facteur,'Brut ajusté'!J139))</f>
        <v/>
      </c>
      <c r="K139" s="33">
        <f>IF('Brut ajusté'!K139="","",'Brut ajusté'!K139)</f>
        <v/>
      </c>
      <c r="L139" s="33">
        <f>IF('Brut ajusté'!L139="","",'Brut ajusté'!L139)</f>
        <v/>
      </c>
      <c r="M139" s="33">
        <f>IF('Brut ajusté'!M139="","",'Brut ajusté'!M139)</f>
        <v/>
      </c>
      <c r="N139" s="33">
        <f>IF('Brut ajusté'!N139="","",'Brut ajusté'!N139)</f>
        <v/>
      </c>
      <c r="O139" s="33">
        <f>IF('Brut ajusté'!O139="","",'Brut ajusté'!O139)</f>
        <v/>
      </c>
      <c r="P139" s="33">
        <f>IF('Brut ajusté'!P139="","",'Brut ajusté'!P139)</f>
        <v/>
      </c>
    </row>
    <row r="140">
      <c r="B140" s="32">
        <f>'Brut ajusté'!B140</f>
        <v/>
      </c>
      <c r="C140" s="33">
        <f>IF('Brut ajusté'!C140="","",'Brut ajusté'!C140)</f>
        <v/>
      </c>
      <c r="D140" s="33">
        <f>IF(OR('Brut ajusté'!D140="",$B140&lt;INFR_debut),"",'Brut ajusté'!D140)</f>
        <v/>
      </c>
      <c r="E140" s="33">
        <f>IF('Brut ajusté'!E140="","",'Brut ajusté'!E140)</f>
        <v/>
      </c>
      <c r="F140" s="33">
        <f>IF('Brut ajusté'!F140="","",'Brut ajusté'!F140)</f>
        <v/>
      </c>
      <c r="G140" s="33">
        <f>IF('Brut ajusté'!G140="","",'Brut ajusté'!G140)</f>
        <v/>
      </c>
      <c r="H140" s="33">
        <f>IF('Brut ajusté'!H140="","",'Brut ajusté'!H140)</f>
        <v/>
      </c>
      <c r="I140" s="33">
        <f>IF('Brut ajusté'!I140="","",'Brut ajusté'!I140)</f>
        <v/>
      </c>
      <c r="J140" s="33">
        <f>IF('Brut ajusté'!J140="","",IF($B140&lt;BIP_date,'Brut ajusté'!J140/BIP_facteur,'Brut ajusté'!J140))</f>
        <v/>
      </c>
      <c r="K140" s="33">
        <f>IF('Brut ajusté'!K140="","",'Brut ajusté'!K140)</f>
        <v/>
      </c>
      <c r="L140" s="33">
        <f>IF('Brut ajusté'!L140="","",'Brut ajusté'!L140)</f>
        <v/>
      </c>
      <c r="M140" s="33">
        <f>IF('Brut ajusté'!M140="","",'Brut ajusté'!M140)</f>
        <v/>
      </c>
      <c r="N140" s="33">
        <f>IF('Brut ajusté'!N140="","",'Brut ajusté'!N140)</f>
        <v/>
      </c>
      <c r="O140" s="33">
        <f>IF('Brut ajusté'!O140="","",'Brut ajusté'!O140)</f>
        <v/>
      </c>
      <c r="P140" s="33">
        <f>IF('Brut ajusté'!P140="","",'Brut ajusté'!P140)</f>
        <v/>
      </c>
    </row>
    <row r="141">
      <c r="B141" s="32">
        <f>'Brut ajusté'!B141</f>
        <v/>
      </c>
      <c r="C141" s="33">
        <f>IF('Brut ajusté'!C141="","",'Brut ajusté'!C141)</f>
        <v/>
      </c>
      <c r="D141" s="33">
        <f>IF(OR('Brut ajusté'!D141="",$B141&lt;INFR_debut),"",'Brut ajusté'!D141)</f>
        <v/>
      </c>
      <c r="E141" s="33">
        <f>IF('Brut ajusté'!E141="","",'Brut ajusté'!E141)</f>
        <v/>
      </c>
      <c r="F141" s="33">
        <f>IF('Brut ajusté'!F141="","",'Brut ajusté'!F141)</f>
        <v/>
      </c>
      <c r="G141" s="33">
        <f>IF('Brut ajusté'!G141="","",'Brut ajusté'!G141)</f>
        <v/>
      </c>
      <c r="H141" s="33">
        <f>IF('Brut ajusté'!H141="","",'Brut ajusté'!H141)</f>
        <v/>
      </c>
      <c r="I141" s="33">
        <f>IF('Brut ajusté'!I141="","",'Brut ajusté'!I141)</f>
        <v/>
      </c>
      <c r="J141" s="33">
        <f>IF('Brut ajusté'!J141="","",IF($B141&lt;BIP_date,'Brut ajusté'!J141/BIP_facteur,'Brut ajusté'!J141))</f>
        <v/>
      </c>
      <c r="K141" s="33">
        <f>IF('Brut ajusté'!K141="","",'Brut ajusté'!K141)</f>
        <v/>
      </c>
      <c r="L141" s="33">
        <f>IF('Brut ajusté'!L141="","",'Brut ajusté'!L141)</f>
        <v/>
      </c>
      <c r="M141" s="33">
        <f>IF('Brut ajusté'!M141="","",'Brut ajusté'!M141)</f>
        <v/>
      </c>
      <c r="N141" s="33">
        <f>IF('Brut ajusté'!N141="","",'Brut ajusté'!N141)</f>
        <v/>
      </c>
      <c r="O141" s="33">
        <f>IF('Brut ajusté'!O141="","",'Brut ajusté'!O141)</f>
        <v/>
      </c>
      <c r="P141" s="33">
        <f>IF('Brut ajusté'!P141="","",'Brut ajusté'!P141)</f>
        <v/>
      </c>
    </row>
    <row r="142">
      <c r="B142" s="32">
        <f>'Brut ajusté'!B142</f>
        <v/>
      </c>
      <c r="C142" s="33">
        <f>IF('Brut ajusté'!C142="","",'Brut ajusté'!C142)</f>
        <v/>
      </c>
      <c r="D142" s="33">
        <f>IF(OR('Brut ajusté'!D142="",$B142&lt;INFR_debut),"",'Brut ajusté'!D142)</f>
        <v/>
      </c>
      <c r="E142" s="33">
        <f>IF('Brut ajusté'!E142="","",'Brut ajusté'!E142)</f>
        <v/>
      </c>
      <c r="F142" s="33">
        <f>IF('Brut ajusté'!F142="","",'Brut ajusté'!F142)</f>
        <v/>
      </c>
      <c r="G142" s="33">
        <f>IF('Brut ajusté'!G142="","",'Brut ajusté'!G142)</f>
        <v/>
      </c>
      <c r="H142" s="33">
        <f>IF('Brut ajusté'!H142="","",'Brut ajusté'!H142)</f>
        <v/>
      </c>
      <c r="I142" s="33">
        <f>IF('Brut ajusté'!I142="","",'Brut ajusté'!I142)</f>
        <v/>
      </c>
      <c r="J142" s="33">
        <f>IF('Brut ajusté'!J142="","",IF($B142&lt;BIP_date,'Brut ajusté'!J142/BIP_facteur,'Brut ajusté'!J142))</f>
        <v/>
      </c>
      <c r="K142" s="33">
        <f>IF('Brut ajusté'!K142="","",'Brut ajusté'!K142)</f>
        <v/>
      </c>
      <c r="L142" s="33">
        <f>IF('Brut ajusté'!L142="","",'Brut ajusté'!L142)</f>
        <v/>
      </c>
      <c r="M142" s="33">
        <f>IF('Brut ajusté'!M142="","",'Brut ajusté'!M142)</f>
        <v/>
      </c>
      <c r="N142" s="33">
        <f>IF('Brut ajusté'!N142="","",'Brut ajusté'!N142)</f>
        <v/>
      </c>
      <c r="O142" s="33">
        <f>IF('Brut ajusté'!O142="","",'Brut ajusté'!O142)</f>
        <v/>
      </c>
      <c r="P142" s="33">
        <f>IF('Brut ajusté'!P142="","",'Brut ajusté'!P142)</f>
        <v/>
      </c>
    </row>
    <row r="143">
      <c r="B143" s="32">
        <f>'Brut ajusté'!B143</f>
        <v/>
      </c>
      <c r="C143" s="33">
        <f>IF('Brut ajusté'!C143="","",'Brut ajusté'!C143)</f>
        <v/>
      </c>
      <c r="D143" s="33">
        <f>IF(OR('Brut ajusté'!D143="",$B143&lt;INFR_debut),"",'Brut ajusté'!D143)</f>
        <v/>
      </c>
      <c r="E143" s="33">
        <f>IF('Brut ajusté'!E143="","",'Brut ajusté'!E143)</f>
        <v/>
      </c>
      <c r="F143" s="33">
        <f>IF('Brut ajusté'!F143="","",'Brut ajusté'!F143)</f>
        <v/>
      </c>
      <c r="G143" s="33">
        <f>IF('Brut ajusté'!G143="","",'Brut ajusté'!G143)</f>
        <v/>
      </c>
      <c r="H143" s="33">
        <f>IF('Brut ajusté'!H143="","",'Brut ajusté'!H143)</f>
        <v/>
      </c>
      <c r="I143" s="33">
        <f>IF('Brut ajusté'!I143="","",'Brut ajusté'!I143)</f>
        <v/>
      </c>
      <c r="J143" s="33">
        <f>IF('Brut ajusté'!J143="","",IF($B143&lt;BIP_date,'Brut ajusté'!J143/BIP_facteur,'Brut ajusté'!J143))</f>
        <v/>
      </c>
      <c r="K143" s="33">
        <f>IF('Brut ajusté'!K143="","",'Brut ajusté'!K143)</f>
        <v/>
      </c>
      <c r="L143" s="33">
        <f>IF('Brut ajusté'!L143="","",'Brut ajusté'!L143)</f>
        <v/>
      </c>
      <c r="M143" s="33">
        <f>IF('Brut ajusté'!M143="","",'Brut ajusté'!M143)</f>
        <v/>
      </c>
      <c r="N143" s="33">
        <f>IF('Brut ajusté'!N143="","",'Brut ajusté'!N143)</f>
        <v/>
      </c>
      <c r="O143" s="33">
        <f>IF('Brut ajusté'!O143="","",'Brut ajusté'!O143)</f>
        <v/>
      </c>
      <c r="P143" s="33">
        <f>IF('Brut ajusté'!P143="","",'Brut ajusté'!P143)</f>
        <v/>
      </c>
    </row>
    <row r="144">
      <c r="B144" s="32">
        <f>'Brut ajusté'!B144</f>
        <v/>
      </c>
      <c r="C144" s="33">
        <f>IF('Brut ajusté'!C144="","",'Brut ajusté'!C144)</f>
        <v/>
      </c>
      <c r="D144" s="33">
        <f>IF(OR('Brut ajusté'!D144="",$B144&lt;INFR_debut),"",'Brut ajusté'!D144)</f>
        <v/>
      </c>
      <c r="E144" s="33">
        <f>IF('Brut ajusté'!E144="","",'Brut ajusté'!E144)</f>
        <v/>
      </c>
      <c r="F144" s="33">
        <f>IF('Brut ajusté'!F144="","",'Brut ajusté'!F144)</f>
        <v/>
      </c>
      <c r="G144" s="33">
        <f>IF('Brut ajusté'!G144="","",'Brut ajusté'!G144)</f>
        <v/>
      </c>
      <c r="H144" s="33">
        <f>IF('Brut ajusté'!H144="","",'Brut ajusté'!H144)</f>
        <v/>
      </c>
      <c r="I144" s="33">
        <f>IF('Brut ajusté'!I144="","",'Brut ajusté'!I144)</f>
        <v/>
      </c>
      <c r="J144" s="33">
        <f>IF('Brut ajusté'!J144="","",IF($B144&lt;BIP_date,'Brut ajusté'!J144/BIP_facteur,'Brut ajusté'!J144))</f>
        <v/>
      </c>
      <c r="K144" s="33">
        <f>IF('Brut ajusté'!K144="","",'Brut ajusté'!K144)</f>
        <v/>
      </c>
      <c r="L144" s="33">
        <f>IF('Brut ajusté'!L144="","",'Brut ajusté'!L144)</f>
        <v/>
      </c>
      <c r="M144" s="33">
        <f>IF('Brut ajusté'!M144="","",'Brut ajusté'!M144)</f>
        <v/>
      </c>
      <c r="N144" s="33">
        <f>IF('Brut ajusté'!N144="","",'Brut ajusté'!N144)</f>
        <v/>
      </c>
      <c r="O144" s="33">
        <f>IF('Brut ajusté'!O144="","",'Brut ajusté'!O144)</f>
        <v/>
      </c>
      <c r="P144" s="33">
        <f>IF('Brut ajusté'!P144="","",'Brut ajusté'!P144)</f>
        <v/>
      </c>
    </row>
    <row r="145">
      <c r="B145" s="32">
        <f>'Brut ajusté'!B145</f>
        <v/>
      </c>
      <c r="C145" s="33">
        <f>IF('Brut ajusté'!C145="","",'Brut ajusté'!C145)</f>
        <v/>
      </c>
      <c r="D145" s="33">
        <f>IF(OR('Brut ajusté'!D145="",$B145&lt;INFR_debut),"",'Brut ajusté'!D145)</f>
        <v/>
      </c>
      <c r="E145" s="33">
        <f>IF('Brut ajusté'!E145="","",'Brut ajusté'!E145)</f>
        <v/>
      </c>
      <c r="F145" s="33">
        <f>IF('Brut ajusté'!F145="","",'Brut ajusté'!F145)</f>
        <v/>
      </c>
      <c r="G145" s="33">
        <f>IF('Brut ajusté'!G145="","",'Brut ajusté'!G145)</f>
        <v/>
      </c>
      <c r="H145" s="33">
        <f>IF('Brut ajusté'!H145="","",'Brut ajusté'!H145)</f>
        <v/>
      </c>
      <c r="I145" s="33">
        <f>IF('Brut ajusté'!I145="","",'Brut ajusté'!I145)</f>
        <v/>
      </c>
      <c r="J145" s="33">
        <f>IF('Brut ajusté'!J145="","",IF($B145&lt;BIP_date,'Brut ajusté'!J145/BIP_facteur,'Brut ajusté'!J145))</f>
        <v/>
      </c>
      <c r="K145" s="33">
        <f>IF('Brut ajusté'!K145="","",'Brut ajusté'!K145)</f>
        <v/>
      </c>
      <c r="L145" s="33">
        <f>IF('Brut ajusté'!L145="","",'Brut ajusté'!L145)</f>
        <v/>
      </c>
      <c r="M145" s="33">
        <f>IF('Brut ajusté'!M145="","",'Brut ajusté'!M145)</f>
        <v/>
      </c>
      <c r="N145" s="33">
        <f>IF('Brut ajusté'!N145="","",'Brut ajusté'!N145)</f>
        <v/>
      </c>
      <c r="O145" s="33">
        <f>IF('Brut ajusté'!O145="","",'Brut ajusté'!O145)</f>
        <v/>
      </c>
      <c r="P145" s="33">
        <f>IF('Brut ajusté'!P145="","",'Brut ajusté'!P145)</f>
        <v/>
      </c>
    </row>
    <row r="146">
      <c r="B146" s="32">
        <f>'Brut ajusté'!B146</f>
        <v/>
      </c>
      <c r="C146" s="33">
        <f>IF('Brut ajusté'!C146="","",'Brut ajusté'!C146)</f>
        <v/>
      </c>
      <c r="D146" s="33">
        <f>IF(OR('Brut ajusté'!D146="",$B146&lt;INFR_debut),"",'Brut ajusté'!D146)</f>
        <v/>
      </c>
      <c r="E146" s="33">
        <f>IF('Brut ajusté'!E146="","",'Brut ajusté'!E146)</f>
        <v/>
      </c>
      <c r="F146" s="33">
        <f>IF('Brut ajusté'!F146="","",'Brut ajusté'!F146)</f>
        <v/>
      </c>
      <c r="G146" s="33">
        <f>IF('Brut ajusté'!G146="","",'Brut ajusté'!G146)</f>
        <v/>
      </c>
      <c r="H146" s="33">
        <f>IF('Brut ajusté'!H146="","",'Brut ajusté'!H146)</f>
        <v/>
      </c>
      <c r="I146" s="33">
        <f>IF('Brut ajusté'!I146="","",'Brut ajusté'!I146)</f>
        <v/>
      </c>
      <c r="J146" s="33">
        <f>IF('Brut ajusté'!J146="","",IF($B146&lt;BIP_date,'Brut ajusté'!J146/BIP_facteur,'Brut ajusté'!J146))</f>
        <v/>
      </c>
      <c r="K146" s="33">
        <f>IF('Brut ajusté'!K146="","",'Brut ajusté'!K146)</f>
        <v/>
      </c>
      <c r="L146" s="33">
        <f>IF('Brut ajusté'!L146="","",'Brut ajusté'!L146)</f>
        <v/>
      </c>
      <c r="M146" s="33">
        <f>IF('Brut ajusté'!M146="","",'Brut ajusté'!M146)</f>
        <v/>
      </c>
      <c r="N146" s="33">
        <f>IF('Brut ajusté'!N146="","",'Brut ajusté'!N146)</f>
        <v/>
      </c>
      <c r="O146" s="33">
        <f>IF('Brut ajusté'!O146="","",'Brut ajusté'!O146)</f>
        <v/>
      </c>
      <c r="P146" s="33">
        <f>IF('Brut ajusté'!P146="","",'Brut ajusté'!P146)</f>
        <v/>
      </c>
    </row>
    <row r="147">
      <c r="B147" s="32">
        <f>'Brut ajusté'!B147</f>
        <v/>
      </c>
      <c r="C147" s="33">
        <f>IF('Brut ajusté'!C147="","",'Brut ajusté'!C147)</f>
        <v/>
      </c>
      <c r="D147" s="33">
        <f>IF(OR('Brut ajusté'!D147="",$B147&lt;INFR_debut),"",'Brut ajusté'!D147)</f>
        <v/>
      </c>
      <c r="E147" s="33">
        <f>IF('Brut ajusté'!E147="","",'Brut ajusté'!E147)</f>
        <v/>
      </c>
      <c r="F147" s="33">
        <f>IF('Brut ajusté'!F147="","",'Brut ajusté'!F147)</f>
        <v/>
      </c>
      <c r="G147" s="33">
        <f>IF('Brut ajusté'!G147="","",'Brut ajusté'!G147)</f>
        <v/>
      </c>
      <c r="H147" s="33">
        <f>IF('Brut ajusté'!H147="","",'Brut ajusté'!H147)</f>
        <v/>
      </c>
      <c r="I147" s="33">
        <f>IF('Brut ajusté'!I147="","",'Brut ajusté'!I147)</f>
        <v/>
      </c>
      <c r="J147" s="33">
        <f>IF('Brut ajusté'!J147="","",IF($B147&lt;BIP_date,'Brut ajusté'!J147/BIP_facteur,'Brut ajusté'!J147))</f>
        <v/>
      </c>
      <c r="K147" s="33">
        <f>IF('Brut ajusté'!K147="","",'Brut ajusté'!K147)</f>
        <v/>
      </c>
      <c r="L147" s="33">
        <f>IF('Brut ajusté'!L147="","",'Brut ajusté'!L147)</f>
        <v/>
      </c>
      <c r="M147" s="33">
        <f>IF('Brut ajusté'!M147="","",'Brut ajusté'!M147)</f>
        <v/>
      </c>
      <c r="N147" s="33">
        <f>IF('Brut ajusté'!N147="","",'Brut ajusté'!N147)</f>
        <v/>
      </c>
      <c r="O147" s="33">
        <f>IF('Brut ajusté'!O147="","",'Brut ajusté'!O147)</f>
        <v/>
      </c>
      <c r="P147" s="33">
        <f>IF('Brut ajusté'!P147="","",'Brut ajusté'!P147)</f>
        <v/>
      </c>
    </row>
    <row r="148">
      <c r="B148" s="32">
        <f>'Brut ajusté'!B148</f>
        <v/>
      </c>
      <c r="C148" s="33">
        <f>IF('Brut ajusté'!C148="","",'Brut ajusté'!C148)</f>
        <v/>
      </c>
      <c r="D148" s="33">
        <f>IF(OR('Brut ajusté'!D148="",$B148&lt;INFR_debut),"",'Brut ajusté'!D148)</f>
        <v/>
      </c>
      <c r="E148" s="33">
        <f>IF('Brut ajusté'!E148="","",'Brut ajusté'!E148)</f>
        <v/>
      </c>
      <c r="F148" s="33">
        <f>IF('Brut ajusté'!F148="","",'Brut ajusté'!F148)</f>
        <v/>
      </c>
      <c r="G148" s="33">
        <f>IF('Brut ajusté'!G148="","",'Brut ajusté'!G148)</f>
        <v/>
      </c>
      <c r="H148" s="33">
        <f>IF('Brut ajusté'!H148="","",'Brut ajusté'!H148)</f>
        <v/>
      </c>
      <c r="I148" s="33">
        <f>IF('Brut ajusté'!I148="","",'Brut ajusté'!I148)</f>
        <v/>
      </c>
      <c r="J148" s="33">
        <f>IF('Brut ajusté'!J148="","",IF($B148&lt;BIP_date,'Brut ajusté'!J148/BIP_facteur,'Brut ajusté'!J148))</f>
        <v/>
      </c>
      <c r="K148" s="33">
        <f>IF('Brut ajusté'!K148="","",'Brut ajusté'!K148)</f>
        <v/>
      </c>
      <c r="L148" s="33">
        <f>IF('Brut ajusté'!L148="","",'Brut ajusté'!L148)</f>
        <v/>
      </c>
      <c r="M148" s="33">
        <f>IF('Brut ajusté'!M148="","",'Brut ajusté'!M148)</f>
        <v/>
      </c>
      <c r="N148" s="33">
        <f>IF('Brut ajusté'!N148="","",'Brut ajusté'!N148)</f>
        <v/>
      </c>
      <c r="O148" s="33">
        <f>IF('Brut ajusté'!O148="","",'Brut ajusté'!O148)</f>
        <v/>
      </c>
      <c r="P148" s="33">
        <f>IF('Brut ajusté'!P148="","",'Brut ajusté'!P148)</f>
        <v/>
      </c>
    </row>
    <row r="149">
      <c r="B149" s="32">
        <f>'Brut ajusté'!B149</f>
        <v/>
      </c>
      <c r="C149" s="33">
        <f>IF('Brut ajusté'!C149="","",'Brut ajusté'!C149)</f>
        <v/>
      </c>
      <c r="D149" s="33">
        <f>IF(OR('Brut ajusté'!D149="",$B149&lt;INFR_debut),"",'Brut ajusté'!D149)</f>
        <v/>
      </c>
      <c r="E149" s="33">
        <f>IF('Brut ajusté'!E149="","",'Brut ajusté'!E149)</f>
        <v/>
      </c>
      <c r="F149" s="33">
        <f>IF('Brut ajusté'!F149="","",'Brut ajusté'!F149)</f>
        <v/>
      </c>
      <c r="G149" s="33">
        <f>IF('Brut ajusté'!G149="","",'Brut ajusté'!G149)</f>
        <v/>
      </c>
      <c r="H149" s="33">
        <f>IF('Brut ajusté'!H149="","",'Brut ajusté'!H149)</f>
        <v/>
      </c>
      <c r="I149" s="33">
        <f>IF('Brut ajusté'!I149="","",'Brut ajusté'!I149)</f>
        <v/>
      </c>
      <c r="J149" s="33">
        <f>IF('Brut ajusté'!J149="","",IF($B149&lt;BIP_date,'Brut ajusté'!J149/BIP_facteur,'Brut ajusté'!J149))</f>
        <v/>
      </c>
      <c r="K149" s="33">
        <f>IF('Brut ajusté'!K149="","",'Brut ajusté'!K149)</f>
        <v/>
      </c>
      <c r="L149" s="33">
        <f>IF('Brut ajusté'!L149="","",'Brut ajusté'!L149)</f>
        <v/>
      </c>
      <c r="M149" s="33">
        <f>IF('Brut ajusté'!M149="","",'Brut ajusté'!M149)</f>
        <v/>
      </c>
      <c r="N149" s="33">
        <f>IF('Brut ajusté'!N149="","",'Brut ajusté'!N149)</f>
        <v/>
      </c>
      <c r="O149" s="33">
        <f>IF('Brut ajusté'!O149="","",'Brut ajusté'!O149)</f>
        <v/>
      </c>
      <c r="P149" s="33">
        <f>IF('Brut ajusté'!P149="","",'Brut ajusté'!P149)</f>
        <v/>
      </c>
    </row>
    <row r="150">
      <c r="B150" s="32">
        <f>'Brut ajusté'!B150</f>
        <v/>
      </c>
      <c r="C150" s="33">
        <f>IF('Brut ajusté'!C150="","",'Brut ajusté'!C150)</f>
        <v/>
      </c>
      <c r="D150" s="33">
        <f>IF(OR('Brut ajusté'!D150="",$B150&lt;INFR_debut),"",'Brut ajusté'!D150)</f>
        <v/>
      </c>
      <c r="E150" s="33">
        <f>IF('Brut ajusté'!E150="","",'Brut ajusté'!E150)</f>
        <v/>
      </c>
      <c r="F150" s="33">
        <f>IF('Brut ajusté'!F150="","",'Brut ajusté'!F150)</f>
        <v/>
      </c>
      <c r="G150" s="33">
        <f>IF('Brut ajusté'!G150="","",'Brut ajusté'!G150)</f>
        <v/>
      </c>
      <c r="H150" s="33">
        <f>IF('Brut ajusté'!H150="","",'Brut ajusté'!H150)</f>
        <v/>
      </c>
      <c r="I150" s="33">
        <f>IF('Brut ajusté'!I150="","",'Brut ajusté'!I150)</f>
        <v/>
      </c>
      <c r="J150" s="33">
        <f>IF('Brut ajusté'!J150="","",IF($B150&lt;BIP_date,'Brut ajusté'!J150/BIP_facteur,'Brut ajusté'!J150))</f>
        <v/>
      </c>
      <c r="K150" s="33">
        <f>IF('Brut ajusté'!K150="","",'Brut ajusté'!K150)</f>
        <v/>
      </c>
      <c r="L150" s="33">
        <f>IF('Brut ajusté'!L150="","",'Brut ajusté'!L150)</f>
        <v/>
      </c>
      <c r="M150" s="33">
        <f>IF('Brut ajusté'!M150="","",'Brut ajusté'!M150)</f>
        <v/>
      </c>
      <c r="N150" s="33">
        <f>IF('Brut ajusté'!N150="","",'Brut ajusté'!N150)</f>
        <v/>
      </c>
      <c r="O150" s="33">
        <f>IF('Brut ajusté'!O150="","",'Brut ajusté'!O150)</f>
        <v/>
      </c>
      <c r="P150" s="33">
        <f>IF('Brut ajusté'!P150="","",'Brut ajusté'!P150)</f>
        <v/>
      </c>
    </row>
    <row r="151">
      <c r="B151" s="32">
        <f>'Brut ajusté'!B151</f>
        <v/>
      </c>
      <c r="C151" s="33">
        <f>IF('Brut ajusté'!C151="","",'Brut ajusté'!C151)</f>
        <v/>
      </c>
      <c r="D151" s="33">
        <f>IF(OR('Brut ajusté'!D151="",$B151&lt;INFR_debut),"",'Brut ajusté'!D151)</f>
        <v/>
      </c>
      <c r="E151" s="33">
        <f>IF('Brut ajusté'!E151="","",'Brut ajusté'!E151)</f>
        <v/>
      </c>
      <c r="F151" s="33">
        <f>IF('Brut ajusté'!F151="","",'Brut ajusté'!F151)</f>
        <v/>
      </c>
      <c r="G151" s="33">
        <f>IF('Brut ajusté'!G151="","",'Brut ajusté'!G151)</f>
        <v/>
      </c>
      <c r="H151" s="33">
        <f>IF('Brut ajusté'!H151="","",'Brut ajusté'!H151)</f>
        <v/>
      </c>
      <c r="I151" s="33">
        <f>IF('Brut ajusté'!I151="","",'Brut ajusté'!I151)</f>
        <v/>
      </c>
      <c r="J151" s="33">
        <f>IF('Brut ajusté'!J151="","",IF($B151&lt;BIP_date,'Brut ajusté'!J151/BIP_facteur,'Brut ajusté'!J151))</f>
        <v/>
      </c>
      <c r="K151" s="33">
        <f>IF('Brut ajusté'!K151="","",'Brut ajusté'!K151)</f>
        <v/>
      </c>
      <c r="L151" s="33">
        <f>IF('Brut ajusté'!L151="","",'Brut ajusté'!L151)</f>
        <v/>
      </c>
      <c r="M151" s="33">
        <f>IF('Brut ajusté'!M151="","",'Brut ajusté'!M151)</f>
        <v/>
      </c>
      <c r="N151" s="33">
        <f>IF('Brut ajusté'!N151="","",'Brut ajusté'!N151)</f>
        <v/>
      </c>
      <c r="O151" s="33">
        <f>IF('Brut ajusté'!O151="","",'Brut ajusté'!O151)</f>
        <v/>
      </c>
      <c r="P151" s="33">
        <f>IF('Brut ajusté'!P151="","",'Brut ajusté'!P151)</f>
        <v/>
      </c>
    </row>
    <row r="152">
      <c r="B152" s="32">
        <f>'Brut ajusté'!B152</f>
        <v/>
      </c>
      <c r="C152" s="33">
        <f>IF('Brut ajusté'!C152="","",'Brut ajusté'!C152)</f>
        <v/>
      </c>
      <c r="D152" s="33">
        <f>IF(OR('Brut ajusté'!D152="",$B152&lt;INFR_debut),"",'Brut ajusté'!D152)</f>
        <v/>
      </c>
      <c r="E152" s="33">
        <f>IF('Brut ajusté'!E152="","",'Brut ajusté'!E152)</f>
        <v/>
      </c>
      <c r="F152" s="33">
        <f>IF('Brut ajusté'!F152="","",'Brut ajusté'!F152)</f>
        <v/>
      </c>
      <c r="G152" s="33">
        <f>IF('Brut ajusté'!G152="","",'Brut ajusté'!G152)</f>
        <v/>
      </c>
      <c r="H152" s="33">
        <f>IF('Brut ajusté'!H152="","",'Brut ajusté'!H152)</f>
        <v/>
      </c>
      <c r="I152" s="33">
        <f>IF('Brut ajusté'!I152="","",'Brut ajusté'!I152)</f>
        <v/>
      </c>
      <c r="J152" s="33">
        <f>IF('Brut ajusté'!J152="","",IF($B152&lt;BIP_date,'Brut ajusté'!J152/BIP_facteur,'Brut ajusté'!J152))</f>
        <v/>
      </c>
      <c r="K152" s="33">
        <f>IF('Brut ajusté'!K152="","",'Brut ajusté'!K152)</f>
        <v/>
      </c>
      <c r="L152" s="33">
        <f>IF('Brut ajusté'!L152="","",'Brut ajusté'!L152)</f>
        <v/>
      </c>
      <c r="M152" s="33">
        <f>IF('Brut ajusté'!M152="","",'Brut ajusté'!M152)</f>
        <v/>
      </c>
      <c r="N152" s="33">
        <f>IF('Brut ajusté'!N152="","",'Brut ajusté'!N152)</f>
        <v/>
      </c>
      <c r="O152" s="33">
        <f>IF('Brut ajusté'!O152="","",'Brut ajusté'!O152)</f>
        <v/>
      </c>
      <c r="P152" s="33">
        <f>IF('Brut ajusté'!P152="","",'Brut ajusté'!P152)</f>
        <v/>
      </c>
    </row>
    <row r="153">
      <c r="B153" s="32">
        <f>'Brut ajusté'!B153</f>
        <v/>
      </c>
      <c r="C153" s="33">
        <f>IF('Brut ajusté'!C153="","",'Brut ajusté'!C153)</f>
        <v/>
      </c>
      <c r="D153" s="33">
        <f>IF(OR('Brut ajusté'!D153="",$B153&lt;INFR_debut),"",'Brut ajusté'!D153)</f>
        <v/>
      </c>
      <c r="E153" s="33">
        <f>IF('Brut ajusté'!E153="","",'Brut ajusté'!E153)</f>
        <v/>
      </c>
      <c r="F153" s="33">
        <f>IF('Brut ajusté'!F153="","",'Brut ajusté'!F153)</f>
        <v/>
      </c>
      <c r="G153" s="33">
        <f>IF('Brut ajusté'!G153="","",'Brut ajusté'!G153)</f>
        <v/>
      </c>
      <c r="H153" s="33">
        <f>IF('Brut ajusté'!H153="","",'Brut ajusté'!H153)</f>
        <v/>
      </c>
      <c r="I153" s="33">
        <f>IF('Brut ajusté'!I153="","",'Brut ajusté'!I153)</f>
        <v/>
      </c>
      <c r="J153" s="33">
        <f>IF('Brut ajusté'!J153="","",IF($B153&lt;BIP_date,'Brut ajusté'!J153/BIP_facteur,'Brut ajusté'!J153))</f>
        <v/>
      </c>
      <c r="K153" s="33">
        <f>IF('Brut ajusté'!K153="","",'Brut ajusté'!K153)</f>
        <v/>
      </c>
      <c r="L153" s="33">
        <f>IF('Brut ajusté'!L153="","",'Brut ajusté'!L153)</f>
        <v/>
      </c>
      <c r="M153" s="33">
        <f>IF('Brut ajusté'!M153="","",'Brut ajusté'!M153)</f>
        <v/>
      </c>
      <c r="N153" s="33">
        <f>IF('Brut ajusté'!N153="","",'Brut ajusté'!N153)</f>
        <v/>
      </c>
      <c r="O153" s="33">
        <f>IF('Brut ajusté'!O153="","",'Brut ajusté'!O153)</f>
        <v/>
      </c>
      <c r="P153" s="33">
        <f>IF('Brut ajusté'!P153="","",'Brut ajusté'!P153)</f>
        <v/>
      </c>
    </row>
    <row r="154">
      <c r="B154" s="32">
        <f>'Brut ajusté'!B154</f>
        <v/>
      </c>
      <c r="C154" s="33">
        <f>IF('Brut ajusté'!C154="","",'Brut ajusté'!C154)</f>
        <v/>
      </c>
      <c r="D154" s="33">
        <f>IF(OR('Brut ajusté'!D154="",$B154&lt;INFR_debut),"",'Brut ajusté'!D154)</f>
        <v/>
      </c>
      <c r="E154" s="33">
        <f>IF('Brut ajusté'!E154="","",'Brut ajusté'!E154)</f>
        <v/>
      </c>
      <c r="F154" s="33">
        <f>IF('Brut ajusté'!F154="","",'Brut ajusté'!F154)</f>
        <v/>
      </c>
      <c r="G154" s="33">
        <f>IF('Brut ajusté'!G154="","",'Brut ajusté'!G154)</f>
        <v/>
      </c>
      <c r="H154" s="33">
        <f>IF('Brut ajusté'!H154="","",'Brut ajusté'!H154)</f>
        <v/>
      </c>
      <c r="I154" s="33">
        <f>IF('Brut ajusté'!I154="","",'Brut ajusté'!I154)</f>
        <v/>
      </c>
      <c r="J154" s="33">
        <f>IF('Brut ajusté'!J154="","",IF($B154&lt;BIP_date,'Brut ajusté'!J154/BIP_facteur,'Brut ajusté'!J154))</f>
        <v/>
      </c>
      <c r="K154" s="33">
        <f>IF('Brut ajusté'!K154="","",'Brut ajusté'!K154)</f>
        <v/>
      </c>
      <c r="L154" s="33">
        <f>IF('Brut ajusté'!L154="","",'Brut ajusté'!L154)</f>
        <v/>
      </c>
      <c r="M154" s="33">
        <f>IF('Brut ajusté'!M154="","",'Brut ajusté'!M154)</f>
        <v/>
      </c>
      <c r="N154" s="33">
        <f>IF('Brut ajusté'!N154="","",'Brut ajusté'!N154)</f>
        <v/>
      </c>
      <c r="O154" s="33">
        <f>IF('Brut ajusté'!O154="","",'Brut ajusté'!O154)</f>
        <v/>
      </c>
      <c r="P154" s="33">
        <f>IF('Brut ajusté'!P154="","",'Brut ajusté'!P154)</f>
        <v/>
      </c>
    </row>
    <row r="155">
      <c r="B155" s="32">
        <f>'Brut ajusté'!B155</f>
        <v/>
      </c>
      <c r="C155" s="33">
        <f>IF('Brut ajusté'!C155="","",'Brut ajusté'!C155)</f>
        <v/>
      </c>
      <c r="D155" s="33">
        <f>IF(OR('Brut ajusté'!D155="",$B155&lt;INFR_debut),"",'Brut ajusté'!D155)</f>
        <v/>
      </c>
      <c r="E155" s="33">
        <f>IF('Brut ajusté'!E155="","",'Brut ajusté'!E155)</f>
        <v/>
      </c>
      <c r="F155" s="33">
        <f>IF('Brut ajusté'!F155="","",'Brut ajusté'!F155)</f>
        <v/>
      </c>
      <c r="G155" s="33">
        <f>IF('Brut ajusté'!G155="","",'Brut ajusté'!G155)</f>
        <v/>
      </c>
      <c r="H155" s="33">
        <f>IF('Brut ajusté'!H155="","",'Brut ajusté'!H155)</f>
        <v/>
      </c>
      <c r="I155" s="33">
        <f>IF('Brut ajusté'!I155="","",'Brut ajusté'!I155)</f>
        <v/>
      </c>
      <c r="J155" s="33">
        <f>IF('Brut ajusté'!J155="","",IF($B155&lt;BIP_date,'Brut ajusté'!J155/BIP_facteur,'Brut ajusté'!J155))</f>
        <v/>
      </c>
      <c r="K155" s="33">
        <f>IF('Brut ajusté'!K155="","",'Brut ajusté'!K155)</f>
        <v/>
      </c>
      <c r="L155" s="33">
        <f>IF('Brut ajusté'!L155="","",'Brut ajusté'!L155)</f>
        <v/>
      </c>
      <c r="M155" s="33">
        <f>IF('Brut ajusté'!M155="","",'Brut ajusté'!M155)</f>
        <v/>
      </c>
      <c r="N155" s="33">
        <f>IF('Brut ajusté'!N155="","",'Brut ajusté'!N155)</f>
        <v/>
      </c>
      <c r="O155" s="33">
        <f>IF('Brut ajusté'!O155="","",'Brut ajusté'!O155)</f>
        <v/>
      </c>
      <c r="P155" s="33">
        <f>IF('Brut ajusté'!P155="","",'Brut ajusté'!P155)</f>
        <v/>
      </c>
    </row>
    <row r="156">
      <c r="B156" s="32">
        <f>'Brut ajusté'!B156</f>
        <v/>
      </c>
      <c r="C156" s="33">
        <f>IF('Brut ajusté'!C156="","",'Brut ajusté'!C156)</f>
        <v/>
      </c>
      <c r="D156" s="33">
        <f>IF(OR('Brut ajusté'!D156="",$B156&lt;INFR_debut),"",'Brut ajusté'!D156)</f>
        <v/>
      </c>
      <c r="E156" s="33">
        <f>IF('Brut ajusté'!E156="","",'Brut ajusté'!E156)</f>
        <v/>
      </c>
      <c r="F156" s="33">
        <f>IF('Brut ajusté'!F156="","",'Brut ajusté'!F156)</f>
        <v/>
      </c>
      <c r="G156" s="33">
        <f>IF('Brut ajusté'!G156="","",'Brut ajusté'!G156)</f>
        <v/>
      </c>
      <c r="H156" s="33">
        <f>IF('Brut ajusté'!H156="","",'Brut ajusté'!H156)</f>
        <v/>
      </c>
      <c r="I156" s="33">
        <f>IF('Brut ajusté'!I156="","",'Brut ajusté'!I156)</f>
        <v/>
      </c>
      <c r="J156" s="33">
        <f>IF('Brut ajusté'!J156="","",IF($B156&lt;BIP_date,'Brut ajusté'!J156/BIP_facteur,'Brut ajusté'!J156))</f>
        <v/>
      </c>
      <c r="K156" s="33">
        <f>IF('Brut ajusté'!K156="","",'Brut ajusté'!K156)</f>
        <v/>
      </c>
      <c r="L156" s="33">
        <f>IF('Brut ajusté'!L156="","",'Brut ajusté'!L156)</f>
        <v/>
      </c>
      <c r="M156" s="33">
        <f>IF('Brut ajusté'!M156="","",'Brut ajusté'!M156)</f>
        <v/>
      </c>
      <c r="N156" s="33">
        <f>IF('Brut ajusté'!N156="","",'Brut ajusté'!N156)</f>
        <v/>
      </c>
      <c r="O156" s="33">
        <f>IF('Brut ajusté'!O156="","",'Brut ajusté'!O156)</f>
        <v/>
      </c>
      <c r="P156" s="33">
        <f>IF('Brut ajusté'!P156="","",'Brut ajusté'!P156)</f>
        <v/>
      </c>
    </row>
    <row r="157">
      <c r="B157" s="32">
        <f>'Brut ajusté'!B157</f>
        <v/>
      </c>
      <c r="C157" s="33">
        <f>IF('Brut ajusté'!C157="","",'Brut ajusté'!C157)</f>
        <v/>
      </c>
      <c r="D157" s="33">
        <f>IF(OR('Brut ajusté'!D157="",$B157&lt;INFR_debut),"",'Brut ajusté'!D157)</f>
        <v/>
      </c>
      <c r="E157" s="33">
        <f>IF('Brut ajusté'!E157="","",'Brut ajusté'!E157)</f>
        <v/>
      </c>
      <c r="F157" s="33">
        <f>IF('Brut ajusté'!F157="","",'Brut ajusté'!F157)</f>
        <v/>
      </c>
      <c r="G157" s="33">
        <f>IF('Brut ajusté'!G157="","",'Brut ajusté'!G157)</f>
        <v/>
      </c>
      <c r="H157" s="33">
        <f>IF('Brut ajusté'!H157="","",'Brut ajusté'!H157)</f>
        <v/>
      </c>
      <c r="I157" s="33">
        <f>IF('Brut ajusté'!I157="","",'Brut ajusté'!I157)</f>
        <v/>
      </c>
      <c r="J157" s="33">
        <f>IF('Brut ajusté'!J157="","",IF($B157&lt;BIP_date,'Brut ajusté'!J157/BIP_facteur,'Brut ajusté'!J157))</f>
        <v/>
      </c>
      <c r="K157" s="33">
        <f>IF('Brut ajusté'!K157="","",'Brut ajusté'!K157)</f>
        <v/>
      </c>
      <c r="L157" s="33">
        <f>IF('Brut ajusté'!L157="","",'Brut ajusté'!L157)</f>
        <v/>
      </c>
      <c r="M157" s="33">
        <f>IF('Brut ajusté'!M157="","",'Brut ajusté'!M157)</f>
        <v/>
      </c>
      <c r="N157" s="33">
        <f>IF('Brut ajusté'!N157="","",'Brut ajusté'!N157)</f>
        <v/>
      </c>
      <c r="O157" s="33">
        <f>IF('Brut ajusté'!O157="","",'Brut ajusté'!O157)</f>
        <v/>
      </c>
      <c r="P157" s="33">
        <f>IF('Brut ajusté'!P157="","",'Brut ajusté'!P157)</f>
        <v/>
      </c>
    </row>
    <row r="158">
      <c r="B158" s="32">
        <f>'Brut ajusté'!B158</f>
        <v/>
      </c>
      <c r="C158" s="33">
        <f>IF('Brut ajusté'!C158="","",'Brut ajusté'!C158)</f>
        <v/>
      </c>
      <c r="D158" s="33">
        <f>IF(OR('Brut ajusté'!D158="",$B158&lt;INFR_debut),"",'Brut ajusté'!D158)</f>
        <v/>
      </c>
      <c r="E158" s="33">
        <f>IF('Brut ajusté'!E158="","",'Brut ajusté'!E158)</f>
        <v/>
      </c>
      <c r="F158" s="33">
        <f>IF('Brut ajusté'!F158="","",'Brut ajusté'!F158)</f>
        <v/>
      </c>
      <c r="G158" s="33">
        <f>IF('Brut ajusté'!G158="","",'Brut ajusté'!G158)</f>
        <v/>
      </c>
      <c r="H158" s="33">
        <f>IF('Brut ajusté'!H158="","",'Brut ajusté'!H158)</f>
        <v/>
      </c>
      <c r="I158" s="33">
        <f>IF('Brut ajusté'!I158="","",'Brut ajusté'!I158)</f>
        <v/>
      </c>
      <c r="J158" s="33">
        <f>IF('Brut ajusté'!J158="","",IF($B158&lt;BIP_date,'Brut ajusté'!J158/BIP_facteur,'Brut ajusté'!J158))</f>
        <v/>
      </c>
      <c r="K158" s="33">
        <f>IF('Brut ajusté'!K158="","",'Brut ajusté'!K158)</f>
        <v/>
      </c>
      <c r="L158" s="33">
        <f>IF('Brut ajusté'!L158="","",'Brut ajusté'!L158)</f>
        <v/>
      </c>
      <c r="M158" s="33">
        <f>IF('Brut ajusté'!M158="","",'Brut ajusté'!M158)</f>
        <v/>
      </c>
      <c r="N158" s="33">
        <f>IF('Brut ajusté'!N158="","",'Brut ajusté'!N158)</f>
        <v/>
      </c>
      <c r="O158" s="33">
        <f>IF('Brut ajusté'!O158="","",'Brut ajusté'!O158)</f>
        <v/>
      </c>
      <c r="P158" s="33">
        <f>IF('Brut ajusté'!P158="","",'Brut ajusté'!P158)</f>
        <v/>
      </c>
    </row>
    <row r="159">
      <c r="B159" s="32">
        <f>'Brut ajusté'!B159</f>
        <v/>
      </c>
      <c r="C159" s="33">
        <f>IF('Brut ajusté'!C159="","",'Brut ajusté'!C159)</f>
        <v/>
      </c>
      <c r="D159" s="33">
        <f>IF(OR('Brut ajusté'!D159="",$B159&lt;INFR_debut),"",'Brut ajusté'!D159)</f>
        <v/>
      </c>
      <c r="E159" s="33">
        <f>IF('Brut ajusté'!E159="","",'Brut ajusté'!E159)</f>
        <v/>
      </c>
      <c r="F159" s="33">
        <f>IF('Brut ajusté'!F159="","",'Brut ajusté'!F159)</f>
        <v/>
      </c>
      <c r="G159" s="33">
        <f>IF('Brut ajusté'!G159="","",'Brut ajusté'!G159)</f>
        <v/>
      </c>
      <c r="H159" s="33">
        <f>IF('Brut ajusté'!H159="","",'Brut ajusté'!H159)</f>
        <v/>
      </c>
      <c r="I159" s="33">
        <f>IF('Brut ajusté'!I159="","",'Brut ajusté'!I159)</f>
        <v/>
      </c>
      <c r="J159" s="33">
        <f>IF('Brut ajusté'!J159="","",IF($B159&lt;BIP_date,'Brut ajusté'!J159/BIP_facteur,'Brut ajusté'!J159))</f>
        <v/>
      </c>
      <c r="K159" s="33">
        <f>IF('Brut ajusté'!K159="","",'Brut ajusté'!K159)</f>
        <v/>
      </c>
      <c r="L159" s="33">
        <f>IF('Brut ajusté'!L159="","",'Brut ajusté'!L159)</f>
        <v/>
      </c>
      <c r="M159" s="33">
        <f>IF('Brut ajusté'!M159="","",'Brut ajusté'!M159)</f>
        <v/>
      </c>
      <c r="N159" s="33">
        <f>IF('Brut ajusté'!N159="","",'Brut ajusté'!N159)</f>
        <v/>
      </c>
      <c r="O159" s="33">
        <f>IF('Brut ajusté'!O159="","",'Brut ajusté'!O159)</f>
        <v/>
      </c>
      <c r="P159" s="33">
        <f>IF('Brut ajusté'!P159="","",'Brut ajusté'!P159)</f>
        <v/>
      </c>
    </row>
    <row r="160">
      <c r="B160" s="32">
        <f>'Brut ajusté'!B160</f>
        <v/>
      </c>
      <c r="C160" s="33">
        <f>IF('Brut ajusté'!C160="","",'Brut ajusté'!C160)</f>
        <v/>
      </c>
      <c r="D160" s="33">
        <f>IF(OR('Brut ajusté'!D160="",$B160&lt;INFR_debut),"",'Brut ajusté'!D160)</f>
        <v/>
      </c>
      <c r="E160" s="33">
        <f>IF('Brut ajusté'!E160="","",'Brut ajusté'!E160)</f>
        <v/>
      </c>
      <c r="F160" s="33">
        <f>IF('Brut ajusté'!F160="","",'Brut ajusté'!F160)</f>
        <v/>
      </c>
      <c r="G160" s="33">
        <f>IF('Brut ajusté'!G160="","",'Brut ajusté'!G160)</f>
        <v/>
      </c>
      <c r="H160" s="33">
        <f>IF('Brut ajusté'!H160="","",'Brut ajusté'!H160)</f>
        <v/>
      </c>
      <c r="I160" s="33">
        <f>IF('Brut ajusté'!I160="","",'Brut ajusté'!I160)</f>
        <v/>
      </c>
      <c r="J160" s="33">
        <f>IF('Brut ajusté'!J160="","",IF($B160&lt;BIP_date,'Brut ajusté'!J160/BIP_facteur,'Brut ajusté'!J160))</f>
        <v/>
      </c>
      <c r="K160" s="33">
        <f>IF('Brut ajusté'!K160="","",'Brut ajusté'!K160)</f>
        <v/>
      </c>
      <c r="L160" s="33">
        <f>IF('Brut ajusté'!L160="","",'Brut ajusté'!L160)</f>
        <v/>
      </c>
      <c r="M160" s="33">
        <f>IF('Brut ajusté'!M160="","",'Brut ajusté'!M160)</f>
        <v/>
      </c>
      <c r="N160" s="33">
        <f>IF('Brut ajusté'!N160="","",'Brut ajusté'!N160)</f>
        <v/>
      </c>
      <c r="O160" s="33">
        <f>IF('Brut ajusté'!O160="","",'Brut ajusté'!O160)</f>
        <v/>
      </c>
      <c r="P160" s="33">
        <f>IF('Brut ajusté'!P160="","",'Brut ajusté'!P160)</f>
        <v/>
      </c>
    </row>
    <row r="161">
      <c r="B161" s="32">
        <f>'Brut ajusté'!B161</f>
        <v/>
      </c>
      <c r="C161" s="33">
        <f>IF('Brut ajusté'!C161="","",'Brut ajusté'!C161)</f>
        <v/>
      </c>
      <c r="D161" s="33">
        <f>IF(OR('Brut ajusté'!D161="",$B161&lt;INFR_debut),"",'Brut ajusté'!D161)</f>
        <v/>
      </c>
      <c r="E161" s="33">
        <f>IF('Brut ajusté'!E161="","",'Brut ajusté'!E161)</f>
        <v/>
      </c>
      <c r="F161" s="33">
        <f>IF('Brut ajusté'!F161="","",'Brut ajusté'!F161)</f>
        <v/>
      </c>
      <c r="G161" s="33">
        <f>IF('Brut ajusté'!G161="","",'Brut ajusté'!G161)</f>
        <v/>
      </c>
      <c r="H161" s="33">
        <f>IF('Brut ajusté'!H161="","",'Brut ajusté'!H161)</f>
        <v/>
      </c>
      <c r="I161" s="33">
        <f>IF('Brut ajusté'!I161="","",'Brut ajusté'!I161)</f>
        <v/>
      </c>
      <c r="J161" s="33">
        <f>IF('Brut ajusté'!J161="","",IF($B161&lt;BIP_date,'Brut ajusté'!J161/BIP_facteur,'Brut ajusté'!J161))</f>
        <v/>
      </c>
      <c r="K161" s="33">
        <f>IF('Brut ajusté'!K161="","",'Brut ajusté'!K161)</f>
        <v/>
      </c>
      <c r="L161" s="33">
        <f>IF('Brut ajusté'!L161="","",'Brut ajusté'!L161)</f>
        <v/>
      </c>
      <c r="M161" s="33">
        <f>IF('Brut ajusté'!M161="","",'Brut ajusté'!M161)</f>
        <v/>
      </c>
      <c r="N161" s="33">
        <f>IF('Brut ajusté'!N161="","",'Brut ajusté'!N161)</f>
        <v/>
      </c>
      <c r="O161" s="33">
        <f>IF('Brut ajusté'!O161="","",'Brut ajusté'!O161)</f>
        <v/>
      </c>
      <c r="P161" s="33">
        <f>IF('Brut ajusté'!P161="","",'Brut ajusté'!P161)</f>
        <v/>
      </c>
    </row>
    <row r="162">
      <c r="B162" s="32">
        <f>'Brut ajusté'!B162</f>
        <v/>
      </c>
      <c r="C162" s="33">
        <f>IF('Brut ajusté'!C162="","",'Brut ajusté'!C162)</f>
        <v/>
      </c>
      <c r="D162" s="33">
        <f>IF(OR('Brut ajusté'!D162="",$B162&lt;INFR_debut),"",'Brut ajusté'!D162)</f>
        <v/>
      </c>
      <c r="E162" s="33">
        <f>IF('Brut ajusté'!E162="","",'Brut ajusté'!E162)</f>
        <v/>
      </c>
      <c r="F162" s="33">
        <f>IF('Brut ajusté'!F162="","",'Brut ajusté'!F162)</f>
        <v/>
      </c>
      <c r="G162" s="33">
        <f>IF('Brut ajusté'!G162="","",'Brut ajusté'!G162)</f>
        <v/>
      </c>
      <c r="H162" s="33">
        <f>IF('Brut ajusté'!H162="","",'Brut ajusté'!H162)</f>
        <v/>
      </c>
      <c r="I162" s="33">
        <f>IF('Brut ajusté'!I162="","",'Brut ajusté'!I162)</f>
        <v/>
      </c>
      <c r="J162" s="33">
        <f>IF('Brut ajusté'!J162="","",IF($B162&lt;BIP_date,'Brut ajusté'!J162/BIP_facteur,'Brut ajusté'!J162))</f>
        <v/>
      </c>
      <c r="K162" s="33">
        <f>IF('Brut ajusté'!K162="","",'Brut ajusté'!K162)</f>
        <v/>
      </c>
      <c r="L162" s="33">
        <f>IF('Brut ajusté'!L162="","",'Brut ajusté'!L162)</f>
        <v/>
      </c>
      <c r="M162" s="33">
        <f>IF('Brut ajusté'!M162="","",'Brut ajusté'!M162)</f>
        <v/>
      </c>
      <c r="N162" s="33">
        <f>IF('Brut ajusté'!N162="","",'Brut ajusté'!N162)</f>
        <v/>
      </c>
      <c r="O162" s="33">
        <f>IF('Brut ajusté'!O162="","",'Brut ajusté'!O162)</f>
        <v/>
      </c>
      <c r="P162" s="33">
        <f>IF('Brut ajusté'!P162="","",'Brut ajusté'!P162)</f>
        <v/>
      </c>
    </row>
    <row r="163">
      <c r="B163" s="32">
        <f>'Brut ajusté'!B163</f>
        <v/>
      </c>
      <c r="C163" s="33">
        <f>IF('Brut ajusté'!C163="","",'Brut ajusté'!C163)</f>
        <v/>
      </c>
      <c r="D163" s="33">
        <f>IF(OR('Brut ajusté'!D163="",$B163&lt;INFR_debut),"",'Brut ajusté'!D163)</f>
        <v/>
      </c>
      <c r="E163" s="33">
        <f>IF('Brut ajusté'!E163="","",'Brut ajusté'!E163)</f>
        <v/>
      </c>
      <c r="F163" s="33">
        <f>IF('Brut ajusté'!F163="","",'Brut ajusté'!F163)</f>
        <v/>
      </c>
      <c r="G163" s="33">
        <f>IF('Brut ajusté'!G163="","",'Brut ajusté'!G163)</f>
        <v/>
      </c>
      <c r="H163" s="33">
        <f>IF('Brut ajusté'!H163="","",'Brut ajusté'!H163)</f>
        <v/>
      </c>
      <c r="I163" s="33">
        <f>IF('Brut ajusté'!I163="","",'Brut ajusté'!I163)</f>
        <v/>
      </c>
      <c r="J163" s="33">
        <f>IF('Brut ajusté'!J163="","",IF($B163&lt;BIP_date,'Brut ajusté'!J163/BIP_facteur,'Brut ajusté'!J163))</f>
        <v/>
      </c>
      <c r="K163" s="33">
        <f>IF('Brut ajusté'!K163="","",'Brut ajusté'!K163)</f>
        <v/>
      </c>
      <c r="L163" s="33">
        <f>IF('Brut ajusté'!L163="","",'Brut ajusté'!L163)</f>
        <v/>
      </c>
      <c r="M163" s="33">
        <f>IF('Brut ajusté'!M163="","",'Brut ajusté'!M163)</f>
        <v/>
      </c>
      <c r="N163" s="33">
        <f>IF('Brut ajusté'!N163="","",'Brut ajusté'!N163)</f>
        <v/>
      </c>
      <c r="O163" s="33">
        <f>IF('Brut ajusté'!O163="","",'Brut ajusté'!O163)</f>
        <v/>
      </c>
      <c r="P163" s="33">
        <f>IF('Brut ajusté'!P163="","",'Brut ajusté'!P163)</f>
        <v/>
      </c>
    </row>
    <row r="164">
      <c r="B164" s="32">
        <f>'Brut ajusté'!B164</f>
        <v/>
      </c>
      <c r="C164" s="33">
        <f>IF('Brut ajusté'!C164="","",'Brut ajusté'!C164)</f>
        <v/>
      </c>
      <c r="D164" s="33">
        <f>IF(OR('Brut ajusté'!D164="",$B164&lt;INFR_debut),"",'Brut ajusté'!D164)</f>
        <v/>
      </c>
      <c r="E164" s="33">
        <f>IF('Brut ajusté'!E164="","",'Brut ajusté'!E164)</f>
        <v/>
      </c>
      <c r="F164" s="33">
        <f>IF('Brut ajusté'!F164="","",'Brut ajusté'!F164)</f>
        <v/>
      </c>
      <c r="G164" s="33">
        <f>IF('Brut ajusté'!G164="","",'Brut ajusté'!G164)</f>
        <v/>
      </c>
      <c r="H164" s="33">
        <f>IF('Brut ajusté'!H164="","",'Brut ajusté'!H164)</f>
        <v/>
      </c>
      <c r="I164" s="33">
        <f>IF('Brut ajusté'!I164="","",'Brut ajusté'!I164)</f>
        <v/>
      </c>
      <c r="J164" s="33">
        <f>IF('Brut ajusté'!J164="","",IF($B164&lt;BIP_date,'Brut ajusté'!J164/BIP_facteur,'Brut ajusté'!J164))</f>
        <v/>
      </c>
      <c r="K164" s="33">
        <f>IF('Brut ajusté'!K164="","",'Brut ajusté'!K164)</f>
        <v/>
      </c>
      <c r="L164" s="33">
        <f>IF('Brut ajusté'!L164="","",'Brut ajusté'!L164)</f>
        <v/>
      </c>
      <c r="M164" s="33">
        <f>IF('Brut ajusté'!M164="","",'Brut ajusté'!M164)</f>
        <v/>
      </c>
      <c r="N164" s="33">
        <f>IF('Brut ajusté'!N164="","",'Brut ajusté'!N164)</f>
        <v/>
      </c>
      <c r="O164" s="33">
        <f>IF('Brut ajusté'!O164="","",'Brut ajusté'!O164)</f>
        <v/>
      </c>
      <c r="P164" s="33">
        <f>IF('Brut ajusté'!P164="","",'Brut ajusté'!P164)</f>
        <v/>
      </c>
    </row>
    <row r="165">
      <c r="B165" s="32">
        <f>'Brut ajusté'!B165</f>
        <v/>
      </c>
      <c r="C165" s="33">
        <f>IF('Brut ajusté'!C165="","",'Brut ajusté'!C165)</f>
        <v/>
      </c>
      <c r="D165" s="33">
        <f>IF(OR('Brut ajusté'!D165="",$B165&lt;INFR_debut),"",'Brut ajusté'!D165)</f>
        <v/>
      </c>
      <c r="E165" s="33">
        <f>IF('Brut ajusté'!E165="","",'Brut ajusté'!E165)</f>
        <v/>
      </c>
      <c r="F165" s="33">
        <f>IF('Brut ajusté'!F165="","",'Brut ajusté'!F165)</f>
        <v/>
      </c>
      <c r="G165" s="33">
        <f>IF('Brut ajusté'!G165="","",'Brut ajusté'!G165)</f>
        <v/>
      </c>
      <c r="H165" s="33">
        <f>IF('Brut ajusté'!H165="","",'Brut ajusté'!H165)</f>
        <v/>
      </c>
      <c r="I165" s="33">
        <f>IF('Brut ajusté'!I165="","",'Brut ajusté'!I165)</f>
        <v/>
      </c>
      <c r="J165" s="33">
        <f>IF('Brut ajusté'!J165="","",IF($B165&lt;BIP_date,'Brut ajusté'!J165/BIP_facteur,'Brut ajusté'!J165))</f>
        <v/>
      </c>
      <c r="K165" s="33">
        <f>IF('Brut ajusté'!K165="","",'Brut ajusté'!K165)</f>
        <v/>
      </c>
      <c r="L165" s="33">
        <f>IF('Brut ajusté'!L165="","",'Brut ajusté'!L165)</f>
        <v/>
      </c>
      <c r="M165" s="33">
        <f>IF('Brut ajusté'!M165="","",'Brut ajusté'!M165)</f>
        <v/>
      </c>
      <c r="N165" s="33">
        <f>IF('Brut ajusté'!N165="","",'Brut ajusté'!N165)</f>
        <v/>
      </c>
      <c r="O165" s="33">
        <f>IF('Brut ajusté'!O165="","",'Brut ajusté'!O165)</f>
        <v/>
      </c>
      <c r="P165" s="33">
        <f>IF('Brut ajusté'!P165="","",'Brut ajusté'!P165)</f>
        <v/>
      </c>
    </row>
    <row r="166">
      <c r="B166" s="32">
        <f>'Brut ajusté'!B166</f>
        <v/>
      </c>
      <c r="C166" s="33">
        <f>IF('Brut ajusté'!C166="","",'Brut ajusté'!C166)</f>
        <v/>
      </c>
      <c r="D166" s="33">
        <f>IF(OR('Brut ajusté'!D166="",$B166&lt;INFR_debut),"",'Brut ajusté'!D166)</f>
        <v/>
      </c>
      <c r="E166" s="33">
        <f>IF('Brut ajusté'!E166="","",'Brut ajusté'!E166)</f>
        <v/>
      </c>
      <c r="F166" s="33">
        <f>IF('Brut ajusté'!F166="","",'Brut ajusté'!F166)</f>
        <v/>
      </c>
      <c r="G166" s="33">
        <f>IF('Brut ajusté'!G166="","",'Brut ajusté'!G166)</f>
        <v/>
      </c>
      <c r="H166" s="33">
        <f>IF('Brut ajusté'!H166="","",'Brut ajusté'!H166)</f>
        <v/>
      </c>
      <c r="I166" s="33">
        <f>IF('Brut ajusté'!I166="","",'Brut ajusté'!I166)</f>
        <v/>
      </c>
      <c r="J166" s="33">
        <f>IF('Brut ajusté'!J166="","",IF($B166&lt;BIP_date,'Brut ajusté'!J166/BIP_facteur,'Brut ajusté'!J166))</f>
        <v/>
      </c>
      <c r="K166" s="33">
        <f>IF('Brut ajusté'!K166="","",'Brut ajusté'!K166)</f>
        <v/>
      </c>
      <c r="L166" s="33">
        <f>IF('Brut ajusté'!L166="","",'Brut ajusté'!L166)</f>
        <v/>
      </c>
      <c r="M166" s="33">
        <f>IF('Brut ajusté'!M166="","",'Brut ajusté'!M166)</f>
        <v/>
      </c>
      <c r="N166" s="33">
        <f>IF('Brut ajusté'!N166="","",'Brut ajusté'!N166)</f>
        <v/>
      </c>
      <c r="O166" s="33">
        <f>IF('Brut ajusté'!O166="","",'Brut ajusté'!O166)</f>
        <v/>
      </c>
      <c r="P166" s="33">
        <f>IF('Brut ajusté'!P166="","",'Brut ajusté'!P166)</f>
        <v/>
      </c>
    </row>
    <row r="167">
      <c r="B167" s="32">
        <f>'Brut ajusté'!B167</f>
        <v/>
      </c>
      <c r="C167" s="33">
        <f>IF('Brut ajusté'!C167="","",'Brut ajusté'!C167)</f>
        <v/>
      </c>
      <c r="D167" s="33">
        <f>IF(OR('Brut ajusté'!D167="",$B167&lt;INFR_debut),"",'Brut ajusté'!D167)</f>
        <v/>
      </c>
      <c r="E167" s="33">
        <f>IF('Brut ajusté'!E167="","",'Brut ajusté'!E167)</f>
        <v/>
      </c>
      <c r="F167" s="33">
        <f>IF('Brut ajusté'!F167="","",'Brut ajusté'!F167)</f>
        <v/>
      </c>
      <c r="G167" s="33">
        <f>IF('Brut ajusté'!G167="","",'Brut ajusté'!G167)</f>
        <v/>
      </c>
      <c r="H167" s="33">
        <f>IF('Brut ajusté'!H167="","",'Brut ajusté'!H167)</f>
        <v/>
      </c>
      <c r="I167" s="33">
        <f>IF('Brut ajusté'!I167="","",'Brut ajusté'!I167)</f>
        <v/>
      </c>
      <c r="J167" s="33">
        <f>IF('Brut ajusté'!J167="","",IF($B167&lt;BIP_date,'Brut ajusté'!J167/BIP_facteur,'Brut ajusté'!J167))</f>
        <v/>
      </c>
      <c r="K167" s="33">
        <f>IF('Brut ajusté'!K167="","",'Brut ajusté'!K167)</f>
        <v/>
      </c>
      <c r="L167" s="33">
        <f>IF('Brut ajusté'!L167="","",'Brut ajusté'!L167)</f>
        <v/>
      </c>
      <c r="M167" s="33">
        <f>IF('Brut ajusté'!M167="","",'Brut ajusté'!M167)</f>
        <v/>
      </c>
      <c r="N167" s="33">
        <f>IF('Brut ajusté'!N167="","",'Brut ajusté'!N167)</f>
        <v/>
      </c>
      <c r="O167" s="33">
        <f>IF('Brut ajusté'!O167="","",'Brut ajusté'!O167)</f>
        <v/>
      </c>
      <c r="P167" s="33">
        <f>IF('Brut ajusté'!P167="","",'Brut ajusté'!P167)</f>
        <v/>
      </c>
    </row>
    <row r="168">
      <c r="B168" s="32">
        <f>'Brut ajusté'!B168</f>
        <v/>
      </c>
      <c r="C168" s="33">
        <f>IF('Brut ajusté'!C168="","",'Brut ajusté'!C168)</f>
        <v/>
      </c>
      <c r="D168" s="33">
        <f>IF(OR('Brut ajusté'!D168="",$B168&lt;INFR_debut),"",'Brut ajusté'!D168)</f>
        <v/>
      </c>
      <c r="E168" s="33">
        <f>IF('Brut ajusté'!E168="","",'Brut ajusté'!E168)</f>
        <v/>
      </c>
      <c r="F168" s="33">
        <f>IF('Brut ajusté'!F168="","",'Brut ajusté'!F168)</f>
        <v/>
      </c>
      <c r="G168" s="33">
        <f>IF('Brut ajusté'!G168="","",'Brut ajusté'!G168)</f>
        <v/>
      </c>
      <c r="H168" s="33">
        <f>IF('Brut ajusté'!H168="","",'Brut ajusté'!H168)</f>
        <v/>
      </c>
      <c r="I168" s="33">
        <f>IF('Brut ajusté'!I168="","",'Brut ajusté'!I168)</f>
        <v/>
      </c>
      <c r="J168" s="33">
        <f>IF('Brut ajusté'!J168="","",IF($B168&lt;BIP_date,'Brut ajusté'!J168/BIP_facteur,'Brut ajusté'!J168))</f>
        <v/>
      </c>
      <c r="K168" s="33">
        <f>IF('Brut ajusté'!K168="","",'Brut ajusté'!K168)</f>
        <v/>
      </c>
      <c r="L168" s="33">
        <f>IF('Brut ajusté'!L168="","",'Brut ajusté'!L168)</f>
        <v/>
      </c>
      <c r="M168" s="33">
        <f>IF('Brut ajusté'!M168="","",'Brut ajusté'!M168)</f>
        <v/>
      </c>
      <c r="N168" s="33">
        <f>IF('Brut ajusté'!N168="","",'Brut ajusté'!N168)</f>
        <v/>
      </c>
      <c r="O168" s="33">
        <f>IF('Brut ajusté'!O168="","",'Brut ajusté'!O168)</f>
        <v/>
      </c>
      <c r="P168" s="33">
        <f>IF('Brut ajusté'!P168="","",'Brut ajusté'!P168)</f>
        <v/>
      </c>
    </row>
    <row r="169">
      <c r="B169" s="32">
        <f>'Brut ajusté'!B169</f>
        <v/>
      </c>
      <c r="C169" s="33">
        <f>IF('Brut ajusté'!C169="","",'Brut ajusté'!C169)</f>
        <v/>
      </c>
      <c r="D169" s="33">
        <f>IF(OR('Brut ajusté'!D169="",$B169&lt;INFR_debut),"",'Brut ajusté'!D169)</f>
        <v/>
      </c>
      <c r="E169" s="33">
        <f>IF('Brut ajusté'!E169="","",'Brut ajusté'!E169)</f>
        <v/>
      </c>
      <c r="F169" s="33">
        <f>IF('Brut ajusté'!F169="","",'Brut ajusté'!F169)</f>
        <v/>
      </c>
      <c r="G169" s="33">
        <f>IF('Brut ajusté'!G169="","",'Brut ajusté'!G169)</f>
        <v/>
      </c>
      <c r="H169" s="33">
        <f>IF('Brut ajusté'!H169="","",'Brut ajusté'!H169)</f>
        <v/>
      </c>
      <c r="I169" s="33">
        <f>IF('Brut ajusté'!I169="","",'Brut ajusté'!I169)</f>
        <v/>
      </c>
      <c r="J169" s="33">
        <f>IF('Brut ajusté'!J169="","",IF($B169&lt;BIP_date,'Brut ajusté'!J169/BIP_facteur,'Brut ajusté'!J169))</f>
        <v/>
      </c>
      <c r="K169" s="33">
        <f>IF('Brut ajusté'!K169="","",'Brut ajusté'!K169)</f>
        <v/>
      </c>
      <c r="L169" s="33">
        <f>IF('Brut ajusté'!L169="","",'Brut ajusté'!L169)</f>
        <v/>
      </c>
      <c r="M169" s="33">
        <f>IF('Brut ajusté'!M169="","",'Brut ajusté'!M169)</f>
        <v/>
      </c>
      <c r="N169" s="33">
        <f>IF('Brut ajusté'!N169="","",'Brut ajusté'!N169)</f>
        <v/>
      </c>
      <c r="O169" s="33">
        <f>IF('Brut ajusté'!O169="","",'Brut ajusté'!O169)</f>
        <v/>
      </c>
      <c r="P169" s="33">
        <f>IF('Brut ajusté'!P169="","",'Brut ajusté'!P169)</f>
        <v/>
      </c>
    </row>
    <row r="170">
      <c r="B170" s="32">
        <f>'Brut ajusté'!B170</f>
        <v/>
      </c>
      <c r="C170" s="33">
        <f>IF('Brut ajusté'!C170="","",'Brut ajusté'!C170)</f>
        <v/>
      </c>
      <c r="D170" s="33">
        <f>IF(OR('Brut ajusté'!D170="",$B170&lt;INFR_debut),"",'Brut ajusté'!D170)</f>
        <v/>
      </c>
      <c r="E170" s="33">
        <f>IF('Brut ajusté'!E170="","",'Brut ajusté'!E170)</f>
        <v/>
      </c>
      <c r="F170" s="33">
        <f>IF('Brut ajusté'!F170="","",'Brut ajusté'!F170)</f>
        <v/>
      </c>
      <c r="G170" s="33">
        <f>IF('Brut ajusté'!G170="","",'Brut ajusté'!G170)</f>
        <v/>
      </c>
      <c r="H170" s="33">
        <f>IF('Brut ajusté'!H170="","",'Brut ajusté'!H170)</f>
        <v/>
      </c>
      <c r="I170" s="33">
        <f>IF('Brut ajusté'!I170="","",'Brut ajusté'!I170)</f>
        <v/>
      </c>
      <c r="J170" s="33">
        <f>IF('Brut ajusté'!J170="","",IF($B170&lt;BIP_date,'Brut ajusté'!J170/BIP_facteur,'Brut ajusté'!J170))</f>
        <v/>
      </c>
      <c r="K170" s="33">
        <f>IF('Brut ajusté'!K170="","",'Brut ajusté'!K170)</f>
        <v/>
      </c>
      <c r="L170" s="33">
        <f>IF('Brut ajusté'!L170="","",'Brut ajusté'!L170)</f>
        <v/>
      </c>
      <c r="M170" s="33">
        <f>IF('Brut ajusté'!M170="","",'Brut ajusté'!M170)</f>
        <v/>
      </c>
      <c r="N170" s="33">
        <f>IF('Brut ajusté'!N170="","",'Brut ajusté'!N170)</f>
        <v/>
      </c>
      <c r="O170" s="33">
        <f>IF('Brut ajusté'!O170="","",'Brut ajusté'!O170)</f>
        <v/>
      </c>
      <c r="P170" s="33">
        <f>IF('Brut ajusté'!P170="","",'Brut ajusté'!P170)</f>
        <v/>
      </c>
    </row>
    <row r="171">
      <c r="B171" s="32">
        <f>'Brut ajusté'!B171</f>
        <v/>
      </c>
      <c r="C171" s="33">
        <f>IF('Brut ajusté'!C171="","",'Brut ajusté'!C171)</f>
        <v/>
      </c>
      <c r="D171" s="33">
        <f>IF(OR('Brut ajusté'!D171="",$B171&lt;INFR_debut),"",'Brut ajusté'!D171)</f>
        <v/>
      </c>
      <c r="E171" s="33">
        <f>IF('Brut ajusté'!E171="","",'Brut ajusté'!E171)</f>
        <v/>
      </c>
      <c r="F171" s="33">
        <f>IF('Brut ajusté'!F171="","",'Brut ajusté'!F171)</f>
        <v/>
      </c>
      <c r="G171" s="33">
        <f>IF('Brut ajusté'!G171="","",'Brut ajusté'!G171)</f>
        <v/>
      </c>
      <c r="H171" s="33">
        <f>IF('Brut ajusté'!H171="","",'Brut ajusté'!H171)</f>
        <v/>
      </c>
      <c r="I171" s="33">
        <f>IF('Brut ajusté'!I171="","",'Brut ajusté'!I171)</f>
        <v/>
      </c>
      <c r="J171" s="33">
        <f>IF('Brut ajusté'!J171="","",IF($B171&lt;BIP_date,'Brut ajusté'!J171/BIP_facteur,'Brut ajusté'!J171))</f>
        <v/>
      </c>
      <c r="K171" s="33">
        <f>IF('Brut ajusté'!K171="","",'Brut ajusté'!K171)</f>
        <v/>
      </c>
      <c r="L171" s="33">
        <f>IF('Brut ajusté'!L171="","",'Brut ajusté'!L171)</f>
        <v/>
      </c>
      <c r="M171" s="33">
        <f>IF('Brut ajusté'!M171="","",'Brut ajusté'!M171)</f>
        <v/>
      </c>
      <c r="N171" s="33">
        <f>IF('Brut ajusté'!N171="","",'Brut ajusté'!N171)</f>
        <v/>
      </c>
      <c r="O171" s="33">
        <f>IF('Brut ajusté'!O171="","",'Brut ajusté'!O171)</f>
        <v/>
      </c>
      <c r="P171" s="33">
        <f>IF('Brut ajusté'!P171="","",'Brut ajusté'!P171)</f>
        <v/>
      </c>
    </row>
    <row r="172">
      <c r="B172" s="32">
        <f>'Brut ajusté'!B172</f>
        <v/>
      </c>
      <c r="C172" s="33">
        <f>IF('Brut ajusté'!C172="","",'Brut ajusté'!C172)</f>
        <v/>
      </c>
      <c r="D172" s="33">
        <f>IF(OR('Brut ajusté'!D172="",$B172&lt;INFR_debut),"",'Brut ajusté'!D172)</f>
        <v/>
      </c>
      <c r="E172" s="33">
        <f>IF('Brut ajusté'!E172="","",'Brut ajusté'!E172)</f>
        <v/>
      </c>
      <c r="F172" s="33">
        <f>IF('Brut ajusté'!F172="","",'Brut ajusté'!F172)</f>
        <v/>
      </c>
      <c r="G172" s="33">
        <f>IF('Brut ajusté'!G172="","",'Brut ajusté'!G172)</f>
        <v/>
      </c>
      <c r="H172" s="33">
        <f>IF('Brut ajusté'!H172="","",'Brut ajusté'!H172)</f>
        <v/>
      </c>
      <c r="I172" s="33">
        <f>IF('Brut ajusté'!I172="","",'Brut ajusté'!I172)</f>
        <v/>
      </c>
      <c r="J172" s="33">
        <f>IF('Brut ajusté'!J172="","",IF($B172&lt;BIP_date,'Brut ajusté'!J172/BIP_facteur,'Brut ajusté'!J172))</f>
        <v/>
      </c>
      <c r="K172" s="33">
        <f>IF('Brut ajusté'!K172="","",'Brut ajusté'!K172)</f>
        <v/>
      </c>
      <c r="L172" s="33">
        <f>IF('Brut ajusté'!L172="","",'Brut ajusté'!L172)</f>
        <v/>
      </c>
      <c r="M172" s="33">
        <f>IF('Brut ajusté'!M172="","",'Brut ajusté'!M172)</f>
        <v/>
      </c>
      <c r="N172" s="33">
        <f>IF('Brut ajusté'!N172="","",'Brut ajusté'!N172)</f>
        <v/>
      </c>
      <c r="O172" s="33">
        <f>IF('Brut ajusté'!O172="","",'Brut ajusté'!O172)</f>
        <v/>
      </c>
      <c r="P172" s="33">
        <f>IF('Brut ajusté'!P172="","",'Brut ajusté'!P172)</f>
        <v/>
      </c>
    </row>
    <row r="173">
      <c r="B173" s="32">
        <f>'Brut ajusté'!B173</f>
        <v/>
      </c>
      <c r="C173" s="33">
        <f>IF('Brut ajusté'!C173="","",'Brut ajusté'!C173)</f>
        <v/>
      </c>
      <c r="D173" s="33">
        <f>IF(OR('Brut ajusté'!D173="",$B173&lt;INFR_debut),"",'Brut ajusté'!D173)</f>
        <v/>
      </c>
      <c r="E173" s="33">
        <f>IF('Brut ajusté'!E173="","",'Brut ajusté'!E173)</f>
        <v/>
      </c>
      <c r="F173" s="33">
        <f>IF('Brut ajusté'!F173="","",'Brut ajusté'!F173)</f>
        <v/>
      </c>
      <c r="G173" s="33">
        <f>IF('Brut ajusté'!G173="","",'Brut ajusté'!G173)</f>
        <v/>
      </c>
      <c r="H173" s="33">
        <f>IF('Brut ajusté'!H173="","",'Brut ajusté'!H173)</f>
        <v/>
      </c>
      <c r="I173" s="33">
        <f>IF('Brut ajusté'!I173="","",'Brut ajusté'!I173)</f>
        <v/>
      </c>
      <c r="J173" s="33">
        <f>IF('Brut ajusté'!J173="","",IF($B173&lt;BIP_date,'Brut ajusté'!J173/BIP_facteur,'Brut ajusté'!J173))</f>
        <v/>
      </c>
      <c r="K173" s="33">
        <f>IF('Brut ajusté'!K173="","",'Brut ajusté'!K173)</f>
        <v/>
      </c>
      <c r="L173" s="33">
        <f>IF('Brut ajusté'!L173="","",'Brut ajusté'!L173)</f>
        <v/>
      </c>
      <c r="M173" s="33">
        <f>IF('Brut ajusté'!M173="","",'Brut ajusté'!M173)</f>
        <v/>
      </c>
      <c r="N173" s="33">
        <f>IF('Brut ajusté'!N173="","",'Brut ajusté'!N173)</f>
        <v/>
      </c>
      <c r="O173" s="33">
        <f>IF('Brut ajusté'!O173="","",'Brut ajusté'!O173)</f>
        <v/>
      </c>
      <c r="P173" s="33">
        <f>IF('Brut ajusté'!P173="","",'Brut ajusté'!P173)</f>
        <v/>
      </c>
    </row>
    <row r="174">
      <c r="B174" s="32">
        <f>'Brut ajusté'!B174</f>
        <v/>
      </c>
      <c r="C174" s="33">
        <f>IF('Brut ajusté'!C174="","",'Brut ajusté'!C174)</f>
        <v/>
      </c>
      <c r="D174" s="33">
        <f>IF(OR('Brut ajusté'!D174="",$B174&lt;INFR_debut),"",'Brut ajusté'!D174)</f>
        <v/>
      </c>
      <c r="E174" s="33">
        <f>IF('Brut ajusté'!E174="","",'Brut ajusté'!E174)</f>
        <v/>
      </c>
      <c r="F174" s="33">
        <f>IF('Brut ajusté'!F174="","",'Brut ajusté'!F174)</f>
        <v/>
      </c>
      <c r="G174" s="33">
        <f>IF('Brut ajusté'!G174="","",'Brut ajusté'!G174)</f>
        <v/>
      </c>
      <c r="H174" s="33">
        <f>IF('Brut ajusté'!H174="","",'Brut ajusté'!H174)</f>
        <v/>
      </c>
      <c r="I174" s="33">
        <f>IF('Brut ajusté'!I174="","",'Brut ajusté'!I174)</f>
        <v/>
      </c>
      <c r="J174" s="33">
        <f>IF('Brut ajusté'!J174="","",IF($B174&lt;BIP_date,'Brut ajusté'!J174/BIP_facteur,'Brut ajusté'!J174))</f>
        <v/>
      </c>
      <c r="K174" s="33">
        <f>IF('Brut ajusté'!K174="","",'Brut ajusté'!K174)</f>
        <v/>
      </c>
      <c r="L174" s="33">
        <f>IF('Brut ajusté'!L174="","",'Brut ajusté'!L174)</f>
        <v/>
      </c>
      <c r="M174" s="33">
        <f>IF('Brut ajusté'!M174="","",'Brut ajusté'!M174)</f>
        <v/>
      </c>
      <c r="N174" s="33">
        <f>IF('Brut ajusté'!N174="","",'Brut ajusté'!N174)</f>
        <v/>
      </c>
      <c r="O174" s="33">
        <f>IF('Brut ajusté'!O174="","",'Brut ajusté'!O174)</f>
        <v/>
      </c>
      <c r="P174" s="33">
        <f>IF('Brut ajusté'!P174="","",'Brut ajusté'!P174)</f>
        <v/>
      </c>
    </row>
    <row r="175">
      <c r="B175" s="32">
        <f>'Brut ajusté'!B175</f>
        <v/>
      </c>
      <c r="C175" s="33">
        <f>IF('Brut ajusté'!C175="","",'Brut ajusté'!C175)</f>
        <v/>
      </c>
      <c r="D175" s="33">
        <f>IF(OR('Brut ajusté'!D175="",$B175&lt;INFR_debut),"",'Brut ajusté'!D175)</f>
        <v/>
      </c>
      <c r="E175" s="33">
        <f>IF('Brut ajusté'!E175="","",'Brut ajusté'!E175)</f>
        <v/>
      </c>
      <c r="F175" s="33">
        <f>IF('Brut ajusté'!F175="","",'Brut ajusté'!F175)</f>
        <v/>
      </c>
      <c r="G175" s="33">
        <f>IF('Brut ajusté'!G175="","",'Brut ajusté'!G175)</f>
        <v/>
      </c>
      <c r="H175" s="33">
        <f>IF('Brut ajusté'!H175="","",'Brut ajusté'!H175)</f>
        <v/>
      </c>
      <c r="I175" s="33">
        <f>IF('Brut ajusté'!I175="","",'Brut ajusté'!I175)</f>
        <v/>
      </c>
      <c r="J175" s="33">
        <f>IF('Brut ajusté'!J175="","",IF($B175&lt;BIP_date,'Brut ajusté'!J175/BIP_facteur,'Brut ajusté'!J175))</f>
        <v/>
      </c>
      <c r="K175" s="33">
        <f>IF('Brut ajusté'!K175="","",'Brut ajusté'!K175)</f>
        <v/>
      </c>
      <c r="L175" s="33">
        <f>IF('Brut ajusté'!L175="","",'Brut ajusté'!L175)</f>
        <v/>
      </c>
      <c r="M175" s="33">
        <f>IF('Brut ajusté'!M175="","",'Brut ajusté'!M175)</f>
        <v/>
      </c>
      <c r="N175" s="33">
        <f>IF('Brut ajusté'!N175="","",'Brut ajusté'!N175)</f>
        <v/>
      </c>
      <c r="O175" s="33">
        <f>IF('Brut ajusté'!O175="","",'Brut ajusté'!O175)</f>
        <v/>
      </c>
      <c r="P175" s="33">
        <f>IF('Brut ajusté'!P175="","",'Brut ajusté'!P175)</f>
        <v/>
      </c>
    </row>
    <row r="176">
      <c r="B176" s="32">
        <f>'Brut ajusté'!B176</f>
        <v/>
      </c>
      <c r="C176" s="33">
        <f>IF('Brut ajusté'!C176="","",'Brut ajusté'!C176)</f>
        <v/>
      </c>
      <c r="D176" s="33">
        <f>IF(OR('Brut ajusté'!D176="",$B176&lt;INFR_debut),"",'Brut ajusté'!D176)</f>
        <v/>
      </c>
      <c r="E176" s="33">
        <f>IF('Brut ajusté'!E176="","",'Brut ajusté'!E176)</f>
        <v/>
      </c>
      <c r="F176" s="33">
        <f>IF('Brut ajusté'!F176="","",'Brut ajusté'!F176)</f>
        <v/>
      </c>
      <c r="G176" s="33">
        <f>IF('Brut ajusté'!G176="","",'Brut ajusté'!G176)</f>
        <v/>
      </c>
      <c r="H176" s="33">
        <f>IF('Brut ajusté'!H176="","",'Brut ajusté'!H176)</f>
        <v/>
      </c>
      <c r="I176" s="33">
        <f>IF('Brut ajusté'!I176="","",'Brut ajusté'!I176)</f>
        <v/>
      </c>
      <c r="J176" s="33">
        <f>IF('Brut ajusté'!J176="","",IF($B176&lt;BIP_date,'Brut ajusté'!J176/BIP_facteur,'Brut ajusté'!J176))</f>
        <v/>
      </c>
      <c r="K176" s="33">
        <f>IF('Brut ajusté'!K176="","",'Brut ajusté'!K176)</f>
        <v/>
      </c>
      <c r="L176" s="33">
        <f>IF('Brut ajusté'!L176="","",'Brut ajusté'!L176)</f>
        <v/>
      </c>
      <c r="M176" s="33">
        <f>IF('Brut ajusté'!M176="","",'Brut ajusté'!M176)</f>
        <v/>
      </c>
      <c r="N176" s="33">
        <f>IF('Brut ajusté'!N176="","",'Brut ajusté'!N176)</f>
        <v/>
      </c>
      <c r="O176" s="33">
        <f>IF('Brut ajusté'!O176="","",'Brut ajusté'!O176)</f>
        <v/>
      </c>
      <c r="P176" s="33">
        <f>IF('Brut ajusté'!P176="","",'Brut ajusté'!P176)</f>
        <v/>
      </c>
    </row>
    <row r="177">
      <c r="B177" s="32">
        <f>'Brut ajusté'!B177</f>
        <v/>
      </c>
      <c r="C177" s="33">
        <f>IF('Brut ajusté'!C177="","",'Brut ajusté'!C177)</f>
        <v/>
      </c>
      <c r="D177" s="33">
        <f>IF(OR('Brut ajusté'!D177="",$B177&lt;INFR_debut),"",'Brut ajusté'!D177)</f>
        <v/>
      </c>
      <c r="E177" s="33">
        <f>IF('Brut ajusté'!E177="","",'Brut ajusté'!E177)</f>
        <v/>
      </c>
      <c r="F177" s="33">
        <f>IF('Brut ajusté'!F177="","",'Brut ajusté'!F177)</f>
        <v/>
      </c>
      <c r="G177" s="33">
        <f>IF('Brut ajusté'!G177="","",'Brut ajusté'!G177)</f>
        <v/>
      </c>
      <c r="H177" s="33">
        <f>IF('Brut ajusté'!H177="","",'Brut ajusté'!H177)</f>
        <v/>
      </c>
      <c r="I177" s="33">
        <f>IF('Brut ajusté'!I177="","",'Brut ajusté'!I177)</f>
        <v/>
      </c>
      <c r="J177" s="33">
        <f>IF('Brut ajusté'!J177="","",IF($B177&lt;BIP_date,'Brut ajusté'!J177/BIP_facteur,'Brut ajusté'!J177))</f>
        <v/>
      </c>
      <c r="K177" s="33">
        <f>IF('Brut ajusté'!K177="","",'Brut ajusté'!K177)</f>
        <v/>
      </c>
      <c r="L177" s="33">
        <f>IF('Brut ajusté'!L177="","",'Brut ajusté'!L177)</f>
        <v/>
      </c>
      <c r="M177" s="33">
        <f>IF('Brut ajusté'!M177="","",'Brut ajusté'!M177)</f>
        <v/>
      </c>
      <c r="N177" s="33">
        <f>IF('Brut ajusté'!N177="","",'Brut ajusté'!N177)</f>
        <v/>
      </c>
      <c r="O177" s="33">
        <f>IF('Brut ajusté'!O177="","",'Brut ajusté'!O177)</f>
        <v/>
      </c>
      <c r="P177" s="33">
        <f>IF('Brut ajusté'!P177="","",'Brut ajusté'!P177)</f>
        <v/>
      </c>
    </row>
    <row r="178">
      <c r="B178" s="32">
        <f>'Brut ajusté'!B178</f>
        <v/>
      </c>
      <c r="C178" s="33">
        <f>IF('Brut ajusté'!C178="","",'Brut ajusté'!C178)</f>
        <v/>
      </c>
      <c r="D178" s="33">
        <f>IF(OR('Brut ajusté'!D178="",$B178&lt;INFR_debut),"",'Brut ajusté'!D178)</f>
        <v/>
      </c>
      <c r="E178" s="33">
        <f>IF('Brut ajusté'!E178="","",'Brut ajusté'!E178)</f>
        <v/>
      </c>
      <c r="F178" s="33">
        <f>IF('Brut ajusté'!F178="","",'Brut ajusté'!F178)</f>
        <v/>
      </c>
      <c r="G178" s="33">
        <f>IF('Brut ajusté'!G178="","",'Brut ajusté'!G178)</f>
        <v/>
      </c>
      <c r="H178" s="33">
        <f>IF('Brut ajusté'!H178="","",'Brut ajusté'!H178)</f>
        <v/>
      </c>
      <c r="I178" s="33">
        <f>IF('Brut ajusté'!I178="","",'Brut ajusté'!I178)</f>
        <v/>
      </c>
      <c r="J178" s="33">
        <f>IF('Brut ajusté'!J178="","",IF($B178&lt;BIP_date,'Brut ajusté'!J178/BIP_facteur,'Brut ajusté'!J178))</f>
        <v/>
      </c>
      <c r="K178" s="33">
        <f>IF('Brut ajusté'!K178="","",'Brut ajusté'!K178)</f>
        <v/>
      </c>
      <c r="L178" s="33">
        <f>IF('Brut ajusté'!L178="","",'Brut ajusté'!L178)</f>
        <v/>
      </c>
      <c r="M178" s="33">
        <f>IF('Brut ajusté'!M178="","",'Brut ajusté'!M178)</f>
        <v/>
      </c>
      <c r="N178" s="33">
        <f>IF('Brut ajusté'!N178="","",'Brut ajusté'!N178)</f>
        <v/>
      </c>
      <c r="O178" s="33">
        <f>IF('Brut ajusté'!O178="","",'Brut ajusté'!O178)</f>
        <v/>
      </c>
      <c r="P178" s="33">
        <f>IF('Brut ajusté'!P178="","",'Brut ajusté'!P178)</f>
        <v/>
      </c>
    </row>
    <row r="179">
      <c r="B179" s="32">
        <f>'Brut ajusté'!B179</f>
        <v/>
      </c>
      <c r="C179" s="33">
        <f>IF('Brut ajusté'!C179="","",'Brut ajusté'!C179)</f>
        <v/>
      </c>
      <c r="D179" s="33">
        <f>IF(OR('Brut ajusté'!D179="",$B179&lt;INFR_debut),"",'Brut ajusté'!D179)</f>
        <v/>
      </c>
      <c r="E179" s="33">
        <f>IF('Brut ajusté'!E179="","",'Brut ajusté'!E179)</f>
        <v/>
      </c>
      <c r="F179" s="33">
        <f>IF('Brut ajusté'!F179="","",'Brut ajusté'!F179)</f>
        <v/>
      </c>
      <c r="G179" s="33">
        <f>IF('Brut ajusté'!G179="","",'Brut ajusté'!G179)</f>
        <v/>
      </c>
      <c r="H179" s="33">
        <f>IF('Brut ajusté'!H179="","",'Brut ajusté'!H179)</f>
        <v/>
      </c>
      <c r="I179" s="33">
        <f>IF('Brut ajusté'!I179="","",'Brut ajusté'!I179)</f>
        <v/>
      </c>
      <c r="J179" s="33">
        <f>IF('Brut ajusté'!J179="","",IF($B179&lt;BIP_date,'Brut ajusté'!J179/BIP_facteur,'Brut ajusté'!J179))</f>
        <v/>
      </c>
      <c r="K179" s="33">
        <f>IF('Brut ajusté'!K179="","",'Brut ajusté'!K179)</f>
        <v/>
      </c>
      <c r="L179" s="33">
        <f>IF('Brut ajusté'!L179="","",'Brut ajusté'!L179)</f>
        <v/>
      </c>
      <c r="M179" s="33">
        <f>IF('Brut ajusté'!M179="","",'Brut ajusté'!M179)</f>
        <v/>
      </c>
      <c r="N179" s="33">
        <f>IF('Brut ajusté'!N179="","",'Brut ajusté'!N179)</f>
        <v/>
      </c>
      <c r="O179" s="33">
        <f>IF('Brut ajusté'!O179="","",'Brut ajusté'!O179)</f>
        <v/>
      </c>
      <c r="P179" s="33">
        <f>IF('Brut ajusté'!P179="","",'Brut ajusté'!P179)</f>
        <v/>
      </c>
    </row>
    <row r="180">
      <c r="B180" s="32">
        <f>'Brut ajusté'!B180</f>
        <v/>
      </c>
      <c r="C180" s="33">
        <f>IF('Brut ajusté'!C180="","",'Brut ajusté'!C180)</f>
        <v/>
      </c>
      <c r="D180" s="33">
        <f>IF(OR('Brut ajusté'!D180="",$B180&lt;INFR_debut),"",'Brut ajusté'!D180)</f>
        <v/>
      </c>
      <c r="E180" s="33">
        <f>IF('Brut ajusté'!E180="","",'Brut ajusté'!E180)</f>
        <v/>
      </c>
      <c r="F180" s="33">
        <f>IF('Brut ajusté'!F180="","",'Brut ajusté'!F180)</f>
        <v/>
      </c>
      <c r="G180" s="33">
        <f>IF('Brut ajusté'!G180="","",'Brut ajusté'!G180)</f>
        <v/>
      </c>
      <c r="H180" s="33">
        <f>IF('Brut ajusté'!H180="","",'Brut ajusté'!H180)</f>
        <v/>
      </c>
      <c r="I180" s="33">
        <f>IF('Brut ajusté'!I180="","",'Brut ajusté'!I180)</f>
        <v/>
      </c>
      <c r="J180" s="33">
        <f>IF('Brut ajusté'!J180="","",IF($B180&lt;BIP_date,'Brut ajusté'!J180/BIP_facteur,'Brut ajusté'!J180))</f>
        <v/>
      </c>
      <c r="K180" s="33">
        <f>IF('Brut ajusté'!K180="","",'Brut ajusté'!K180)</f>
        <v/>
      </c>
      <c r="L180" s="33">
        <f>IF('Brut ajusté'!L180="","",'Brut ajusté'!L180)</f>
        <v/>
      </c>
      <c r="M180" s="33">
        <f>IF('Brut ajusté'!M180="","",'Brut ajusté'!M180)</f>
        <v/>
      </c>
      <c r="N180" s="33">
        <f>IF('Brut ajusté'!N180="","",'Brut ajusté'!N180)</f>
        <v/>
      </c>
      <c r="O180" s="33">
        <f>IF('Brut ajusté'!O180="","",'Brut ajusté'!O180)</f>
        <v/>
      </c>
      <c r="P180" s="33">
        <f>IF('Brut ajusté'!P180="","",'Brut ajusté'!P180)</f>
        <v/>
      </c>
    </row>
    <row r="181">
      <c r="B181" s="32">
        <f>'Brut ajusté'!B181</f>
        <v/>
      </c>
      <c r="C181" s="33">
        <f>IF('Brut ajusté'!C181="","",'Brut ajusté'!C181)</f>
        <v/>
      </c>
      <c r="D181" s="33">
        <f>IF(OR('Brut ajusté'!D181="",$B181&lt;INFR_debut),"",'Brut ajusté'!D181)</f>
        <v/>
      </c>
      <c r="E181" s="33">
        <f>IF('Brut ajusté'!E181="","",'Brut ajusté'!E181)</f>
        <v/>
      </c>
      <c r="F181" s="33">
        <f>IF('Brut ajusté'!F181="","",'Brut ajusté'!F181)</f>
        <v/>
      </c>
      <c r="G181" s="33">
        <f>IF('Brut ajusté'!G181="","",'Brut ajusté'!G181)</f>
        <v/>
      </c>
      <c r="H181" s="33">
        <f>IF('Brut ajusté'!H181="","",'Brut ajusté'!H181)</f>
        <v/>
      </c>
      <c r="I181" s="33">
        <f>IF('Brut ajusté'!I181="","",'Brut ajusté'!I181)</f>
        <v/>
      </c>
      <c r="J181" s="33">
        <f>IF('Brut ajusté'!J181="","",IF($B181&lt;BIP_date,'Brut ajusté'!J181/BIP_facteur,'Brut ajusté'!J181))</f>
        <v/>
      </c>
      <c r="K181" s="33">
        <f>IF('Brut ajusté'!K181="","",'Brut ajusté'!K181)</f>
        <v/>
      </c>
      <c r="L181" s="33">
        <f>IF('Brut ajusté'!L181="","",'Brut ajusté'!L181)</f>
        <v/>
      </c>
      <c r="M181" s="33">
        <f>IF('Brut ajusté'!M181="","",'Brut ajusté'!M181)</f>
        <v/>
      </c>
      <c r="N181" s="33">
        <f>IF('Brut ajusté'!N181="","",'Brut ajusté'!N181)</f>
        <v/>
      </c>
      <c r="O181" s="33">
        <f>IF('Brut ajusté'!O181="","",'Brut ajusté'!O181)</f>
        <v/>
      </c>
      <c r="P181" s="33">
        <f>IF('Brut ajusté'!P181="","",'Brut ajusté'!P181)</f>
        <v/>
      </c>
    </row>
    <row r="182">
      <c r="B182" s="32">
        <f>'Brut ajusté'!B182</f>
        <v/>
      </c>
      <c r="C182" s="33">
        <f>IF('Brut ajusté'!C182="","",'Brut ajusté'!C182)</f>
        <v/>
      </c>
      <c r="D182" s="33">
        <f>IF(OR('Brut ajusté'!D182="",$B182&lt;INFR_debut),"",'Brut ajusté'!D182)</f>
        <v/>
      </c>
      <c r="E182" s="33">
        <f>IF('Brut ajusté'!E182="","",'Brut ajusté'!E182)</f>
        <v/>
      </c>
      <c r="F182" s="33">
        <f>IF('Brut ajusté'!F182="","",'Brut ajusté'!F182)</f>
        <v/>
      </c>
      <c r="G182" s="33">
        <f>IF('Brut ajusté'!G182="","",'Brut ajusté'!G182)</f>
        <v/>
      </c>
      <c r="H182" s="33">
        <f>IF('Brut ajusté'!H182="","",'Brut ajusté'!H182)</f>
        <v/>
      </c>
      <c r="I182" s="33">
        <f>IF('Brut ajusté'!I182="","",'Brut ajusté'!I182)</f>
        <v/>
      </c>
      <c r="J182" s="33">
        <f>IF('Brut ajusté'!J182="","",IF($B182&lt;BIP_date,'Brut ajusté'!J182/BIP_facteur,'Brut ajusté'!J182))</f>
        <v/>
      </c>
      <c r="K182" s="33">
        <f>IF('Brut ajusté'!K182="","",'Brut ajusté'!K182)</f>
        <v/>
      </c>
      <c r="L182" s="33">
        <f>IF('Brut ajusté'!L182="","",'Brut ajusté'!L182)</f>
        <v/>
      </c>
      <c r="M182" s="33">
        <f>IF('Brut ajusté'!M182="","",'Brut ajusté'!M182)</f>
        <v/>
      </c>
      <c r="N182" s="33">
        <f>IF('Brut ajusté'!N182="","",'Brut ajusté'!N182)</f>
        <v/>
      </c>
      <c r="O182" s="33">
        <f>IF('Brut ajusté'!O182="","",'Brut ajusté'!O182)</f>
        <v/>
      </c>
      <c r="P182" s="33">
        <f>IF('Brut ajusté'!P182="","",'Brut ajusté'!P182)</f>
        <v/>
      </c>
    </row>
    <row r="183">
      <c r="B183" s="32">
        <f>'Brut ajusté'!B183</f>
        <v/>
      </c>
      <c r="C183" s="33">
        <f>IF('Brut ajusté'!C183="","",'Brut ajusté'!C183)</f>
        <v/>
      </c>
      <c r="D183" s="33">
        <f>IF(OR('Brut ajusté'!D183="",$B183&lt;INFR_debut),"",'Brut ajusté'!D183)</f>
        <v/>
      </c>
      <c r="E183" s="33">
        <f>IF('Brut ajusté'!E183="","",'Brut ajusté'!E183)</f>
        <v/>
      </c>
      <c r="F183" s="33">
        <f>IF('Brut ajusté'!F183="","",'Brut ajusté'!F183)</f>
        <v/>
      </c>
      <c r="G183" s="33">
        <f>IF('Brut ajusté'!G183="","",'Brut ajusté'!G183)</f>
        <v/>
      </c>
      <c r="H183" s="33">
        <f>IF('Brut ajusté'!H183="","",'Brut ajusté'!H183)</f>
        <v/>
      </c>
      <c r="I183" s="33">
        <f>IF('Brut ajusté'!I183="","",'Brut ajusté'!I183)</f>
        <v/>
      </c>
      <c r="J183" s="33">
        <f>IF('Brut ajusté'!J183="","",IF($B183&lt;BIP_date,'Brut ajusté'!J183/BIP_facteur,'Brut ajusté'!J183))</f>
        <v/>
      </c>
      <c r="K183" s="33">
        <f>IF('Brut ajusté'!K183="","",'Brut ajusté'!K183)</f>
        <v/>
      </c>
      <c r="L183" s="33">
        <f>IF('Brut ajusté'!L183="","",'Brut ajusté'!L183)</f>
        <v/>
      </c>
      <c r="M183" s="33">
        <f>IF('Brut ajusté'!M183="","",'Brut ajusté'!M183)</f>
        <v/>
      </c>
      <c r="N183" s="33">
        <f>IF('Brut ajusté'!N183="","",'Brut ajusté'!N183)</f>
        <v/>
      </c>
      <c r="O183" s="33">
        <f>IF('Brut ajusté'!O183="","",'Brut ajusté'!O183)</f>
        <v/>
      </c>
      <c r="P183" s="33">
        <f>IF('Brut ajusté'!P183="","",'Brut ajusté'!P183)</f>
        <v/>
      </c>
    </row>
    <row r="184">
      <c r="B184" s="32">
        <f>'Brut ajusté'!B184</f>
        <v/>
      </c>
      <c r="C184" s="33">
        <f>IF('Brut ajusté'!C184="","",'Brut ajusté'!C184)</f>
        <v/>
      </c>
      <c r="D184" s="33">
        <f>IF(OR('Brut ajusté'!D184="",$B184&lt;INFR_debut),"",'Brut ajusté'!D184)</f>
        <v/>
      </c>
      <c r="E184" s="33">
        <f>IF('Brut ajusté'!E184="","",'Brut ajusté'!E184)</f>
        <v/>
      </c>
      <c r="F184" s="33">
        <f>IF('Brut ajusté'!F184="","",'Brut ajusté'!F184)</f>
        <v/>
      </c>
      <c r="G184" s="33">
        <f>IF('Brut ajusté'!G184="","",'Brut ajusté'!G184)</f>
        <v/>
      </c>
      <c r="H184" s="33">
        <f>IF('Brut ajusté'!H184="","",'Brut ajusté'!H184)</f>
        <v/>
      </c>
      <c r="I184" s="33">
        <f>IF('Brut ajusté'!I184="","",'Brut ajusté'!I184)</f>
        <v/>
      </c>
      <c r="J184" s="33">
        <f>IF('Brut ajusté'!J184="","",IF($B184&lt;BIP_date,'Brut ajusté'!J184/BIP_facteur,'Brut ajusté'!J184))</f>
        <v/>
      </c>
      <c r="K184" s="33">
        <f>IF('Brut ajusté'!K184="","",'Brut ajusté'!K184)</f>
        <v/>
      </c>
      <c r="L184" s="33">
        <f>IF('Brut ajusté'!L184="","",'Brut ajusté'!L184)</f>
        <v/>
      </c>
      <c r="M184" s="33">
        <f>IF('Brut ajusté'!M184="","",'Brut ajusté'!M184)</f>
        <v/>
      </c>
      <c r="N184" s="33">
        <f>IF('Brut ajusté'!N184="","",'Brut ajusté'!N184)</f>
        <v/>
      </c>
      <c r="O184" s="33">
        <f>IF('Brut ajusté'!O184="","",'Brut ajusté'!O184)</f>
        <v/>
      </c>
      <c r="P184" s="33">
        <f>IF('Brut ajusté'!P184="","",'Brut ajusté'!P184)</f>
        <v/>
      </c>
    </row>
  </sheetData>
  <mergeCells count="1">
    <mergeCell ref="B3:P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P184"/>
  <sheetViews>
    <sheetView showGridLines="0" workbookViewId="0">
      <selection activeCell="A1" sqref="A1"/>
    </sheetView>
  </sheetViews>
  <sheetFormatPr baseColWidth="8" defaultRowHeight="15"/>
  <cols>
    <col width="2" customWidth="1" min="1" max="1"/>
    <col width="1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2">
      <c r="B2" s="1" t="inlineStr">
        <is>
          <t>RENDEMENTS MENSUELS - devise de cotation, dividendes réinvestis</t>
        </is>
      </c>
    </row>
    <row r="3" ht="42" customHeight="1">
      <c r="B3" s="2" t="inlineStr">
        <is>
          <t>Formules : rendement simple d'un mois sur l'autre à partir de l'Historique ajusté ; vide si donnée manquante ou rendement aberrant au sens du seuil paramétré.</t>
        </is>
      </c>
    </row>
    <row r="5" ht="30" customHeight="1">
      <c r="B5" s="3" t="inlineStr">
        <is>
          <t>Mois</t>
        </is>
      </c>
      <c r="C5" s="4" t="inlineStr">
        <is>
          <t>NasdaqGM:IGF</t>
        </is>
      </c>
      <c r="D5" s="4" t="inlineStr">
        <is>
          <t>LSE:INFR</t>
        </is>
      </c>
      <c r="E5" s="4" t="inlineStr">
        <is>
          <t>LSE:3IN</t>
        </is>
      </c>
      <c r="F5" s="4" t="inlineStr">
        <is>
          <t>LSE:HICL</t>
        </is>
      </c>
      <c r="G5" s="4" t="inlineStr">
        <is>
          <t>LSE:INPP</t>
        </is>
      </c>
      <c r="H5" s="4" t="inlineStr">
        <is>
          <t>LSE:SEQI</t>
        </is>
      </c>
      <c r="I5" s="4" t="inlineStr">
        <is>
          <t>LSE:GCP</t>
        </is>
      </c>
      <c r="J5" s="4" t="inlineStr">
        <is>
          <t>NYSE:BIP</t>
        </is>
      </c>
      <c r="K5" s="4" t="inlineStr">
        <is>
          <t>KOSE:A088980</t>
        </is>
      </c>
      <c r="L5" s="4" t="inlineStr">
        <is>
          <t>ARCA:BKLN</t>
        </is>
      </c>
      <c r="M5" s="4" t="inlineStr">
        <is>
          <t>ARCA:HYG</t>
        </is>
      </c>
      <c r="N5" s="4" t="inlineStr">
        <is>
          <t>LSE:IHYG</t>
        </is>
      </c>
      <c r="O5" s="4" t="inlineStr">
        <is>
          <t>NasdaqGS:ARCC</t>
        </is>
      </c>
      <c r="P5" s="4" t="inlineStr">
        <is>
          <t>ARCA:BIZD</t>
        </is>
      </c>
    </row>
    <row r="7">
      <c r="B7" s="32">
        <f>'Historique ajusté'!B7</f>
        <v/>
      </c>
      <c r="C7" s="34">
        <f>IF(OR('Historique ajusté'!C7="",'Historique ajusté'!C6=""),"",IF(ABS(LN('Historique ajusté'!C7/'Historique ajusté'!C6))&gt;Seuil_aberrant,"",'Historique ajusté'!C7/'Historique ajusté'!C6-1))</f>
        <v/>
      </c>
      <c r="D7" s="34">
        <f>IF(OR('Historique ajusté'!D7="",'Historique ajusté'!D6=""),"",IF(ABS(LN('Historique ajusté'!D7/'Historique ajusté'!D6))&gt;Seuil_aberrant,"",'Historique ajusté'!D7/'Historique ajusté'!D6-1))</f>
        <v/>
      </c>
      <c r="E7" s="34">
        <f>IF(OR('Historique ajusté'!E7="",'Historique ajusté'!E6=""),"",IF(ABS(LN('Historique ajusté'!E7/'Historique ajusté'!E6))&gt;Seuil_aberrant,"",'Historique ajusté'!E7/'Historique ajusté'!E6-1))</f>
        <v/>
      </c>
      <c r="F7" s="34">
        <f>IF(OR('Historique ajusté'!F7="",'Historique ajusté'!F6=""),"",IF(ABS(LN('Historique ajusté'!F7/'Historique ajusté'!F6))&gt;Seuil_aberrant,"",'Historique ajusté'!F7/'Historique ajusté'!F6-1))</f>
        <v/>
      </c>
      <c r="G7" s="34">
        <f>IF(OR('Historique ajusté'!G7="",'Historique ajusté'!G6=""),"",IF(ABS(LN('Historique ajusté'!G7/'Historique ajusté'!G6))&gt;Seuil_aberrant,"",'Historique ajusté'!G7/'Historique ajusté'!G6-1))</f>
        <v/>
      </c>
      <c r="H7" s="34">
        <f>IF(OR('Historique ajusté'!H7="",'Historique ajusté'!H6=""),"",IF(ABS(LN('Historique ajusté'!H7/'Historique ajusté'!H6))&gt;Seuil_aberrant,"",'Historique ajusté'!H7/'Historique ajusté'!H6-1))</f>
        <v/>
      </c>
      <c r="I7" s="34">
        <f>IF(OR('Historique ajusté'!I7="",'Historique ajusté'!I6=""),"",IF(ABS(LN('Historique ajusté'!I7/'Historique ajusté'!I6))&gt;Seuil_aberrant,"",'Historique ajusté'!I7/'Historique ajusté'!I6-1))</f>
        <v/>
      </c>
      <c r="J7" s="34">
        <f>IF(OR('Historique ajusté'!J7="",'Historique ajusté'!J6=""),"",IF(ABS(LN('Historique ajusté'!J7/'Historique ajusté'!J6))&gt;Seuil_aberrant,"",'Historique ajusté'!J7/'Historique ajusté'!J6-1))</f>
        <v/>
      </c>
      <c r="K7" s="34">
        <f>IF(OR('Historique ajusté'!K7="",'Historique ajusté'!K6=""),"",IF(ABS(LN('Historique ajusté'!K7/'Historique ajusté'!K6))&gt;Seuil_aberrant,"",'Historique ajusté'!K7/'Historique ajusté'!K6-1))</f>
        <v/>
      </c>
      <c r="L7" s="34">
        <f>IF(OR('Historique ajusté'!L7="",'Historique ajusté'!L6=""),"",IF(ABS(LN('Historique ajusté'!L7/'Historique ajusté'!L6))&gt;Seuil_aberrant,"",'Historique ajusté'!L7/'Historique ajusté'!L6-1))</f>
        <v/>
      </c>
      <c r="M7" s="34">
        <f>IF(OR('Historique ajusté'!M7="",'Historique ajusté'!M6=""),"",IF(ABS(LN('Historique ajusté'!M7/'Historique ajusté'!M6))&gt;Seuil_aberrant,"",'Historique ajusté'!M7/'Historique ajusté'!M6-1))</f>
        <v/>
      </c>
      <c r="N7" s="34">
        <f>IF(OR('Historique ajusté'!N7="",'Historique ajusté'!N6=""),"",IF(ABS(LN('Historique ajusté'!N7/'Historique ajusté'!N6))&gt;Seuil_aberrant,"",'Historique ajusté'!N7/'Historique ajusté'!N6-1))</f>
        <v/>
      </c>
      <c r="O7" s="34">
        <f>IF(OR('Historique ajusté'!O7="",'Historique ajusté'!O6=""),"",IF(ABS(LN('Historique ajusté'!O7/'Historique ajusté'!O6))&gt;Seuil_aberrant,"",'Historique ajusté'!O7/'Historique ajusté'!O6-1))</f>
        <v/>
      </c>
      <c r="P7" s="34">
        <f>IF(OR('Historique ajusté'!P7="",'Historique ajusté'!P6=""),"",IF(ABS(LN('Historique ajusté'!P7/'Historique ajusté'!P6))&gt;Seuil_aberrant,"",'Historique ajusté'!P7/'Historique ajusté'!P6-1))</f>
        <v/>
      </c>
    </row>
    <row r="8">
      <c r="B8" s="32">
        <f>'Historique ajusté'!B8</f>
        <v/>
      </c>
      <c r="C8" s="34">
        <f>IF(OR('Historique ajusté'!C8="",'Historique ajusté'!C7=""),"",IF(ABS(LN('Historique ajusté'!C8/'Historique ajusté'!C7))&gt;Seuil_aberrant,"",'Historique ajusté'!C8/'Historique ajusté'!C7-1))</f>
        <v/>
      </c>
      <c r="D8" s="34">
        <f>IF(OR('Historique ajusté'!D8="",'Historique ajusté'!D7=""),"",IF(ABS(LN('Historique ajusté'!D8/'Historique ajusté'!D7))&gt;Seuil_aberrant,"",'Historique ajusté'!D8/'Historique ajusté'!D7-1))</f>
        <v/>
      </c>
      <c r="E8" s="34">
        <f>IF(OR('Historique ajusté'!E8="",'Historique ajusté'!E7=""),"",IF(ABS(LN('Historique ajusté'!E8/'Historique ajusté'!E7))&gt;Seuil_aberrant,"",'Historique ajusté'!E8/'Historique ajusté'!E7-1))</f>
        <v/>
      </c>
      <c r="F8" s="34">
        <f>IF(OR('Historique ajusté'!F8="",'Historique ajusté'!F7=""),"",IF(ABS(LN('Historique ajusté'!F8/'Historique ajusté'!F7))&gt;Seuil_aberrant,"",'Historique ajusté'!F8/'Historique ajusté'!F7-1))</f>
        <v/>
      </c>
      <c r="G8" s="34">
        <f>IF(OR('Historique ajusté'!G8="",'Historique ajusté'!G7=""),"",IF(ABS(LN('Historique ajusté'!G8/'Historique ajusté'!G7))&gt;Seuil_aberrant,"",'Historique ajusté'!G8/'Historique ajusté'!G7-1))</f>
        <v/>
      </c>
      <c r="H8" s="34">
        <f>IF(OR('Historique ajusté'!H8="",'Historique ajusté'!H7=""),"",IF(ABS(LN('Historique ajusté'!H8/'Historique ajusté'!H7))&gt;Seuil_aberrant,"",'Historique ajusté'!H8/'Historique ajusté'!H7-1))</f>
        <v/>
      </c>
      <c r="I8" s="34">
        <f>IF(OR('Historique ajusté'!I8="",'Historique ajusté'!I7=""),"",IF(ABS(LN('Historique ajusté'!I8/'Historique ajusté'!I7))&gt;Seuil_aberrant,"",'Historique ajusté'!I8/'Historique ajusté'!I7-1))</f>
        <v/>
      </c>
      <c r="J8" s="34">
        <f>IF(OR('Historique ajusté'!J8="",'Historique ajusté'!J7=""),"",IF(ABS(LN('Historique ajusté'!J8/'Historique ajusté'!J7))&gt;Seuil_aberrant,"",'Historique ajusté'!J8/'Historique ajusté'!J7-1))</f>
        <v/>
      </c>
      <c r="K8" s="34">
        <f>IF(OR('Historique ajusté'!K8="",'Historique ajusté'!K7=""),"",IF(ABS(LN('Historique ajusté'!K8/'Historique ajusté'!K7))&gt;Seuil_aberrant,"",'Historique ajusté'!K8/'Historique ajusté'!K7-1))</f>
        <v/>
      </c>
      <c r="L8" s="34">
        <f>IF(OR('Historique ajusté'!L8="",'Historique ajusté'!L7=""),"",IF(ABS(LN('Historique ajusté'!L8/'Historique ajusté'!L7))&gt;Seuil_aberrant,"",'Historique ajusté'!L8/'Historique ajusté'!L7-1))</f>
        <v/>
      </c>
      <c r="M8" s="34">
        <f>IF(OR('Historique ajusté'!M8="",'Historique ajusté'!M7=""),"",IF(ABS(LN('Historique ajusté'!M8/'Historique ajusté'!M7))&gt;Seuil_aberrant,"",'Historique ajusté'!M8/'Historique ajusté'!M7-1))</f>
        <v/>
      </c>
      <c r="N8" s="34">
        <f>IF(OR('Historique ajusté'!N8="",'Historique ajusté'!N7=""),"",IF(ABS(LN('Historique ajusté'!N8/'Historique ajusté'!N7))&gt;Seuil_aberrant,"",'Historique ajusté'!N8/'Historique ajusté'!N7-1))</f>
        <v/>
      </c>
      <c r="O8" s="34">
        <f>IF(OR('Historique ajusté'!O8="",'Historique ajusté'!O7=""),"",IF(ABS(LN('Historique ajusté'!O8/'Historique ajusté'!O7))&gt;Seuil_aberrant,"",'Historique ajusté'!O8/'Historique ajusté'!O7-1))</f>
        <v/>
      </c>
      <c r="P8" s="34">
        <f>IF(OR('Historique ajusté'!P8="",'Historique ajusté'!P7=""),"",IF(ABS(LN('Historique ajusté'!P8/'Historique ajusté'!P7))&gt;Seuil_aberrant,"",'Historique ajusté'!P8/'Historique ajusté'!P7-1))</f>
        <v/>
      </c>
    </row>
    <row r="9">
      <c r="B9" s="32">
        <f>'Historique ajusté'!B9</f>
        <v/>
      </c>
      <c r="C9" s="34">
        <f>IF(OR('Historique ajusté'!C9="",'Historique ajusté'!C8=""),"",IF(ABS(LN('Historique ajusté'!C9/'Historique ajusté'!C8))&gt;Seuil_aberrant,"",'Historique ajusté'!C9/'Historique ajusté'!C8-1))</f>
        <v/>
      </c>
      <c r="D9" s="34">
        <f>IF(OR('Historique ajusté'!D9="",'Historique ajusté'!D8=""),"",IF(ABS(LN('Historique ajusté'!D9/'Historique ajusté'!D8))&gt;Seuil_aberrant,"",'Historique ajusté'!D9/'Historique ajusté'!D8-1))</f>
        <v/>
      </c>
      <c r="E9" s="34">
        <f>IF(OR('Historique ajusté'!E9="",'Historique ajusté'!E8=""),"",IF(ABS(LN('Historique ajusté'!E9/'Historique ajusté'!E8))&gt;Seuil_aberrant,"",'Historique ajusté'!E9/'Historique ajusté'!E8-1))</f>
        <v/>
      </c>
      <c r="F9" s="34">
        <f>IF(OR('Historique ajusté'!F9="",'Historique ajusté'!F8=""),"",IF(ABS(LN('Historique ajusté'!F9/'Historique ajusté'!F8))&gt;Seuil_aberrant,"",'Historique ajusté'!F9/'Historique ajusté'!F8-1))</f>
        <v/>
      </c>
      <c r="G9" s="34">
        <f>IF(OR('Historique ajusté'!G9="",'Historique ajusté'!G8=""),"",IF(ABS(LN('Historique ajusté'!G9/'Historique ajusté'!G8))&gt;Seuil_aberrant,"",'Historique ajusté'!G9/'Historique ajusté'!G8-1))</f>
        <v/>
      </c>
      <c r="H9" s="34">
        <f>IF(OR('Historique ajusté'!H9="",'Historique ajusté'!H8=""),"",IF(ABS(LN('Historique ajusté'!H9/'Historique ajusté'!H8))&gt;Seuil_aberrant,"",'Historique ajusté'!H9/'Historique ajusté'!H8-1))</f>
        <v/>
      </c>
      <c r="I9" s="34">
        <f>IF(OR('Historique ajusté'!I9="",'Historique ajusté'!I8=""),"",IF(ABS(LN('Historique ajusté'!I9/'Historique ajusté'!I8))&gt;Seuil_aberrant,"",'Historique ajusté'!I9/'Historique ajusté'!I8-1))</f>
        <v/>
      </c>
      <c r="J9" s="34">
        <f>IF(OR('Historique ajusté'!J9="",'Historique ajusté'!J8=""),"",IF(ABS(LN('Historique ajusté'!J9/'Historique ajusté'!J8))&gt;Seuil_aberrant,"",'Historique ajusté'!J9/'Historique ajusté'!J8-1))</f>
        <v/>
      </c>
      <c r="K9" s="34">
        <f>IF(OR('Historique ajusté'!K9="",'Historique ajusté'!K8=""),"",IF(ABS(LN('Historique ajusté'!K9/'Historique ajusté'!K8))&gt;Seuil_aberrant,"",'Historique ajusté'!K9/'Historique ajusté'!K8-1))</f>
        <v/>
      </c>
      <c r="L9" s="34">
        <f>IF(OR('Historique ajusté'!L9="",'Historique ajusté'!L8=""),"",IF(ABS(LN('Historique ajusté'!L9/'Historique ajusté'!L8))&gt;Seuil_aberrant,"",'Historique ajusté'!L9/'Historique ajusté'!L8-1))</f>
        <v/>
      </c>
      <c r="M9" s="34">
        <f>IF(OR('Historique ajusté'!M9="",'Historique ajusté'!M8=""),"",IF(ABS(LN('Historique ajusté'!M9/'Historique ajusté'!M8))&gt;Seuil_aberrant,"",'Historique ajusté'!M9/'Historique ajusté'!M8-1))</f>
        <v/>
      </c>
      <c r="N9" s="34">
        <f>IF(OR('Historique ajusté'!N9="",'Historique ajusté'!N8=""),"",IF(ABS(LN('Historique ajusté'!N9/'Historique ajusté'!N8))&gt;Seuil_aberrant,"",'Historique ajusté'!N9/'Historique ajusté'!N8-1))</f>
        <v/>
      </c>
      <c r="O9" s="34">
        <f>IF(OR('Historique ajusté'!O9="",'Historique ajusté'!O8=""),"",IF(ABS(LN('Historique ajusté'!O9/'Historique ajusté'!O8))&gt;Seuil_aberrant,"",'Historique ajusté'!O9/'Historique ajusté'!O8-1))</f>
        <v/>
      </c>
      <c r="P9" s="34">
        <f>IF(OR('Historique ajusté'!P9="",'Historique ajusté'!P8=""),"",IF(ABS(LN('Historique ajusté'!P9/'Historique ajusté'!P8))&gt;Seuil_aberrant,"",'Historique ajusté'!P9/'Historique ajusté'!P8-1))</f>
        <v/>
      </c>
    </row>
    <row r="10">
      <c r="B10" s="32">
        <f>'Historique ajusté'!B10</f>
        <v/>
      </c>
      <c r="C10" s="34">
        <f>IF(OR('Historique ajusté'!C10="",'Historique ajusté'!C9=""),"",IF(ABS(LN('Historique ajusté'!C10/'Historique ajusté'!C9))&gt;Seuil_aberrant,"",'Historique ajusté'!C10/'Historique ajusté'!C9-1))</f>
        <v/>
      </c>
      <c r="D10" s="34">
        <f>IF(OR('Historique ajusté'!D10="",'Historique ajusté'!D9=""),"",IF(ABS(LN('Historique ajusté'!D10/'Historique ajusté'!D9))&gt;Seuil_aberrant,"",'Historique ajusté'!D10/'Historique ajusté'!D9-1))</f>
        <v/>
      </c>
      <c r="E10" s="34">
        <f>IF(OR('Historique ajusté'!E10="",'Historique ajusté'!E9=""),"",IF(ABS(LN('Historique ajusté'!E10/'Historique ajusté'!E9))&gt;Seuil_aberrant,"",'Historique ajusté'!E10/'Historique ajusté'!E9-1))</f>
        <v/>
      </c>
      <c r="F10" s="34">
        <f>IF(OR('Historique ajusté'!F10="",'Historique ajusté'!F9=""),"",IF(ABS(LN('Historique ajusté'!F10/'Historique ajusté'!F9))&gt;Seuil_aberrant,"",'Historique ajusté'!F10/'Historique ajusté'!F9-1))</f>
        <v/>
      </c>
      <c r="G10" s="34">
        <f>IF(OR('Historique ajusté'!G10="",'Historique ajusté'!G9=""),"",IF(ABS(LN('Historique ajusté'!G10/'Historique ajusté'!G9))&gt;Seuil_aberrant,"",'Historique ajusté'!G10/'Historique ajusté'!G9-1))</f>
        <v/>
      </c>
      <c r="H10" s="34">
        <f>IF(OR('Historique ajusté'!H10="",'Historique ajusté'!H9=""),"",IF(ABS(LN('Historique ajusté'!H10/'Historique ajusté'!H9))&gt;Seuil_aberrant,"",'Historique ajusté'!H10/'Historique ajusté'!H9-1))</f>
        <v/>
      </c>
      <c r="I10" s="34">
        <f>IF(OR('Historique ajusté'!I10="",'Historique ajusté'!I9=""),"",IF(ABS(LN('Historique ajusté'!I10/'Historique ajusté'!I9))&gt;Seuil_aberrant,"",'Historique ajusté'!I10/'Historique ajusté'!I9-1))</f>
        <v/>
      </c>
      <c r="J10" s="34">
        <f>IF(OR('Historique ajusté'!J10="",'Historique ajusté'!J9=""),"",IF(ABS(LN('Historique ajusté'!J10/'Historique ajusté'!J9))&gt;Seuil_aberrant,"",'Historique ajusté'!J10/'Historique ajusté'!J9-1))</f>
        <v/>
      </c>
      <c r="K10" s="34">
        <f>IF(OR('Historique ajusté'!K10="",'Historique ajusté'!K9=""),"",IF(ABS(LN('Historique ajusté'!K10/'Historique ajusté'!K9))&gt;Seuil_aberrant,"",'Historique ajusté'!K10/'Historique ajusté'!K9-1))</f>
        <v/>
      </c>
      <c r="L10" s="34">
        <f>IF(OR('Historique ajusté'!L10="",'Historique ajusté'!L9=""),"",IF(ABS(LN('Historique ajusté'!L10/'Historique ajusté'!L9))&gt;Seuil_aberrant,"",'Historique ajusté'!L10/'Historique ajusté'!L9-1))</f>
        <v/>
      </c>
      <c r="M10" s="34">
        <f>IF(OR('Historique ajusté'!M10="",'Historique ajusté'!M9=""),"",IF(ABS(LN('Historique ajusté'!M10/'Historique ajusté'!M9))&gt;Seuil_aberrant,"",'Historique ajusté'!M10/'Historique ajusté'!M9-1))</f>
        <v/>
      </c>
      <c r="N10" s="34">
        <f>IF(OR('Historique ajusté'!N10="",'Historique ajusté'!N9=""),"",IF(ABS(LN('Historique ajusté'!N10/'Historique ajusté'!N9))&gt;Seuil_aberrant,"",'Historique ajusté'!N10/'Historique ajusté'!N9-1))</f>
        <v/>
      </c>
      <c r="O10" s="34">
        <f>IF(OR('Historique ajusté'!O10="",'Historique ajusté'!O9=""),"",IF(ABS(LN('Historique ajusté'!O10/'Historique ajusté'!O9))&gt;Seuil_aberrant,"",'Historique ajusté'!O10/'Historique ajusté'!O9-1))</f>
        <v/>
      </c>
      <c r="P10" s="34">
        <f>IF(OR('Historique ajusté'!P10="",'Historique ajusté'!P9=""),"",IF(ABS(LN('Historique ajusté'!P10/'Historique ajusté'!P9))&gt;Seuil_aberrant,"",'Historique ajusté'!P10/'Historique ajusté'!P9-1))</f>
        <v/>
      </c>
    </row>
    <row r="11">
      <c r="B11" s="32">
        <f>'Historique ajusté'!B11</f>
        <v/>
      </c>
      <c r="C11" s="34">
        <f>IF(OR('Historique ajusté'!C11="",'Historique ajusté'!C10=""),"",IF(ABS(LN('Historique ajusté'!C11/'Historique ajusté'!C10))&gt;Seuil_aberrant,"",'Historique ajusté'!C11/'Historique ajusté'!C10-1))</f>
        <v/>
      </c>
      <c r="D11" s="34">
        <f>IF(OR('Historique ajusté'!D11="",'Historique ajusté'!D10=""),"",IF(ABS(LN('Historique ajusté'!D11/'Historique ajusté'!D10))&gt;Seuil_aberrant,"",'Historique ajusté'!D11/'Historique ajusté'!D10-1))</f>
        <v/>
      </c>
      <c r="E11" s="34">
        <f>IF(OR('Historique ajusté'!E11="",'Historique ajusté'!E10=""),"",IF(ABS(LN('Historique ajusté'!E11/'Historique ajusté'!E10))&gt;Seuil_aberrant,"",'Historique ajusté'!E11/'Historique ajusté'!E10-1))</f>
        <v/>
      </c>
      <c r="F11" s="34">
        <f>IF(OR('Historique ajusté'!F11="",'Historique ajusté'!F10=""),"",IF(ABS(LN('Historique ajusté'!F11/'Historique ajusté'!F10))&gt;Seuil_aberrant,"",'Historique ajusté'!F11/'Historique ajusté'!F10-1))</f>
        <v/>
      </c>
      <c r="G11" s="34">
        <f>IF(OR('Historique ajusté'!G11="",'Historique ajusté'!G10=""),"",IF(ABS(LN('Historique ajusté'!G11/'Historique ajusté'!G10))&gt;Seuil_aberrant,"",'Historique ajusté'!G11/'Historique ajusté'!G10-1))</f>
        <v/>
      </c>
      <c r="H11" s="34">
        <f>IF(OR('Historique ajusté'!H11="",'Historique ajusté'!H10=""),"",IF(ABS(LN('Historique ajusté'!H11/'Historique ajusté'!H10))&gt;Seuil_aberrant,"",'Historique ajusté'!H11/'Historique ajusté'!H10-1))</f>
        <v/>
      </c>
      <c r="I11" s="34">
        <f>IF(OR('Historique ajusté'!I11="",'Historique ajusté'!I10=""),"",IF(ABS(LN('Historique ajusté'!I11/'Historique ajusté'!I10))&gt;Seuil_aberrant,"",'Historique ajusté'!I11/'Historique ajusté'!I10-1))</f>
        <v/>
      </c>
      <c r="J11" s="34">
        <f>IF(OR('Historique ajusté'!J11="",'Historique ajusté'!J10=""),"",IF(ABS(LN('Historique ajusté'!J11/'Historique ajusté'!J10))&gt;Seuil_aberrant,"",'Historique ajusté'!J11/'Historique ajusté'!J10-1))</f>
        <v/>
      </c>
      <c r="K11" s="34">
        <f>IF(OR('Historique ajusté'!K11="",'Historique ajusté'!K10=""),"",IF(ABS(LN('Historique ajusté'!K11/'Historique ajusté'!K10))&gt;Seuil_aberrant,"",'Historique ajusté'!K11/'Historique ajusté'!K10-1))</f>
        <v/>
      </c>
      <c r="L11" s="34">
        <f>IF(OR('Historique ajusté'!L11="",'Historique ajusté'!L10=""),"",IF(ABS(LN('Historique ajusté'!L11/'Historique ajusté'!L10))&gt;Seuil_aberrant,"",'Historique ajusté'!L11/'Historique ajusté'!L10-1))</f>
        <v/>
      </c>
      <c r="M11" s="34">
        <f>IF(OR('Historique ajusté'!M11="",'Historique ajusté'!M10=""),"",IF(ABS(LN('Historique ajusté'!M11/'Historique ajusté'!M10))&gt;Seuil_aberrant,"",'Historique ajusté'!M11/'Historique ajusté'!M10-1))</f>
        <v/>
      </c>
      <c r="N11" s="34">
        <f>IF(OR('Historique ajusté'!N11="",'Historique ajusté'!N10=""),"",IF(ABS(LN('Historique ajusté'!N11/'Historique ajusté'!N10))&gt;Seuil_aberrant,"",'Historique ajusté'!N11/'Historique ajusté'!N10-1))</f>
        <v/>
      </c>
      <c r="O11" s="34">
        <f>IF(OR('Historique ajusté'!O11="",'Historique ajusté'!O10=""),"",IF(ABS(LN('Historique ajusté'!O11/'Historique ajusté'!O10))&gt;Seuil_aberrant,"",'Historique ajusté'!O11/'Historique ajusté'!O10-1))</f>
        <v/>
      </c>
      <c r="P11" s="34">
        <f>IF(OR('Historique ajusté'!P11="",'Historique ajusté'!P10=""),"",IF(ABS(LN('Historique ajusté'!P11/'Historique ajusté'!P10))&gt;Seuil_aberrant,"",'Historique ajusté'!P11/'Historique ajusté'!P10-1))</f>
        <v/>
      </c>
    </row>
    <row r="12">
      <c r="B12" s="32">
        <f>'Historique ajusté'!B12</f>
        <v/>
      </c>
      <c r="C12" s="34">
        <f>IF(OR('Historique ajusté'!C12="",'Historique ajusté'!C11=""),"",IF(ABS(LN('Historique ajusté'!C12/'Historique ajusté'!C11))&gt;Seuil_aberrant,"",'Historique ajusté'!C12/'Historique ajusté'!C11-1))</f>
        <v/>
      </c>
      <c r="D12" s="34">
        <f>IF(OR('Historique ajusté'!D12="",'Historique ajusté'!D11=""),"",IF(ABS(LN('Historique ajusté'!D12/'Historique ajusté'!D11))&gt;Seuil_aberrant,"",'Historique ajusté'!D12/'Historique ajusté'!D11-1))</f>
        <v/>
      </c>
      <c r="E12" s="34">
        <f>IF(OR('Historique ajusté'!E12="",'Historique ajusté'!E11=""),"",IF(ABS(LN('Historique ajusté'!E12/'Historique ajusté'!E11))&gt;Seuil_aberrant,"",'Historique ajusté'!E12/'Historique ajusté'!E11-1))</f>
        <v/>
      </c>
      <c r="F12" s="34">
        <f>IF(OR('Historique ajusté'!F12="",'Historique ajusté'!F11=""),"",IF(ABS(LN('Historique ajusté'!F12/'Historique ajusté'!F11))&gt;Seuil_aberrant,"",'Historique ajusté'!F12/'Historique ajusté'!F11-1))</f>
        <v/>
      </c>
      <c r="G12" s="34">
        <f>IF(OR('Historique ajusté'!G12="",'Historique ajusté'!G11=""),"",IF(ABS(LN('Historique ajusté'!G12/'Historique ajusté'!G11))&gt;Seuil_aberrant,"",'Historique ajusté'!G12/'Historique ajusté'!G11-1))</f>
        <v/>
      </c>
      <c r="H12" s="34">
        <f>IF(OR('Historique ajusté'!H12="",'Historique ajusté'!H11=""),"",IF(ABS(LN('Historique ajusté'!H12/'Historique ajusté'!H11))&gt;Seuil_aberrant,"",'Historique ajusté'!H12/'Historique ajusté'!H11-1))</f>
        <v/>
      </c>
      <c r="I12" s="34">
        <f>IF(OR('Historique ajusté'!I12="",'Historique ajusté'!I11=""),"",IF(ABS(LN('Historique ajusté'!I12/'Historique ajusté'!I11))&gt;Seuil_aberrant,"",'Historique ajusté'!I12/'Historique ajusté'!I11-1))</f>
        <v/>
      </c>
      <c r="J12" s="34">
        <f>IF(OR('Historique ajusté'!J12="",'Historique ajusté'!J11=""),"",IF(ABS(LN('Historique ajusté'!J12/'Historique ajusté'!J11))&gt;Seuil_aberrant,"",'Historique ajusté'!J12/'Historique ajusté'!J11-1))</f>
        <v/>
      </c>
      <c r="K12" s="34">
        <f>IF(OR('Historique ajusté'!K12="",'Historique ajusté'!K11=""),"",IF(ABS(LN('Historique ajusté'!K12/'Historique ajusté'!K11))&gt;Seuil_aberrant,"",'Historique ajusté'!K12/'Historique ajusté'!K11-1))</f>
        <v/>
      </c>
      <c r="L12" s="34">
        <f>IF(OR('Historique ajusté'!L12="",'Historique ajusté'!L11=""),"",IF(ABS(LN('Historique ajusté'!L12/'Historique ajusté'!L11))&gt;Seuil_aberrant,"",'Historique ajusté'!L12/'Historique ajusté'!L11-1))</f>
        <v/>
      </c>
      <c r="M12" s="34">
        <f>IF(OR('Historique ajusté'!M12="",'Historique ajusté'!M11=""),"",IF(ABS(LN('Historique ajusté'!M12/'Historique ajusté'!M11))&gt;Seuil_aberrant,"",'Historique ajusté'!M12/'Historique ajusté'!M11-1))</f>
        <v/>
      </c>
      <c r="N12" s="34">
        <f>IF(OR('Historique ajusté'!N12="",'Historique ajusté'!N11=""),"",IF(ABS(LN('Historique ajusté'!N12/'Historique ajusté'!N11))&gt;Seuil_aberrant,"",'Historique ajusté'!N12/'Historique ajusté'!N11-1))</f>
        <v/>
      </c>
      <c r="O12" s="34">
        <f>IF(OR('Historique ajusté'!O12="",'Historique ajusté'!O11=""),"",IF(ABS(LN('Historique ajusté'!O12/'Historique ajusté'!O11))&gt;Seuil_aberrant,"",'Historique ajusté'!O12/'Historique ajusté'!O11-1))</f>
        <v/>
      </c>
      <c r="P12" s="34">
        <f>IF(OR('Historique ajusté'!P12="",'Historique ajusté'!P11=""),"",IF(ABS(LN('Historique ajusté'!P12/'Historique ajusté'!P11))&gt;Seuil_aberrant,"",'Historique ajusté'!P12/'Historique ajusté'!P11-1))</f>
        <v/>
      </c>
    </row>
    <row r="13">
      <c r="B13" s="32">
        <f>'Historique ajusté'!B13</f>
        <v/>
      </c>
      <c r="C13" s="34">
        <f>IF(OR('Historique ajusté'!C13="",'Historique ajusté'!C12=""),"",IF(ABS(LN('Historique ajusté'!C13/'Historique ajusté'!C12))&gt;Seuil_aberrant,"",'Historique ajusté'!C13/'Historique ajusté'!C12-1))</f>
        <v/>
      </c>
      <c r="D13" s="34">
        <f>IF(OR('Historique ajusté'!D13="",'Historique ajusté'!D12=""),"",IF(ABS(LN('Historique ajusté'!D13/'Historique ajusté'!D12))&gt;Seuil_aberrant,"",'Historique ajusté'!D13/'Historique ajusté'!D12-1))</f>
        <v/>
      </c>
      <c r="E13" s="34">
        <f>IF(OR('Historique ajusté'!E13="",'Historique ajusté'!E12=""),"",IF(ABS(LN('Historique ajusté'!E13/'Historique ajusté'!E12))&gt;Seuil_aberrant,"",'Historique ajusté'!E13/'Historique ajusté'!E12-1))</f>
        <v/>
      </c>
      <c r="F13" s="34">
        <f>IF(OR('Historique ajusté'!F13="",'Historique ajusté'!F12=""),"",IF(ABS(LN('Historique ajusté'!F13/'Historique ajusté'!F12))&gt;Seuil_aberrant,"",'Historique ajusté'!F13/'Historique ajusté'!F12-1))</f>
        <v/>
      </c>
      <c r="G13" s="34">
        <f>IF(OR('Historique ajusté'!G13="",'Historique ajusté'!G12=""),"",IF(ABS(LN('Historique ajusté'!G13/'Historique ajusté'!G12))&gt;Seuil_aberrant,"",'Historique ajusté'!G13/'Historique ajusté'!G12-1))</f>
        <v/>
      </c>
      <c r="H13" s="34">
        <f>IF(OR('Historique ajusté'!H13="",'Historique ajusté'!H12=""),"",IF(ABS(LN('Historique ajusté'!H13/'Historique ajusté'!H12))&gt;Seuil_aberrant,"",'Historique ajusté'!H13/'Historique ajusté'!H12-1))</f>
        <v/>
      </c>
      <c r="I13" s="34">
        <f>IF(OR('Historique ajusté'!I13="",'Historique ajusté'!I12=""),"",IF(ABS(LN('Historique ajusté'!I13/'Historique ajusté'!I12))&gt;Seuil_aberrant,"",'Historique ajusté'!I13/'Historique ajusté'!I12-1))</f>
        <v/>
      </c>
      <c r="J13" s="34">
        <f>IF(OR('Historique ajusté'!J13="",'Historique ajusté'!J12=""),"",IF(ABS(LN('Historique ajusté'!J13/'Historique ajusté'!J12))&gt;Seuil_aberrant,"",'Historique ajusté'!J13/'Historique ajusté'!J12-1))</f>
        <v/>
      </c>
      <c r="K13" s="34">
        <f>IF(OR('Historique ajusté'!K13="",'Historique ajusté'!K12=""),"",IF(ABS(LN('Historique ajusté'!K13/'Historique ajusté'!K12))&gt;Seuil_aberrant,"",'Historique ajusté'!K13/'Historique ajusté'!K12-1))</f>
        <v/>
      </c>
      <c r="L13" s="34">
        <f>IF(OR('Historique ajusté'!L13="",'Historique ajusté'!L12=""),"",IF(ABS(LN('Historique ajusté'!L13/'Historique ajusté'!L12))&gt;Seuil_aberrant,"",'Historique ajusté'!L13/'Historique ajusté'!L12-1))</f>
        <v/>
      </c>
      <c r="M13" s="34">
        <f>IF(OR('Historique ajusté'!M13="",'Historique ajusté'!M12=""),"",IF(ABS(LN('Historique ajusté'!M13/'Historique ajusté'!M12))&gt;Seuil_aberrant,"",'Historique ajusté'!M13/'Historique ajusté'!M12-1))</f>
        <v/>
      </c>
      <c r="N13" s="34">
        <f>IF(OR('Historique ajusté'!N13="",'Historique ajusté'!N12=""),"",IF(ABS(LN('Historique ajusté'!N13/'Historique ajusté'!N12))&gt;Seuil_aberrant,"",'Historique ajusté'!N13/'Historique ajusté'!N12-1))</f>
        <v/>
      </c>
      <c r="O13" s="34">
        <f>IF(OR('Historique ajusté'!O13="",'Historique ajusté'!O12=""),"",IF(ABS(LN('Historique ajusté'!O13/'Historique ajusté'!O12))&gt;Seuil_aberrant,"",'Historique ajusté'!O13/'Historique ajusté'!O12-1))</f>
        <v/>
      </c>
      <c r="P13" s="34">
        <f>IF(OR('Historique ajusté'!P13="",'Historique ajusté'!P12=""),"",IF(ABS(LN('Historique ajusté'!P13/'Historique ajusté'!P12))&gt;Seuil_aberrant,"",'Historique ajusté'!P13/'Historique ajusté'!P12-1))</f>
        <v/>
      </c>
    </row>
    <row r="14">
      <c r="B14" s="32">
        <f>'Historique ajusté'!B14</f>
        <v/>
      </c>
      <c r="C14" s="34">
        <f>IF(OR('Historique ajusté'!C14="",'Historique ajusté'!C13=""),"",IF(ABS(LN('Historique ajusté'!C14/'Historique ajusté'!C13))&gt;Seuil_aberrant,"",'Historique ajusté'!C14/'Historique ajusté'!C13-1))</f>
        <v/>
      </c>
      <c r="D14" s="34">
        <f>IF(OR('Historique ajusté'!D14="",'Historique ajusté'!D13=""),"",IF(ABS(LN('Historique ajusté'!D14/'Historique ajusté'!D13))&gt;Seuil_aberrant,"",'Historique ajusté'!D14/'Historique ajusté'!D13-1))</f>
        <v/>
      </c>
      <c r="E14" s="34">
        <f>IF(OR('Historique ajusté'!E14="",'Historique ajusté'!E13=""),"",IF(ABS(LN('Historique ajusté'!E14/'Historique ajusté'!E13))&gt;Seuil_aberrant,"",'Historique ajusté'!E14/'Historique ajusté'!E13-1))</f>
        <v/>
      </c>
      <c r="F14" s="34">
        <f>IF(OR('Historique ajusté'!F14="",'Historique ajusté'!F13=""),"",IF(ABS(LN('Historique ajusté'!F14/'Historique ajusté'!F13))&gt;Seuil_aberrant,"",'Historique ajusté'!F14/'Historique ajusté'!F13-1))</f>
        <v/>
      </c>
      <c r="G14" s="34">
        <f>IF(OR('Historique ajusté'!G14="",'Historique ajusté'!G13=""),"",IF(ABS(LN('Historique ajusté'!G14/'Historique ajusté'!G13))&gt;Seuil_aberrant,"",'Historique ajusté'!G14/'Historique ajusté'!G13-1))</f>
        <v/>
      </c>
      <c r="H14" s="34">
        <f>IF(OR('Historique ajusté'!H14="",'Historique ajusté'!H13=""),"",IF(ABS(LN('Historique ajusté'!H14/'Historique ajusté'!H13))&gt;Seuil_aberrant,"",'Historique ajusté'!H14/'Historique ajusté'!H13-1))</f>
        <v/>
      </c>
      <c r="I14" s="34">
        <f>IF(OR('Historique ajusté'!I14="",'Historique ajusté'!I13=""),"",IF(ABS(LN('Historique ajusté'!I14/'Historique ajusté'!I13))&gt;Seuil_aberrant,"",'Historique ajusté'!I14/'Historique ajusté'!I13-1))</f>
        <v/>
      </c>
      <c r="J14" s="34">
        <f>IF(OR('Historique ajusté'!J14="",'Historique ajusté'!J13=""),"",IF(ABS(LN('Historique ajusté'!J14/'Historique ajusté'!J13))&gt;Seuil_aberrant,"",'Historique ajusté'!J14/'Historique ajusté'!J13-1))</f>
        <v/>
      </c>
      <c r="K14" s="34">
        <f>IF(OR('Historique ajusté'!K14="",'Historique ajusté'!K13=""),"",IF(ABS(LN('Historique ajusté'!K14/'Historique ajusté'!K13))&gt;Seuil_aberrant,"",'Historique ajusté'!K14/'Historique ajusté'!K13-1))</f>
        <v/>
      </c>
      <c r="L14" s="34">
        <f>IF(OR('Historique ajusté'!L14="",'Historique ajusté'!L13=""),"",IF(ABS(LN('Historique ajusté'!L14/'Historique ajusté'!L13))&gt;Seuil_aberrant,"",'Historique ajusté'!L14/'Historique ajusté'!L13-1))</f>
        <v/>
      </c>
      <c r="M14" s="34">
        <f>IF(OR('Historique ajusté'!M14="",'Historique ajusté'!M13=""),"",IF(ABS(LN('Historique ajusté'!M14/'Historique ajusté'!M13))&gt;Seuil_aberrant,"",'Historique ajusté'!M14/'Historique ajusté'!M13-1))</f>
        <v/>
      </c>
      <c r="N14" s="34">
        <f>IF(OR('Historique ajusté'!N14="",'Historique ajusté'!N13=""),"",IF(ABS(LN('Historique ajusté'!N14/'Historique ajusté'!N13))&gt;Seuil_aberrant,"",'Historique ajusté'!N14/'Historique ajusté'!N13-1))</f>
        <v/>
      </c>
      <c r="O14" s="34">
        <f>IF(OR('Historique ajusté'!O14="",'Historique ajusté'!O13=""),"",IF(ABS(LN('Historique ajusté'!O14/'Historique ajusté'!O13))&gt;Seuil_aberrant,"",'Historique ajusté'!O14/'Historique ajusté'!O13-1))</f>
        <v/>
      </c>
      <c r="P14" s="34">
        <f>IF(OR('Historique ajusté'!P14="",'Historique ajusté'!P13=""),"",IF(ABS(LN('Historique ajusté'!P14/'Historique ajusté'!P13))&gt;Seuil_aberrant,"",'Historique ajusté'!P14/'Historique ajusté'!P13-1))</f>
        <v/>
      </c>
    </row>
    <row r="15">
      <c r="B15" s="32">
        <f>'Historique ajusté'!B15</f>
        <v/>
      </c>
      <c r="C15" s="34">
        <f>IF(OR('Historique ajusté'!C15="",'Historique ajusté'!C14=""),"",IF(ABS(LN('Historique ajusté'!C15/'Historique ajusté'!C14))&gt;Seuil_aberrant,"",'Historique ajusté'!C15/'Historique ajusté'!C14-1))</f>
        <v/>
      </c>
      <c r="D15" s="34">
        <f>IF(OR('Historique ajusté'!D15="",'Historique ajusté'!D14=""),"",IF(ABS(LN('Historique ajusté'!D15/'Historique ajusté'!D14))&gt;Seuil_aberrant,"",'Historique ajusté'!D15/'Historique ajusté'!D14-1))</f>
        <v/>
      </c>
      <c r="E15" s="34">
        <f>IF(OR('Historique ajusté'!E15="",'Historique ajusté'!E14=""),"",IF(ABS(LN('Historique ajusté'!E15/'Historique ajusté'!E14))&gt;Seuil_aberrant,"",'Historique ajusté'!E15/'Historique ajusté'!E14-1))</f>
        <v/>
      </c>
      <c r="F15" s="34">
        <f>IF(OR('Historique ajusté'!F15="",'Historique ajusté'!F14=""),"",IF(ABS(LN('Historique ajusté'!F15/'Historique ajusté'!F14))&gt;Seuil_aberrant,"",'Historique ajusté'!F15/'Historique ajusté'!F14-1))</f>
        <v/>
      </c>
      <c r="G15" s="34">
        <f>IF(OR('Historique ajusté'!G15="",'Historique ajusté'!G14=""),"",IF(ABS(LN('Historique ajusté'!G15/'Historique ajusté'!G14))&gt;Seuil_aberrant,"",'Historique ajusté'!G15/'Historique ajusté'!G14-1))</f>
        <v/>
      </c>
      <c r="H15" s="34">
        <f>IF(OR('Historique ajusté'!H15="",'Historique ajusté'!H14=""),"",IF(ABS(LN('Historique ajusté'!H15/'Historique ajusté'!H14))&gt;Seuil_aberrant,"",'Historique ajusté'!H15/'Historique ajusté'!H14-1))</f>
        <v/>
      </c>
      <c r="I15" s="34">
        <f>IF(OR('Historique ajusté'!I15="",'Historique ajusté'!I14=""),"",IF(ABS(LN('Historique ajusté'!I15/'Historique ajusté'!I14))&gt;Seuil_aberrant,"",'Historique ajusté'!I15/'Historique ajusté'!I14-1))</f>
        <v/>
      </c>
      <c r="J15" s="34">
        <f>IF(OR('Historique ajusté'!J15="",'Historique ajusté'!J14=""),"",IF(ABS(LN('Historique ajusté'!J15/'Historique ajusté'!J14))&gt;Seuil_aberrant,"",'Historique ajusté'!J15/'Historique ajusté'!J14-1))</f>
        <v/>
      </c>
      <c r="K15" s="34">
        <f>IF(OR('Historique ajusté'!K15="",'Historique ajusté'!K14=""),"",IF(ABS(LN('Historique ajusté'!K15/'Historique ajusté'!K14))&gt;Seuil_aberrant,"",'Historique ajusté'!K15/'Historique ajusté'!K14-1))</f>
        <v/>
      </c>
      <c r="L15" s="34">
        <f>IF(OR('Historique ajusté'!L15="",'Historique ajusté'!L14=""),"",IF(ABS(LN('Historique ajusté'!L15/'Historique ajusté'!L14))&gt;Seuil_aberrant,"",'Historique ajusté'!L15/'Historique ajusté'!L14-1))</f>
        <v/>
      </c>
      <c r="M15" s="34">
        <f>IF(OR('Historique ajusté'!M15="",'Historique ajusté'!M14=""),"",IF(ABS(LN('Historique ajusté'!M15/'Historique ajusté'!M14))&gt;Seuil_aberrant,"",'Historique ajusté'!M15/'Historique ajusté'!M14-1))</f>
        <v/>
      </c>
      <c r="N15" s="34">
        <f>IF(OR('Historique ajusté'!N15="",'Historique ajusté'!N14=""),"",IF(ABS(LN('Historique ajusté'!N15/'Historique ajusté'!N14))&gt;Seuil_aberrant,"",'Historique ajusté'!N15/'Historique ajusté'!N14-1))</f>
        <v/>
      </c>
      <c r="O15" s="34">
        <f>IF(OR('Historique ajusté'!O15="",'Historique ajusté'!O14=""),"",IF(ABS(LN('Historique ajusté'!O15/'Historique ajusté'!O14))&gt;Seuil_aberrant,"",'Historique ajusté'!O15/'Historique ajusté'!O14-1))</f>
        <v/>
      </c>
      <c r="P15" s="34">
        <f>IF(OR('Historique ajusté'!P15="",'Historique ajusté'!P14=""),"",IF(ABS(LN('Historique ajusté'!P15/'Historique ajusté'!P14))&gt;Seuil_aberrant,"",'Historique ajusté'!P15/'Historique ajusté'!P14-1))</f>
        <v/>
      </c>
    </row>
    <row r="16">
      <c r="B16" s="32">
        <f>'Historique ajusté'!B16</f>
        <v/>
      </c>
      <c r="C16" s="34">
        <f>IF(OR('Historique ajusté'!C16="",'Historique ajusté'!C15=""),"",IF(ABS(LN('Historique ajusté'!C16/'Historique ajusté'!C15))&gt;Seuil_aberrant,"",'Historique ajusté'!C16/'Historique ajusté'!C15-1))</f>
        <v/>
      </c>
      <c r="D16" s="34">
        <f>IF(OR('Historique ajusté'!D16="",'Historique ajusté'!D15=""),"",IF(ABS(LN('Historique ajusté'!D16/'Historique ajusté'!D15))&gt;Seuil_aberrant,"",'Historique ajusté'!D16/'Historique ajusté'!D15-1))</f>
        <v/>
      </c>
      <c r="E16" s="34">
        <f>IF(OR('Historique ajusté'!E16="",'Historique ajusté'!E15=""),"",IF(ABS(LN('Historique ajusté'!E16/'Historique ajusté'!E15))&gt;Seuil_aberrant,"",'Historique ajusté'!E16/'Historique ajusté'!E15-1))</f>
        <v/>
      </c>
      <c r="F16" s="34">
        <f>IF(OR('Historique ajusté'!F16="",'Historique ajusté'!F15=""),"",IF(ABS(LN('Historique ajusté'!F16/'Historique ajusté'!F15))&gt;Seuil_aberrant,"",'Historique ajusté'!F16/'Historique ajusté'!F15-1))</f>
        <v/>
      </c>
      <c r="G16" s="34">
        <f>IF(OR('Historique ajusté'!G16="",'Historique ajusté'!G15=""),"",IF(ABS(LN('Historique ajusté'!G16/'Historique ajusté'!G15))&gt;Seuil_aberrant,"",'Historique ajusté'!G16/'Historique ajusté'!G15-1))</f>
        <v/>
      </c>
      <c r="H16" s="34">
        <f>IF(OR('Historique ajusté'!H16="",'Historique ajusté'!H15=""),"",IF(ABS(LN('Historique ajusté'!H16/'Historique ajusté'!H15))&gt;Seuil_aberrant,"",'Historique ajusté'!H16/'Historique ajusté'!H15-1))</f>
        <v/>
      </c>
      <c r="I16" s="34">
        <f>IF(OR('Historique ajusté'!I16="",'Historique ajusté'!I15=""),"",IF(ABS(LN('Historique ajusté'!I16/'Historique ajusté'!I15))&gt;Seuil_aberrant,"",'Historique ajusté'!I16/'Historique ajusté'!I15-1))</f>
        <v/>
      </c>
      <c r="J16" s="34">
        <f>IF(OR('Historique ajusté'!J16="",'Historique ajusté'!J15=""),"",IF(ABS(LN('Historique ajusté'!J16/'Historique ajusté'!J15))&gt;Seuil_aberrant,"",'Historique ajusté'!J16/'Historique ajusté'!J15-1))</f>
        <v/>
      </c>
      <c r="K16" s="34">
        <f>IF(OR('Historique ajusté'!K16="",'Historique ajusté'!K15=""),"",IF(ABS(LN('Historique ajusté'!K16/'Historique ajusté'!K15))&gt;Seuil_aberrant,"",'Historique ajusté'!K16/'Historique ajusté'!K15-1))</f>
        <v/>
      </c>
      <c r="L16" s="34">
        <f>IF(OR('Historique ajusté'!L16="",'Historique ajusté'!L15=""),"",IF(ABS(LN('Historique ajusté'!L16/'Historique ajusté'!L15))&gt;Seuil_aberrant,"",'Historique ajusté'!L16/'Historique ajusté'!L15-1))</f>
        <v/>
      </c>
      <c r="M16" s="34">
        <f>IF(OR('Historique ajusté'!M16="",'Historique ajusté'!M15=""),"",IF(ABS(LN('Historique ajusté'!M16/'Historique ajusté'!M15))&gt;Seuil_aberrant,"",'Historique ajusté'!M16/'Historique ajusté'!M15-1))</f>
        <v/>
      </c>
      <c r="N16" s="34">
        <f>IF(OR('Historique ajusté'!N16="",'Historique ajusté'!N15=""),"",IF(ABS(LN('Historique ajusté'!N16/'Historique ajusté'!N15))&gt;Seuil_aberrant,"",'Historique ajusté'!N16/'Historique ajusté'!N15-1))</f>
        <v/>
      </c>
      <c r="O16" s="34">
        <f>IF(OR('Historique ajusté'!O16="",'Historique ajusté'!O15=""),"",IF(ABS(LN('Historique ajusté'!O16/'Historique ajusté'!O15))&gt;Seuil_aberrant,"",'Historique ajusté'!O16/'Historique ajusté'!O15-1))</f>
        <v/>
      </c>
      <c r="P16" s="34">
        <f>IF(OR('Historique ajusté'!P16="",'Historique ajusté'!P15=""),"",IF(ABS(LN('Historique ajusté'!P16/'Historique ajusté'!P15))&gt;Seuil_aberrant,"",'Historique ajusté'!P16/'Historique ajusté'!P15-1))</f>
        <v/>
      </c>
    </row>
    <row r="17">
      <c r="B17" s="32">
        <f>'Historique ajusté'!B17</f>
        <v/>
      </c>
      <c r="C17" s="34">
        <f>IF(OR('Historique ajusté'!C17="",'Historique ajusté'!C16=""),"",IF(ABS(LN('Historique ajusté'!C17/'Historique ajusté'!C16))&gt;Seuil_aberrant,"",'Historique ajusté'!C17/'Historique ajusté'!C16-1))</f>
        <v/>
      </c>
      <c r="D17" s="34">
        <f>IF(OR('Historique ajusté'!D17="",'Historique ajusté'!D16=""),"",IF(ABS(LN('Historique ajusté'!D17/'Historique ajusté'!D16))&gt;Seuil_aberrant,"",'Historique ajusté'!D17/'Historique ajusté'!D16-1))</f>
        <v/>
      </c>
      <c r="E17" s="34">
        <f>IF(OR('Historique ajusté'!E17="",'Historique ajusté'!E16=""),"",IF(ABS(LN('Historique ajusté'!E17/'Historique ajusté'!E16))&gt;Seuil_aberrant,"",'Historique ajusté'!E17/'Historique ajusté'!E16-1))</f>
        <v/>
      </c>
      <c r="F17" s="34">
        <f>IF(OR('Historique ajusté'!F17="",'Historique ajusté'!F16=""),"",IF(ABS(LN('Historique ajusté'!F17/'Historique ajusté'!F16))&gt;Seuil_aberrant,"",'Historique ajusté'!F17/'Historique ajusté'!F16-1))</f>
        <v/>
      </c>
      <c r="G17" s="34">
        <f>IF(OR('Historique ajusté'!G17="",'Historique ajusté'!G16=""),"",IF(ABS(LN('Historique ajusté'!G17/'Historique ajusté'!G16))&gt;Seuil_aberrant,"",'Historique ajusté'!G17/'Historique ajusté'!G16-1))</f>
        <v/>
      </c>
      <c r="H17" s="34">
        <f>IF(OR('Historique ajusté'!H17="",'Historique ajusté'!H16=""),"",IF(ABS(LN('Historique ajusté'!H17/'Historique ajusté'!H16))&gt;Seuil_aberrant,"",'Historique ajusté'!H17/'Historique ajusté'!H16-1))</f>
        <v/>
      </c>
      <c r="I17" s="34">
        <f>IF(OR('Historique ajusté'!I17="",'Historique ajusté'!I16=""),"",IF(ABS(LN('Historique ajusté'!I17/'Historique ajusté'!I16))&gt;Seuil_aberrant,"",'Historique ajusté'!I17/'Historique ajusté'!I16-1))</f>
        <v/>
      </c>
      <c r="J17" s="34">
        <f>IF(OR('Historique ajusté'!J17="",'Historique ajusté'!J16=""),"",IF(ABS(LN('Historique ajusté'!J17/'Historique ajusté'!J16))&gt;Seuil_aberrant,"",'Historique ajusté'!J17/'Historique ajusté'!J16-1))</f>
        <v/>
      </c>
      <c r="K17" s="34">
        <f>IF(OR('Historique ajusté'!K17="",'Historique ajusté'!K16=""),"",IF(ABS(LN('Historique ajusté'!K17/'Historique ajusté'!K16))&gt;Seuil_aberrant,"",'Historique ajusté'!K17/'Historique ajusté'!K16-1))</f>
        <v/>
      </c>
      <c r="L17" s="34">
        <f>IF(OR('Historique ajusté'!L17="",'Historique ajusté'!L16=""),"",IF(ABS(LN('Historique ajusté'!L17/'Historique ajusté'!L16))&gt;Seuil_aberrant,"",'Historique ajusté'!L17/'Historique ajusté'!L16-1))</f>
        <v/>
      </c>
      <c r="M17" s="34">
        <f>IF(OR('Historique ajusté'!M17="",'Historique ajusté'!M16=""),"",IF(ABS(LN('Historique ajusté'!M17/'Historique ajusté'!M16))&gt;Seuil_aberrant,"",'Historique ajusté'!M17/'Historique ajusté'!M16-1))</f>
        <v/>
      </c>
      <c r="N17" s="34">
        <f>IF(OR('Historique ajusté'!N17="",'Historique ajusté'!N16=""),"",IF(ABS(LN('Historique ajusté'!N17/'Historique ajusté'!N16))&gt;Seuil_aberrant,"",'Historique ajusté'!N17/'Historique ajusté'!N16-1))</f>
        <v/>
      </c>
      <c r="O17" s="34">
        <f>IF(OR('Historique ajusté'!O17="",'Historique ajusté'!O16=""),"",IF(ABS(LN('Historique ajusté'!O17/'Historique ajusté'!O16))&gt;Seuil_aberrant,"",'Historique ajusté'!O17/'Historique ajusté'!O16-1))</f>
        <v/>
      </c>
      <c r="P17" s="34">
        <f>IF(OR('Historique ajusté'!P17="",'Historique ajusté'!P16=""),"",IF(ABS(LN('Historique ajusté'!P17/'Historique ajusté'!P16))&gt;Seuil_aberrant,"",'Historique ajusté'!P17/'Historique ajusté'!P16-1))</f>
        <v/>
      </c>
    </row>
    <row r="18">
      <c r="B18" s="32">
        <f>'Historique ajusté'!B18</f>
        <v/>
      </c>
      <c r="C18" s="34">
        <f>IF(OR('Historique ajusté'!C18="",'Historique ajusté'!C17=""),"",IF(ABS(LN('Historique ajusté'!C18/'Historique ajusté'!C17))&gt;Seuil_aberrant,"",'Historique ajusté'!C18/'Historique ajusté'!C17-1))</f>
        <v/>
      </c>
      <c r="D18" s="34">
        <f>IF(OR('Historique ajusté'!D18="",'Historique ajusté'!D17=""),"",IF(ABS(LN('Historique ajusté'!D18/'Historique ajusté'!D17))&gt;Seuil_aberrant,"",'Historique ajusté'!D18/'Historique ajusté'!D17-1))</f>
        <v/>
      </c>
      <c r="E18" s="34">
        <f>IF(OR('Historique ajusté'!E18="",'Historique ajusté'!E17=""),"",IF(ABS(LN('Historique ajusté'!E18/'Historique ajusté'!E17))&gt;Seuil_aberrant,"",'Historique ajusté'!E18/'Historique ajusté'!E17-1))</f>
        <v/>
      </c>
      <c r="F18" s="34">
        <f>IF(OR('Historique ajusté'!F18="",'Historique ajusté'!F17=""),"",IF(ABS(LN('Historique ajusté'!F18/'Historique ajusté'!F17))&gt;Seuil_aberrant,"",'Historique ajusté'!F18/'Historique ajusté'!F17-1))</f>
        <v/>
      </c>
      <c r="G18" s="34">
        <f>IF(OR('Historique ajusté'!G18="",'Historique ajusté'!G17=""),"",IF(ABS(LN('Historique ajusté'!G18/'Historique ajusté'!G17))&gt;Seuil_aberrant,"",'Historique ajusté'!G18/'Historique ajusté'!G17-1))</f>
        <v/>
      </c>
      <c r="H18" s="34">
        <f>IF(OR('Historique ajusté'!H18="",'Historique ajusté'!H17=""),"",IF(ABS(LN('Historique ajusté'!H18/'Historique ajusté'!H17))&gt;Seuil_aberrant,"",'Historique ajusté'!H18/'Historique ajusté'!H17-1))</f>
        <v/>
      </c>
      <c r="I18" s="34">
        <f>IF(OR('Historique ajusté'!I18="",'Historique ajusté'!I17=""),"",IF(ABS(LN('Historique ajusté'!I18/'Historique ajusté'!I17))&gt;Seuil_aberrant,"",'Historique ajusté'!I18/'Historique ajusté'!I17-1))</f>
        <v/>
      </c>
      <c r="J18" s="34">
        <f>IF(OR('Historique ajusté'!J18="",'Historique ajusté'!J17=""),"",IF(ABS(LN('Historique ajusté'!J18/'Historique ajusté'!J17))&gt;Seuil_aberrant,"",'Historique ajusté'!J18/'Historique ajusté'!J17-1))</f>
        <v/>
      </c>
      <c r="K18" s="34">
        <f>IF(OR('Historique ajusté'!K18="",'Historique ajusté'!K17=""),"",IF(ABS(LN('Historique ajusté'!K18/'Historique ajusté'!K17))&gt;Seuil_aberrant,"",'Historique ajusté'!K18/'Historique ajusté'!K17-1))</f>
        <v/>
      </c>
      <c r="L18" s="34">
        <f>IF(OR('Historique ajusté'!L18="",'Historique ajusté'!L17=""),"",IF(ABS(LN('Historique ajusté'!L18/'Historique ajusté'!L17))&gt;Seuil_aberrant,"",'Historique ajusté'!L18/'Historique ajusté'!L17-1))</f>
        <v/>
      </c>
      <c r="M18" s="34">
        <f>IF(OR('Historique ajusté'!M18="",'Historique ajusté'!M17=""),"",IF(ABS(LN('Historique ajusté'!M18/'Historique ajusté'!M17))&gt;Seuil_aberrant,"",'Historique ajusté'!M18/'Historique ajusté'!M17-1))</f>
        <v/>
      </c>
      <c r="N18" s="34">
        <f>IF(OR('Historique ajusté'!N18="",'Historique ajusté'!N17=""),"",IF(ABS(LN('Historique ajusté'!N18/'Historique ajusté'!N17))&gt;Seuil_aberrant,"",'Historique ajusté'!N18/'Historique ajusté'!N17-1))</f>
        <v/>
      </c>
      <c r="O18" s="34">
        <f>IF(OR('Historique ajusté'!O18="",'Historique ajusté'!O17=""),"",IF(ABS(LN('Historique ajusté'!O18/'Historique ajusté'!O17))&gt;Seuil_aberrant,"",'Historique ajusté'!O18/'Historique ajusté'!O17-1))</f>
        <v/>
      </c>
      <c r="P18" s="34">
        <f>IF(OR('Historique ajusté'!P18="",'Historique ajusté'!P17=""),"",IF(ABS(LN('Historique ajusté'!P18/'Historique ajusté'!P17))&gt;Seuil_aberrant,"",'Historique ajusté'!P18/'Historique ajusté'!P17-1))</f>
        <v/>
      </c>
    </row>
    <row r="19">
      <c r="B19" s="32">
        <f>'Historique ajusté'!B19</f>
        <v/>
      </c>
      <c r="C19" s="34">
        <f>IF(OR('Historique ajusté'!C19="",'Historique ajusté'!C18=""),"",IF(ABS(LN('Historique ajusté'!C19/'Historique ajusté'!C18))&gt;Seuil_aberrant,"",'Historique ajusté'!C19/'Historique ajusté'!C18-1))</f>
        <v/>
      </c>
      <c r="D19" s="34">
        <f>IF(OR('Historique ajusté'!D19="",'Historique ajusté'!D18=""),"",IF(ABS(LN('Historique ajusté'!D19/'Historique ajusté'!D18))&gt;Seuil_aberrant,"",'Historique ajusté'!D19/'Historique ajusté'!D18-1))</f>
        <v/>
      </c>
      <c r="E19" s="34">
        <f>IF(OR('Historique ajusté'!E19="",'Historique ajusté'!E18=""),"",IF(ABS(LN('Historique ajusté'!E19/'Historique ajusté'!E18))&gt;Seuil_aberrant,"",'Historique ajusté'!E19/'Historique ajusté'!E18-1))</f>
        <v/>
      </c>
      <c r="F19" s="34">
        <f>IF(OR('Historique ajusté'!F19="",'Historique ajusté'!F18=""),"",IF(ABS(LN('Historique ajusté'!F19/'Historique ajusté'!F18))&gt;Seuil_aberrant,"",'Historique ajusté'!F19/'Historique ajusté'!F18-1))</f>
        <v/>
      </c>
      <c r="G19" s="34">
        <f>IF(OR('Historique ajusté'!G19="",'Historique ajusté'!G18=""),"",IF(ABS(LN('Historique ajusté'!G19/'Historique ajusté'!G18))&gt;Seuil_aberrant,"",'Historique ajusté'!G19/'Historique ajusté'!G18-1))</f>
        <v/>
      </c>
      <c r="H19" s="34">
        <f>IF(OR('Historique ajusté'!H19="",'Historique ajusté'!H18=""),"",IF(ABS(LN('Historique ajusté'!H19/'Historique ajusté'!H18))&gt;Seuil_aberrant,"",'Historique ajusté'!H19/'Historique ajusté'!H18-1))</f>
        <v/>
      </c>
      <c r="I19" s="34">
        <f>IF(OR('Historique ajusté'!I19="",'Historique ajusté'!I18=""),"",IF(ABS(LN('Historique ajusté'!I19/'Historique ajusté'!I18))&gt;Seuil_aberrant,"",'Historique ajusté'!I19/'Historique ajusté'!I18-1))</f>
        <v/>
      </c>
      <c r="J19" s="34">
        <f>IF(OR('Historique ajusté'!J19="",'Historique ajusté'!J18=""),"",IF(ABS(LN('Historique ajusté'!J19/'Historique ajusté'!J18))&gt;Seuil_aberrant,"",'Historique ajusté'!J19/'Historique ajusté'!J18-1))</f>
        <v/>
      </c>
      <c r="K19" s="34">
        <f>IF(OR('Historique ajusté'!K19="",'Historique ajusté'!K18=""),"",IF(ABS(LN('Historique ajusté'!K19/'Historique ajusté'!K18))&gt;Seuil_aberrant,"",'Historique ajusté'!K19/'Historique ajusté'!K18-1))</f>
        <v/>
      </c>
      <c r="L19" s="34">
        <f>IF(OR('Historique ajusté'!L19="",'Historique ajusté'!L18=""),"",IF(ABS(LN('Historique ajusté'!L19/'Historique ajusté'!L18))&gt;Seuil_aberrant,"",'Historique ajusté'!L19/'Historique ajusté'!L18-1))</f>
        <v/>
      </c>
      <c r="M19" s="34">
        <f>IF(OR('Historique ajusté'!M19="",'Historique ajusté'!M18=""),"",IF(ABS(LN('Historique ajusté'!M19/'Historique ajusté'!M18))&gt;Seuil_aberrant,"",'Historique ajusté'!M19/'Historique ajusté'!M18-1))</f>
        <v/>
      </c>
      <c r="N19" s="34">
        <f>IF(OR('Historique ajusté'!N19="",'Historique ajusté'!N18=""),"",IF(ABS(LN('Historique ajusté'!N19/'Historique ajusté'!N18))&gt;Seuil_aberrant,"",'Historique ajusté'!N19/'Historique ajusté'!N18-1))</f>
        <v/>
      </c>
      <c r="O19" s="34">
        <f>IF(OR('Historique ajusté'!O19="",'Historique ajusté'!O18=""),"",IF(ABS(LN('Historique ajusté'!O19/'Historique ajusté'!O18))&gt;Seuil_aberrant,"",'Historique ajusté'!O19/'Historique ajusté'!O18-1))</f>
        <v/>
      </c>
      <c r="P19" s="34">
        <f>IF(OR('Historique ajusté'!P19="",'Historique ajusté'!P18=""),"",IF(ABS(LN('Historique ajusté'!P19/'Historique ajusté'!P18))&gt;Seuil_aberrant,"",'Historique ajusté'!P19/'Historique ajusté'!P18-1))</f>
        <v/>
      </c>
    </row>
    <row r="20">
      <c r="B20" s="32">
        <f>'Historique ajusté'!B20</f>
        <v/>
      </c>
      <c r="C20" s="34">
        <f>IF(OR('Historique ajusté'!C20="",'Historique ajusté'!C19=""),"",IF(ABS(LN('Historique ajusté'!C20/'Historique ajusté'!C19))&gt;Seuil_aberrant,"",'Historique ajusté'!C20/'Historique ajusté'!C19-1))</f>
        <v/>
      </c>
      <c r="D20" s="34">
        <f>IF(OR('Historique ajusté'!D20="",'Historique ajusté'!D19=""),"",IF(ABS(LN('Historique ajusté'!D20/'Historique ajusté'!D19))&gt;Seuil_aberrant,"",'Historique ajusté'!D20/'Historique ajusté'!D19-1))</f>
        <v/>
      </c>
      <c r="E20" s="34">
        <f>IF(OR('Historique ajusté'!E20="",'Historique ajusté'!E19=""),"",IF(ABS(LN('Historique ajusté'!E20/'Historique ajusté'!E19))&gt;Seuil_aberrant,"",'Historique ajusté'!E20/'Historique ajusté'!E19-1))</f>
        <v/>
      </c>
      <c r="F20" s="34">
        <f>IF(OR('Historique ajusté'!F20="",'Historique ajusté'!F19=""),"",IF(ABS(LN('Historique ajusté'!F20/'Historique ajusté'!F19))&gt;Seuil_aberrant,"",'Historique ajusté'!F20/'Historique ajusté'!F19-1))</f>
        <v/>
      </c>
      <c r="G20" s="34">
        <f>IF(OR('Historique ajusté'!G20="",'Historique ajusté'!G19=""),"",IF(ABS(LN('Historique ajusté'!G20/'Historique ajusté'!G19))&gt;Seuil_aberrant,"",'Historique ajusté'!G20/'Historique ajusté'!G19-1))</f>
        <v/>
      </c>
      <c r="H20" s="34">
        <f>IF(OR('Historique ajusté'!H20="",'Historique ajusté'!H19=""),"",IF(ABS(LN('Historique ajusté'!H20/'Historique ajusté'!H19))&gt;Seuil_aberrant,"",'Historique ajusté'!H20/'Historique ajusté'!H19-1))</f>
        <v/>
      </c>
      <c r="I20" s="34">
        <f>IF(OR('Historique ajusté'!I20="",'Historique ajusté'!I19=""),"",IF(ABS(LN('Historique ajusté'!I20/'Historique ajusté'!I19))&gt;Seuil_aberrant,"",'Historique ajusté'!I20/'Historique ajusté'!I19-1))</f>
        <v/>
      </c>
      <c r="J20" s="34">
        <f>IF(OR('Historique ajusté'!J20="",'Historique ajusté'!J19=""),"",IF(ABS(LN('Historique ajusté'!J20/'Historique ajusté'!J19))&gt;Seuil_aberrant,"",'Historique ajusté'!J20/'Historique ajusté'!J19-1))</f>
        <v/>
      </c>
      <c r="K20" s="34">
        <f>IF(OR('Historique ajusté'!K20="",'Historique ajusté'!K19=""),"",IF(ABS(LN('Historique ajusté'!K20/'Historique ajusté'!K19))&gt;Seuil_aberrant,"",'Historique ajusté'!K20/'Historique ajusté'!K19-1))</f>
        <v/>
      </c>
      <c r="L20" s="34">
        <f>IF(OR('Historique ajusté'!L20="",'Historique ajusté'!L19=""),"",IF(ABS(LN('Historique ajusté'!L20/'Historique ajusté'!L19))&gt;Seuil_aberrant,"",'Historique ajusté'!L20/'Historique ajusté'!L19-1))</f>
        <v/>
      </c>
      <c r="M20" s="34">
        <f>IF(OR('Historique ajusté'!M20="",'Historique ajusté'!M19=""),"",IF(ABS(LN('Historique ajusté'!M20/'Historique ajusté'!M19))&gt;Seuil_aberrant,"",'Historique ajusté'!M20/'Historique ajusté'!M19-1))</f>
        <v/>
      </c>
      <c r="N20" s="34">
        <f>IF(OR('Historique ajusté'!N20="",'Historique ajusté'!N19=""),"",IF(ABS(LN('Historique ajusté'!N20/'Historique ajusté'!N19))&gt;Seuil_aberrant,"",'Historique ajusté'!N20/'Historique ajusté'!N19-1))</f>
        <v/>
      </c>
      <c r="O20" s="34">
        <f>IF(OR('Historique ajusté'!O20="",'Historique ajusté'!O19=""),"",IF(ABS(LN('Historique ajusté'!O20/'Historique ajusté'!O19))&gt;Seuil_aberrant,"",'Historique ajusté'!O20/'Historique ajusté'!O19-1))</f>
        <v/>
      </c>
      <c r="P20" s="34">
        <f>IF(OR('Historique ajusté'!P20="",'Historique ajusté'!P19=""),"",IF(ABS(LN('Historique ajusté'!P20/'Historique ajusté'!P19))&gt;Seuil_aberrant,"",'Historique ajusté'!P20/'Historique ajusté'!P19-1))</f>
        <v/>
      </c>
    </row>
    <row r="21">
      <c r="B21" s="32">
        <f>'Historique ajusté'!B21</f>
        <v/>
      </c>
      <c r="C21" s="34">
        <f>IF(OR('Historique ajusté'!C21="",'Historique ajusté'!C20=""),"",IF(ABS(LN('Historique ajusté'!C21/'Historique ajusté'!C20))&gt;Seuil_aberrant,"",'Historique ajusté'!C21/'Historique ajusté'!C20-1))</f>
        <v/>
      </c>
      <c r="D21" s="34">
        <f>IF(OR('Historique ajusté'!D21="",'Historique ajusté'!D20=""),"",IF(ABS(LN('Historique ajusté'!D21/'Historique ajusté'!D20))&gt;Seuil_aberrant,"",'Historique ajusté'!D21/'Historique ajusté'!D20-1))</f>
        <v/>
      </c>
      <c r="E21" s="34">
        <f>IF(OR('Historique ajusté'!E21="",'Historique ajusté'!E20=""),"",IF(ABS(LN('Historique ajusté'!E21/'Historique ajusté'!E20))&gt;Seuil_aberrant,"",'Historique ajusté'!E21/'Historique ajusté'!E20-1))</f>
        <v/>
      </c>
      <c r="F21" s="34">
        <f>IF(OR('Historique ajusté'!F21="",'Historique ajusté'!F20=""),"",IF(ABS(LN('Historique ajusté'!F21/'Historique ajusté'!F20))&gt;Seuil_aberrant,"",'Historique ajusté'!F21/'Historique ajusté'!F20-1))</f>
        <v/>
      </c>
      <c r="G21" s="34">
        <f>IF(OR('Historique ajusté'!G21="",'Historique ajusté'!G20=""),"",IF(ABS(LN('Historique ajusté'!G21/'Historique ajusté'!G20))&gt;Seuil_aberrant,"",'Historique ajusté'!G21/'Historique ajusté'!G20-1))</f>
        <v/>
      </c>
      <c r="H21" s="34">
        <f>IF(OR('Historique ajusté'!H21="",'Historique ajusté'!H20=""),"",IF(ABS(LN('Historique ajusté'!H21/'Historique ajusté'!H20))&gt;Seuil_aberrant,"",'Historique ajusté'!H21/'Historique ajusté'!H20-1))</f>
        <v/>
      </c>
      <c r="I21" s="34">
        <f>IF(OR('Historique ajusté'!I21="",'Historique ajusté'!I20=""),"",IF(ABS(LN('Historique ajusté'!I21/'Historique ajusté'!I20))&gt;Seuil_aberrant,"",'Historique ajusté'!I21/'Historique ajusté'!I20-1))</f>
        <v/>
      </c>
      <c r="J21" s="34">
        <f>IF(OR('Historique ajusté'!J21="",'Historique ajusté'!J20=""),"",IF(ABS(LN('Historique ajusté'!J21/'Historique ajusté'!J20))&gt;Seuil_aberrant,"",'Historique ajusté'!J21/'Historique ajusté'!J20-1))</f>
        <v/>
      </c>
      <c r="K21" s="34">
        <f>IF(OR('Historique ajusté'!K21="",'Historique ajusté'!K20=""),"",IF(ABS(LN('Historique ajusté'!K21/'Historique ajusté'!K20))&gt;Seuil_aberrant,"",'Historique ajusté'!K21/'Historique ajusté'!K20-1))</f>
        <v/>
      </c>
      <c r="L21" s="34">
        <f>IF(OR('Historique ajusté'!L21="",'Historique ajusté'!L20=""),"",IF(ABS(LN('Historique ajusté'!L21/'Historique ajusté'!L20))&gt;Seuil_aberrant,"",'Historique ajusté'!L21/'Historique ajusté'!L20-1))</f>
        <v/>
      </c>
      <c r="M21" s="34">
        <f>IF(OR('Historique ajusté'!M21="",'Historique ajusté'!M20=""),"",IF(ABS(LN('Historique ajusté'!M21/'Historique ajusté'!M20))&gt;Seuil_aberrant,"",'Historique ajusté'!M21/'Historique ajusté'!M20-1))</f>
        <v/>
      </c>
      <c r="N21" s="34">
        <f>IF(OR('Historique ajusté'!N21="",'Historique ajusté'!N20=""),"",IF(ABS(LN('Historique ajusté'!N21/'Historique ajusté'!N20))&gt;Seuil_aberrant,"",'Historique ajusté'!N21/'Historique ajusté'!N20-1))</f>
        <v/>
      </c>
      <c r="O21" s="34">
        <f>IF(OR('Historique ajusté'!O21="",'Historique ajusté'!O20=""),"",IF(ABS(LN('Historique ajusté'!O21/'Historique ajusté'!O20))&gt;Seuil_aberrant,"",'Historique ajusté'!O21/'Historique ajusté'!O20-1))</f>
        <v/>
      </c>
      <c r="P21" s="34">
        <f>IF(OR('Historique ajusté'!P21="",'Historique ajusté'!P20=""),"",IF(ABS(LN('Historique ajusté'!P21/'Historique ajusté'!P20))&gt;Seuil_aberrant,"",'Historique ajusté'!P21/'Historique ajusté'!P20-1))</f>
        <v/>
      </c>
    </row>
    <row r="22">
      <c r="B22" s="32">
        <f>'Historique ajusté'!B22</f>
        <v/>
      </c>
      <c r="C22" s="34">
        <f>IF(OR('Historique ajusté'!C22="",'Historique ajusté'!C21=""),"",IF(ABS(LN('Historique ajusté'!C22/'Historique ajusté'!C21))&gt;Seuil_aberrant,"",'Historique ajusté'!C22/'Historique ajusté'!C21-1))</f>
        <v/>
      </c>
      <c r="D22" s="34">
        <f>IF(OR('Historique ajusté'!D22="",'Historique ajusté'!D21=""),"",IF(ABS(LN('Historique ajusté'!D22/'Historique ajusté'!D21))&gt;Seuil_aberrant,"",'Historique ajusté'!D22/'Historique ajusté'!D21-1))</f>
        <v/>
      </c>
      <c r="E22" s="34">
        <f>IF(OR('Historique ajusté'!E22="",'Historique ajusté'!E21=""),"",IF(ABS(LN('Historique ajusté'!E22/'Historique ajusté'!E21))&gt;Seuil_aberrant,"",'Historique ajusté'!E22/'Historique ajusté'!E21-1))</f>
        <v/>
      </c>
      <c r="F22" s="34">
        <f>IF(OR('Historique ajusté'!F22="",'Historique ajusté'!F21=""),"",IF(ABS(LN('Historique ajusté'!F22/'Historique ajusté'!F21))&gt;Seuil_aberrant,"",'Historique ajusté'!F22/'Historique ajusté'!F21-1))</f>
        <v/>
      </c>
      <c r="G22" s="34">
        <f>IF(OR('Historique ajusté'!G22="",'Historique ajusté'!G21=""),"",IF(ABS(LN('Historique ajusté'!G22/'Historique ajusté'!G21))&gt;Seuil_aberrant,"",'Historique ajusté'!G22/'Historique ajusté'!G21-1))</f>
        <v/>
      </c>
      <c r="H22" s="34">
        <f>IF(OR('Historique ajusté'!H22="",'Historique ajusté'!H21=""),"",IF(ABS(LN('Historique ajusté'!H22/'Historique ajusté'!H21))&gt;Seuil_aberrant,"",'Historique ajusté'!H22/'Historique ajusté'!H21-1))</f>
        <v/>
      </c>
      <c r="I22" s="34">
        <f>IF(OR('Historique ajusté'!I22="",'Historique ajusté'!I21=""),"",IF(ABS(LN('Historique ajusté'!I22/'Historique ajusté'!I21))&gt;Seuil_aberrant,"",'Historique ajusté'!I22/'Historique ajusté'!I21-1))</f>
        <v/>
      </c>
      <c r="J22" s="34">
        <f>IF(OR('Historique ajusté'!J22="",'Historique ajusté'!J21=""),"",IF(ABS(LN('Historique ajusté'!J22/'Historique ajusté'!J21))&gt;Seuil_aberrant,"",'Historique ajusté'!J22/'Historique ajusté'!J21-1))</f>
        <v/>
      </c>
      <c r="K22" s="34">
        <f>IF(OR('Historique ajusté'!K22="",'Historique ajusté'!K21=""),"",IF(ABS(LN('Historique ajusté'!K22/'Historique ajusté'!K21))&gt;Seuil_aberrant,"",'Historique ajusté'!K22/'Historique ajusté'!K21-1))</f>
        <v/>
      </c>
      <c r="L22" s="34">
        <f>IF(OR('Historique ajusté'!L22="",'Historique ajusté'!L21=""),"",IF(ABS(LN('Historique ajusté'!L22/'Historique ajusté'!L21))&gt;Seuil_aberrant,"",'Historique ajusté'!L22/'Historique ajusté'!L21-1))</f>
        <v/>
      </c>
      <c r="M22" s="34">
        <f>IF(OR('Historique ajusté'!M22="",'Historique ajusté'!M21=""),"",IF(ABS(LN('Historique ajusté'!M22/'Historique ajusté'!M21))&gt;Seuil_aberrant,"",'Historique ajusté'!M22/'Historique ajusté'!M21-1))</f>
        <v/>
      </c>
      <c r="N22" s="34">
        <f>IF(OR('Historique ajusté'!N22="",'Historique ajusté'!N21=""),"",IF(ABS(LN('Historique ajusté'!N22/'Historique ajusté'!N21))&gt;Seuil_aberrant,"",'Historique ajusté'!N22/'Historique ajusté'!N21-1))</f>
        <v/>
      </c>
      <c r="O22" s="34">
        <f>IF(OR('Historique ajusté'!O22="",'Historique ajusté'!O21=""),"",IF(ABS(LN('Historique ajusté'!O22/'Historique ajusté'!O21))&gt;Seuil_aberrant,"",'Historique ajusté'!O22/'Historique ajusté'!O21-1))</f>
        <v/>
      </c>
      <c r="P22" s="34">
        <f>IF(OR('Historique ajusté'!P22="",'Historique ajusté'!P21=""),"",IF(ABS(LN('Historique ajusté'!P22/'Historique ajusté'!P21))&gt;Seuil_aberrant,"",'Historique ajusté'!P22/'Historique ajusté'!P21-1))</f>
        <v/>
      </c>
    </row>
    <row r="23">
      <c r="B23" s="32">
        <f>'Historique ajusté'!B23</f>
        <v/>
      </c>
      <c r="C23" s="34">
        <f>IF(OR('Historique ajusté'!C23="",'Historique ajusté'!C22=""),"",IF(ABS(LN('Historique ajusté'!C23/'Historique ajusté'!C22))&gt;Seuil_aberrant,"",'Historique ajusté'!C23/'Historique ajusté'!C22-1))</f>
        <v/>
      </c>
      <c r="D23" s="34">
        <f>IF(OR('Historique ajusté'!D23="",'Historique ajusté'!D22=""),"",IF(ABS(LN('Historique ajusté'!D23/'Historique ajusté'!D22))&gt;Seuil_aberrant,"",'Historique ajusté'!D23/'Historique ajusté'!D22-1))</f>
        <v/>
      </c>
      <c r="E23" s="34">
        <f>IF(OR('Historique ajusté'!E23="",'Historique ajusté'!E22=""),"",IF(ABS(LN('Historique ajusté'!E23/'Historique ajusté'!E22))&gt;Seuil_aberrant,"",'Historique ajusté'!E23/'Historique ajusté'!E22-1))</f>
        <v/>
      </c>
      <c r="F23" s="34">
        <f>IF(OR('Historique ajusté'!F23="",'Historique ajusté'!F22=""),"",IF(ABS(LN('Historique ajusté'!F23/'Historique ajusté'!F22))&gt;Seuil_aberrant,"",'Historique ajusté'!F23/'Historique ajusté'!F22-1))</f>
        <v/>
      </c>
      <c r="G23" s="34">
        <f>IF(OR('Historique ajusté'!G23="",'Historique ajusté'!G22=""),"",IF(ABS(LN('Historique ajusté'!G23/'Historique ajusté'!G22))&gt;Seuil_aberrant,"",'Historique ajusté'!G23/'Historique ajusté'!G22-1))</f>
        <v/>
      </c>
      <c r="H23" s="34">
        <f>IF(OR('Historique ajusté'!H23="",'Historique ajusté'!H22=""),"",IF(ABS(LN('Historique ajusté'!H23/'Historique ajusté'!H22))&gt;Seuil_aberrant,"",'Historique ajusté'!H23/'Historique ajusté'!H22-1))</f>
        <v/>
      </c>
      <c r="I23" s="34">
        <f>IF(OR('Historique ajusté'!I23="",'Historique ajusté'!I22=""),"",IF(ABS(LN('Historique ajusté'!I23/'Historique ajusté'!I22))&gt;Seuil_aberrant,"",'Historique ajusté'!I23/'Historique ajusté'!I22-1))</f>
        <v/>
      </c>
      <c r="J23" s="34">
        <f>IF(OR('Historique ajusté'!J23="",'Historique ajusté'!J22=""),"",IF(ABS(LN('Historique ajusté'!J23/'Historique ajusté'!J22))&gt;Seuil_aberrant,"",'Historique ajusté'!J23/'Historique ajusté'!J22-1))</f>
        <v/>
      </c>
      <c r="K23" s="34">
        <f>IF(OR('Historique ajusté'!K23="",'Historique ajusté'!K22=""),"",IF(ABS(LN('Historique ajusté'!K23/'Historique ajusté'!K22))&gt;Seuil_aberrant,"",'Historique ajusté'!K23/'Historique ajusté'!K22-1))</f>
        <v/>
      </c>
      <c r="L23" s="34">
        <f>IF(OR('Historique ajusté'!L23="",'Historique ajusté'!L22=""),"",IF(ABS(LN('Historique ajusté'!L23/'Historique ajusté'!L22))&gt;Seuil_aberrant,"",'Historique ajusté'!L23/'Historique ajusté'!L22-1))</f>
        <v/>
      </c>
      <c r="M23" s="34">
        <f>IF(OR('Historique ajusté'!M23="",'Historique ajusté'!M22=""),"",IF(ABS(LN('Historique ajusté'!M23/'Historique ajusté'!M22))&gt;Seuil_aberrant,"",'Historique ajusté'!M23/'Historique ajusté'!M22-1))</f>
        <v/>
      </c>
      <c r="N23" s="34">
        <f>IF(OR('Historique ajusté'!N23="",'Historique ajusté'!N22=""),"",IF(ABS(LN('Historique ajusté'!N23/'Historique ajusté'!N22))&gt;Seuil_aberrant,"",'Historique ajusté'!N23/'Historique ajusté'!N22-1))</f>
        <v/>
      </c>
      <c r="O23" s="34">
        <f>IF(OR('Historique ajusté'!O23="",'Historique ajusté'!O22=""),"",IF(ABS(LN('Historique ajusté'!O23/'Historique ajusté'!O22))&gt;Seuil_aberrant,"",'Historique ajusté'!O23/'Historique ajusté'!O22-1))</f>
        <v/>
      </c>
      <c r="P23" s="34">
        <f>IF(OR('Historique ajusté'!P23="",'Historique ajusté'!P22=""),"",IF(ABS(LN('Historique ajusté'!P23/'Historique ajusté'!P22))&gt;Seuil_aberrant,"",'Historique ajusté'!P23/'Historique ajusté'!P22-1))</f>
        <v/>
      </c>
    </row>
    <row r="24">
      <c r="B24" s="32">
        <f>'Historique ajusté'!B24</f>
        <v/>
      </c>
      <c r="C24" s="34">
        <f>IF(OR('Historique ajusté'!C24="",'Historique ajusté'!C23=""),"",IF(ABS(LN('Historique ajusté'!C24/'Historique ajusté'!C23))&gt;Seuil_aberrant,"",'Historique ajusté'!C24/'Historique ajusté'!C23-1))</f>
        <v/>
      </c>
      <c r="D24" s="34">
        <f>IF(OR('Historique ajusté'!D24="",'Historique ajusté'!D23=""),"",IF(ABS(LN('Historique ajusté'!D24/'Historique ajusté'!D23))&gt;Seuil_aberrant,"",'Historique ajusté'!D24/'Historique ajusté'!D23-1))</f>
        <v/>
      </c>
      <c r="E24" s="34">
        <f>IF(OR('Historique ajusté'!E24="",'Historique ajusté'!E23=""),"",IF(ABS(LN('Historique ajusté'!E24/'Historique ajusté'!E23))&gt;Seuil_aberrant,"",'Historique ajusté'!E24/'Historique ajusté'!E23-1))</f>
        <v/>
      </c>
      <c r="F24" s="34">
        <f>IF(OR('Historique ajusté'!F24="",'Historique ajusté'!F23=""),"",IF(ABS(LN('Historique ajusté'!F24/'Historique ajusté'!F23))&gt;Seuil_aberrant,"",'Historique ajusté'!F24/'Historique ajusté'!F23-1))</f>
        <v/>
      </c>
      <c r="G24" s="34">
        <f>IF(OR('Historique ajusté'!G24="",'Historique ajusté'!G23=""),"",IF(ABS(LN('Historique ajusté'!G24/'Historique ajusté'!G23))&gt;Seuil_aberrant,"",'Historique ajusté'!G24/'Historique ajusté'!G23-1))</f>
        <v/>
      </c>
      <c r="H24" s="34">
        <f>IF(OR('Historique ajusté'!H24="",'Historique ajusté'!H23=""),"",IF(ABS(LN('Historique ajusté'!H24/'Historique ajusté'!H23))&gt;Seuil_aberrant,"",'Historique ajusté'!H24/'Historique ajusté'!H23-1))</f>
        <v/>
      </c>
      <c r="I24" s="34">
        <f>IF(OR('Historique ajusté'!I24="",'Historique ajusté'!I23=""),"",IF(ABS(LN('Historique ajusté'!I24/'Historique ajusté'!I23))&gt;Seuil_aberrant,"",'Historique ajusté'!I24/'Historique ajusté'!I23-1))</f>
        <v/>
      </c>
      <c r="J24" s="34">
        <f>IF(OR('Historique ajusté'!J24="",'Historique ajusté'!J23=""),"",IF(ABS(LN('Historique ajusté'!J24/'Historique ajusté'!J23))&gt;Seuil_aberrant,"",'Historique ajusté'!J24/'Historique ajusté'!J23-1))</f>
        <v/>
      </c>
      <c r="K24" s="34">
        <f>IF(OR('Historique ajusté'!K24="",'Historique ajusté'!K23=""),"",IF(ABS(LN('Historique ajusté'!K24/'Historique ajusté'!K23))&gt;Seuil_aberrant,"",'Historique ajusté'!K24/'Historique ajusté'!K23-1))</f>
        <v/>
      </c>
      <c r="L24" s="34">
        <f>IF(OR('Historique ajusté'!L24="",'Historique ajusté'!L23=""),"",IF(ABS(LN('Historique ajusté'!L24/'Historique ajusté'!L23))&gt;Seuil_aberrant,"",'Historique ajusté'!L24/'Historique ajusté'!L23-1))</f>
        <v/>
      </c>
      <c r="M24" s="34">
        <f>IF(OR('Historique ajusté'!M24="",'Historique ajusté'!M23=""),"",IF(ABS(LN('Historique ajusté'!M24/'Historique ajusté'!M23))&gt;Seuil_aberrant,"",'Historique ajusté'!M24/'Historique ajusté'!M23-1))</f>
        <v/>
      </c>
      <c r="N24" s="34">
        <f>IF(OR('Historique ajusté'!N24="",'Historique ajusté'!N23=""),"",IF(ABS(LN('Historique ajusté'!N24/'Historique ajusté'!N23))&gt;Seuil_aberrant,"",'Historique ajusté'!N24/'Historique ajusté'!N23-1))</f>
        <v/>
      </c>
      <c r="O24" s="34">
        <f>IF(OR('Historique ajusté'!O24="",'Historique ajusté'!O23=""),"",IF(ABS(LN('Historique ajusté'!O24/'Historique ajusté'!O23))&gt;Seuil_aberrant,"",'Historique ajusté'!O24/'Historique ajusté'!O23-1))</f>
        <v/>
      </c>
      <c r="P24" s="34">
        <f>IF(OR('Historique ajusté'!P24="",'Historique ajusté'!P23=""),"",IF(ABS(LN('Historique ajusté'!P24/'Historique ajusté'!P23))&gt;Seuil_aberrant,"",'Historique ajusté'!P24/'Historique ajusté'!P23-1))</f>
        <v/>
      </c>
    </row>
    <row r="25">
      <c r="B25" s="32">
        <f>'Historique ajusté'!B25</f>
        <v/>
      </c>
      <c r="C25" s="34">
        <f>IF(OR('Historique ajusté'!C25="",'Historique ajusté'!C24=""),"",IF(ABS(LN('Historique ajusté'!C25/'Historique ajusté'!C24))&gt;Seuil_aberrant,"",'Historique ajusté'!C25/'Historique ajusté'!C24-1))</f>
        <v/>
      </c>
      <c r="D25" s="34">
        <f>IF(OR('Historique ajusté'!D25="",'Historique ajusté'!D24=""),"",IF(ABS(LN('Historique ajusté'!D25/'Historique ajusté'!D24))&gt;Seuil_aberrant,"",'Historique ajusté'!D25/'Historique ajusté'!D24-1))</f>
        <v/>
      </c>
      <c r="E25" s="34">
        <f>IF(OR('Historique ajusté'!E25="",'Historique ajusté'!E24=""),"",IF(ABS(LN('Historique ajusté'!E25/'Historique ajusté'!E24))&gt;Seuil_aberrant,"",'Historique ajusté'!E25/'Historique ajusté'!E24-1))</f>
        <v/>
      </c>
      <c r="F25" s="34">
        <f>IF(OR('Historique ajusté'!F25="",'Historique ajusté'!F24=""),"",IF(ABS(LN('Historique ajusté'!F25/'Historique ajusté'!F24))&gt;Seuil_aberrant,"",'Historique ajusté'!F25/'Historique ajusté'!F24-1))</f>
        <v/>
      </c>
      <c r="G25" s="34">
        <f>IF(OR('Historique ajusté'!G25="",'Historique ajusté'!G24=""),"",IF(ABS(LN('Historique ajusté'!G25/'Historique ajusté'!G24))&gt;Seuil_aberrant,"",'Historique ajusté'!G25/'Historique ajusté'!G24-1))</f>
        <v/>
      </c>
      <c r="H25" s="34">
        <f>IF(OR('Historique ajusté'!H25="",'Historique ajusté'!H24=""),"",IF(ABS(LN('Historique ajusté'!H25/'Historique ajusté'!H24))&gt;Seuil_aberrant,"",'Historique ajusté'!H25/'Historique ajusté'!H24-1))</f>
        <v/>
      </c>
      <c r="I25" s="34">
        <f>IF(OR('Historique ajusté'!I25="",'Historique ajusté'!I24=""),"",IF(ABS(LN('Historique ajusté'!I25/'Historique ajusté'!I24))&gt;Seuil_aberrant,"",'Historique ajusté'!I25/'Historique ajusté'!I24-1))</f>
        <v/>
      </c>
      <c r="J25" s="34">
        <f>IF(OR('Historique ajusté'!J25="",'Historique ajusté'!J24=""),"",IF(ABS(LN('Historique ajusté'!J25/'Historique ajusté'!J24))&gt;Seuil_aberrant,"",'Historique ajusté'!J25/'Historique ajusté'!J24-1))</f>
        <v/>
      </c>
      <c r="K25" s="34">
        <f>IF(OR('Historique ajusté'!K25="",'Historique ajusté'!K24=""),"",IF(ABS(LN('Historique ajusté'!K25/'Historique ajusté'!K24))&gt;Seuil_aberrant,"",'Historique ajusté'!K25/'Historique ajusté'!K24-1))</f>
        <v/>
      </c>
      <c r="L25" s="34">
        <f>IF(OR('Historique ajusté'!L25="",'Historique ajusté'!L24=""),"",IF(ABS(LN('Historique ajusté'!L25/'Historique ajusté'!L24))&gt;Seuil_aberrant,"",'Historique ajusté'!L25/'Historique ajusté'!L24-1))</f>
        <v/>
      </c>
      <c r="M25" s="34">
        <f>IF(OR('Historique ajusté'!M25="",'Historique ajusté'!M24=""),"",IF(ABS(LN('Historique ajusté'!M25/'Historique ajusté'!M24))&gt;Seuil_aberrant,"",'Historique ajusté'!M25/'Historique ajusté'!M24-1))</f>
        <v/>
      </c>
      <c r="N25" s="34">
        <f>IF(OR('Historique ajusté'!N25="",'Historique ajusté'!N24=""),"",IF(ABS(LN('Historique ajusté'!N25/'Historique ajusté'!N24))&gt;Seuil_aberrant,"",'Historique ajusté'!N25/'Historique ajusté'!N24-1))</f>
        <v/>
      </c>
      <c r="O25" s="34">
        <f>IF(OR('Historique ajusté'!O25="",'Historique ajusté'!O24=""),"",IF(ABS(LN('Historique ajusté'!O25/'Historique ajusté'!O24))&gt;Seuil_aberrant,"",'Historique ajusté'!O25/'Historique ajusté'!O24-1))</f>
        <v/>
      </c>
      <c r="P25" s="34">
        <f>IF(OR('Historique ajusté'!P25="",'Historique ajusté'!P24=""),"",IF(ABS(LN('Historique ajusté'!P25/'Historique ajusté'!P24))&gt;Seuil_aberrant,"",'Historique ajusté'!P25/'Historique ajusté'!P24-1))</f>
        <v/>
      </c>
    </row>
    <row r="26">
      <c r="B26" s="32">
        <f>'Historique ajusté'!B26</f>
        <v/>
      </c>
      <c r="C26" s="34">
        <f>IF(OR('Historique ajusté'!C26="",'Historique ajusté'!C25=""),"",IF(ABS(LN('Historique ajusté'!C26/'Historique ajusté'!C25))&gt;Seuil_aberrant,"",'Historique ajusté'!C26/'Historique ajusté'!C25-1))</f>
        <v/>
      </c>
      <c r="D26" s="34">
        <f>IF(OR('Historique ajusté'!D26="",'Historique ajusté'!D25=""),"",IF(ABS(LN('Historique ajusté'!D26/'Historique ajusté'!D25))&gt;Seuil_aberrant,"",'Historique ajusté'!D26/'Historique ajusté'!D25-1))</f>
        <v/>
      </c>
      <c r="E26" s="34">
        <f>IF(OR('Historique ajusté'!E26="",'Historique ajusté'!E25=""),"",IF(ABS(LN('Historique ajusté'!E26/'Historique ajusté'!E25))&gt;Seuil_aberrant,"",'Historique ajusté'!E26/'Historique ajusté'!E25-1))</f>
        <v/>
      </c>
      <c r="F26" s="34">
        <f>IF(OR('Historique ajusté'!F26="",'Historique ajusté'!F25=""),"",IF(ABS(LN('Historique ajusté'!F26/'Historique ajusté'!F25))&gt;Seuil_aberrant,"",'Historique ajusté'!F26/'Historique ajusté'!F25-1))</f>
        <v/>
      </c>
      <c r="G26" s="34">
        <f>IF(OR('Historique ajusté'!G26="",'Historique ajusté'!G25=""),"",IF(ABS(LN('Historique ajusté'!G26/'Historique ajusté'!G25))&gt;Seuil_aberrant,"",'Historique ajusté'!G26/'Historique ajusté'!G25-1))</f>
        <v/>
      </c>
      <c r="H26" s="34">
        <f>IF(OR('Historique ajusté'!H26="",'Historique ajusté'!H25=""),"",IF(ABS(LN('Historique ajusté'!H26/'Historique ajusté'!H25))&gt;Seuil_aberrant,"",'Historique ajusté'!H26/'Historique ajusté'!H25-1))</f>
        <v/>
      </c>
      <c r="I26" s="34">
        <f>IF(OR('Historique ajusté'!I26="",'Historique ajusté'!I25=""),"",IF(ABS(LN('Historique ajusté'!I26/'Historique ajusté'!I25))&gt;Seuil_aberrant,"",'Historique ajusté'!I26/'Historique ajusté'!I25-1))</f>
        <v/>
      </c>
      <c r="J26" s="34">
        <f>IF(OR('Historique ajusté'!J26="",'Historique ajusté'!J25=""),"",IF(ABS(LN('Historique ajusté'!J26/'Historique ajusté'!J25))&gt;Seuil_aberrant,"",'Historique ajusté'!J26/'Historique ajusté'!J25-1))</f>
        <v/>
      </c>
      <c r="K26" s="34">
        <f>IF(OR('Historique ajusté'!K26="",'Historique ajusté'!K25=""),"",IF(ABS(LN('Historique ajusté'!K26/'Historique ajusté'!K25))&gt;Seuil_aberrant,"",'Historique ajusté'!K26/'Historique ajusté'!K25-1))</f>
        <v/>
      </c>
      <c r="L26" s="34">
        <f>IF(OR('Historique ajusté'!L26="",'Historique ajusté'!L25=""),"",IF(ABS(LN('Historique ajusté'!L26/'Historique ajusté'!L25))&gt;Seuil_aberrant,"",'Historique ajusté'!L26/'Historique ajusté'!L25-1))</f>
        <v/>
      </c>
      <c r="M26" s="34">
        <f>IF(OR('Historique ajusté'!M26="",'Historique ajusté'!M25=""),"",IF(ABS(LN('Historique ajusté'!M26/'Historique ajusté'!M25))&gt;Seuil_aberrant,"",'Historique ajusté'!M26/'Historique ajusté'!M25-1))</f>
        <v/>
      </c>
      <c r="N26" s="34">
        <f>IF(OR('Historique ajusté'!N26="",'Historique ajusté'!N25=""),"",IF(ABS(LN('Historique ajusté'!N26/'Historique ajusté'!N25))&gt;Seuil_aberrant,"",'Historique ajusté'!N26/'Historique ajusté'!N25-1))</f>
        <v/>
      </c>
      <c r="O26" s="34">
        <f>IF(OR('Historique ajusté'!O26="",'Historique ajusté'!O25=""),"",IF(ABS(LN('Historique ajusté'!O26/'Historique ajusté'!O25))&gt;Seuil_aberrant,"",'Historique ajusté'!O26/'Historique ajusté'!O25-1))</f>
        <v/>
      </c>
      <c r="P26" s="34">
        <f>IF(OR('Historique ajusté'!P26="",'Historique ajusté'!P25=""),"",IF(ABS(LN('Historique ajusté'!P26/'Historique ajusté'!P25))&gt;Seuil_aberrant,"",'Historique ajusté'!P26/'Historique ajusté'!P25-1))</f>
        <v/>
      </c>
    </row>
    <row r="27">
      <c r="B27" s="32">
        <f>'Historique ajusté'!B27</f>
        <v/>
      </c>
      <c r="C27" s="34">
        <f>IF(OR('Historique ajusté'!C27="",'Historique ajusté'!C26=""),"",IF(ABS(LN('Historique ajusté'!C27/'Historique ajusté'!C26))&gt;Seuil_aberrant,"",'Historique ajusté'!C27/'Historique ajusté'!C26-1))</f>
        <v/>
      </c>
      <c r="D27" s="34">
        <f>IF(OR('Historique ajusté'!D27="",'Historique ajusté'!D26=""),"",IF(ABS(LN('Historique ajusté'!D27/'Historique ajusté'!D26))&gt;Seuil_aberrant,"",'Historique ajusté'!D27/'Historique ajusté'!D26-1))</f>
        <v/>
      </c>
      <c r="E27" s="34">
        <f>IF(OR('Historique ajusté'!E27="",'Historique ajusté'!E26=""),"",IF(ABS(LN('Historique ajusté'!E27/'Historique ajusté'!E26))&gt;Seuil_aberrant,"",'Historique ajusté'!E27/'Historique ajusté'!E26-1))</f>
        <v/>
      </c>
      <c r="F27" s="34">
        <f>IF(OR('Historique ajusté'!F27="",'Historique ajusté'!F26=""),"",IF(ABS(LN('Historique ajusté'!F27/'Historique ajusté'!F26))&gt;Seuil_aberrant,"",'Historique ajusté'!F27/'Historique ajusté'!F26-1))</f>
        <v/>
      </c>
      <c r="G27" s="34">
        <f>IF(OR('Historique ajusté'!G27="",'Historique ajusté'!G26=""),"",IF(ABS(LN('Historique ajusté'!G27/'Historique ajusté'!G26))&gt;Seuil_aberrant,"",'Historique ajusté'!G27/'Historique ajusté'!G26-1))</f>
        <v/>
      </c>
      <c r="H27" s="34">
        <f>IF(OR('Historique ajusté'!H27="",'Historique ajusté'!H26=""),"",IF(ABS(LN('Historique ajusté'!H27/'Historique ajusté'!H26))&gt;Seuil_aberrant,"",'Historique ajusté'!H27/'Historique ajusté'!H26-1))</f>
        <v/>
      </c>
      <c r="I27" s="34">
        <f>IF(OR('Historique ajusté'!I27="",'Historique ajusté'!I26=""),"",IF(ABS(LN('Historique ajusté'!I27/'Historique ajusté'!I26))&gt;Seuil_aberrant,"",'Historique ajusté'!I27/'Historique ajusté'!I26-1))</f>
        <v/>
      </c>
      <c r="J27" s="34">
        <f>IF(OR('Historique ajusté'!J27="",'Historique ajusté'!J26=""),"",IF(ABS(LN('Historique ajusté'!J27/'Historique ajusté'!J26))&gt;Seuil_aberrant,"",'Historique ajusté'!J27/'Historique ajusté'!J26-1))</f>
        <v/>
      </c>
      <c r="K27" s="34">
        <f>IF(OR('Historique ajusté'!K27="",'Historique ajusté'!K26=""),"",IF(ABS(LN('Historique ajusté'!K27/'Historique ajusté'!K26))&gt;Seuil_aberrant,"",'Historique ajusté'!K27/'Historique ajusté'!K26-1))</f>
        <v/>
      </c>
      <c r="L27" s="34">
        <f>IF(OR('Historique ajusté'!L27="",'Historique ajusté'!L26=""),"",IF(ABS(LN('Historique ajusté'!L27/'Historique ajusté'!L26))&gt;Seuil_aberrant,"",'Historique ajusté'!L27/'Historique ajusté'!L26-1))</f>
        <v/>
      </c>
      <c r="M27" s="34">
        <f>IF(OR('Historique ajusté'!M27="",'Historique ajusté'!M26=""),"",IF(ABS(LN('Historique ajusté'!M27/'Historique ajusté'!M26))&gt;Seuil_aberrant,"",'Historique ajusté'!M27/'Historique ajusté'!M26-1))</f>
        <v/>
      </c>
      <c r="N27" s="34">
        <f>IF(OR('Historique ajusté'!N27="",'Historique ajusté'!N26=""),"",IF(ABS(LN('Historique ajusté'!N27/'Historique ajusté'!N26))&gt;Seuil_aberrant,"",'Historique ajusté'!N27/'Historique ajusté'!N26-1))</f>
        <v/>
      </c>
      <c r="O27" s="34">
        <f>IF(OR('Historique ajusté'!O27="",'Historique ajusté'!O26=""),"",IF(ABS(LN('Historique ajusté'!O27/'Historique ajusté'!O26))&gt;Seuil_aberrant,"",'Historique ajusté'!O27/'Historique ajusté'!O26-1))</f>
        <v/>
      </c>
      <c r="P27" s="34">
        <f>IF(OR('Historique ajusté'!P27="",'Historique ajusté'!P26=""),"",IF(ABS(LN('Historique ajusté'!P27/'Historique ajusté'!P26))&gt;Seuil_aberrant,"",'Historique ajusté'!P27/'Historique ajusté'!P26-1))</f>
        <v/>
      </c>
    </row>
    <row r="28">
      <c r="B28" s="32">
        <f>'Historique ajusté'!B28</f>
        <v/>
      </c>
      <c r="C28" s="34">
        <f>IF(OR('Historique ajusté'!C28="",'Historique ajusté'!C27=""),"",IF(ABS(LN('Historique ajusté'!C28/'Historique ajusté'!C27))&gt;Seuil_aberrant,"",'Historique ajusté'!C28/'Historique ajusté'!C27-1))</f>
        <v/>
      </c>
      <c r="D28" s="34">
        <f>IF(OR('Historique ajusté'!D28="",'Historique ajusté'!D27=""),"",IF(ABS(LN('Historique ajusté'!D28/'Historique ajusté'!D27))&gt;Seuil_aberrant,"",'Historique ajusté'!D28/'Historique ajusté'!D27-1))</f>
        <v/>
      </c>
      <c r="E28" s="34">
        <f>IF(OR('Historique ajusté'!E28="",'Historique ajusté'!E27=""),"",IF(ABS(LN('Historique ajusté'!E28/'Historique ajusté'!E27))&gt;Seuil_aberrant,"",'Historique ajusté'!E28/'Historique ajusté'!E27-1))</f>
        <v/>
      </c>
      <c r="F28" s="34">
        <f>IF(OR('Historique ajusté'!F28="",'Historique ajusté'!F27=""),"",IF(ABS(LN('Historique ajusté'!F28/'Historique ajusté'!F27))&gt;Seuil_aberrant,"",'Historique ajusté'!F28/'Historique ajusté'!F27-1))</f>
        <v/>
      </c>
      <c r="G28" s="34">
        <f>IF(OR('Historique ajusté'!G28="",'Historique ajusté'!G27=""),"",IF(ABS(LN('Historique ajusté'!G28/'Historique ajusté'!G27))&gt;Seuil_aberrant,"",'Historique ajusté'!G28/'Historique ajusté'!G27-1))</f>
        <v/>
      </c>
      <c r="H28" s="34">
        <f>IF(OR('Historique ajusté'!H28="",'Historique ajusté'!H27=""),"",IF(ABS(LN('Historique ajusté'!H28/'Historique ajusté'!H27))&gt;Seuil_aberrant,"",'Historique ajusté'!H28/'Historique ajusté'!H27-1))</f>
        <v/>
      </c>
      <c r="I28" s="34">
        <f>IF(OR('Historique ajusté'!I28="",'Historique ajusté'!I27=""),"",IF(ABS(LN('Historique ajusté'!I28/'Historique ajusté'!I27))&gt;Seuil_aberrant,"",'Historique ajusté'!I28/'Historique ajusté'!I27-1))</f>
        <v/>
      </c>
      <c r="J28" s="34">
        <f>IF(OR('Historique ajusté'!J28="",'Historique ajusté'!J27=""),"",IF(ABS(LN('Historique ajusté'!J28/'Historique ajusté'!J27))&gt;Seuil_aberrant,"",'Historique ajusté'!J28/'Historique ajusté'!J27-1))</f>
        <v/>
      </c>
      <c r="K28" s="34">
        <f>IF(OR('Historique ajusté'!K28="",'Historique ajusté'!K27=""),"",IF(ABS(LN('Historique ajusté'!K28/'Historique ajusté'!K27))&gt;Seuil_aberrant,"",'Historique ajusté'!K28/'Historique ajusté'!K27-1))</f>
        <v/>
      </c>
      <c r="L28" s="34">
        <f>IF(OR('Historique ajusté'!L28="",'Historique ajusté'!L27=""),"",IF(ABS(LN('Historique ajusté'!L28/'Historique ajusté'!L27))&gt;Seuil_aberrant,"",'Historique ajusté'!L28/'Historique ajusté'!L27-1))</f>
        <v/>
      </c>
      <c r="M28" s="34">
        <f>IF(OR('Historique ajusté'!M28="",'Historique ajusté'!M27=""),"",IF(ABS(LN('Historique ajusté'!M28/'Historique ajusté'!M27))&gt;Seuil_aberrant,"",'Historique ajusté'!M28/'Historique ajusté'!M27-1))</f>
        <v/>
      </c>
      <c r="N28" s="34">
        <f>IF(OR('Historique ajusté'!N28="",'Historique ajusté'!N27=""),"",IF(ABS(LN('Historique ajusté'!N28/'Historique ajusté'!N27))&gt;Seuil_aberrant,"",'Historique ajusté'!N28/'Historique ajusté'!N27-1))</f>
        <v/>
      </c>
      <c r="O28" s="34">
        <f>IF(OR('Historique ajusté'!O28="",'Historique ajusté'!O27=""),"",IF(ABS(LN('Historique ajusté'!O28/'Historique ajusté'!O27))&gt;Seuil_aberrant,"",'Historique ajusté'!O28/'Historique ajusté'!O27-1))</f>
        <v/>
      </c>
      <c r="P28" s="34">
        <f>IF(OR('Historique ajusté'!P28="",'Historique ajusté'!P27=""),"",IF(ABS(LN('Historique ajusté'!P28/'Historique ajusté'!P27))&gt;Seuil_aberrant,"",'Historique ajusté'!P28/'Historique ajusté'!P27-1))</f>
        <v/>
      </c>
    </row>
    <row r="29">
      <c r="B29" s="32">
        <f>'Historique ajusté'!B29</f>
        <v/>
      </c>
      <c r="C29" s="34">
        <f>IF(OR('Historique ajusté'!C29="",'Historique ajusté'!C28=""),"",IF(ABS(LN('Historique ajusté'!C29/'Historique ajusté'!C28))&gt;Seuil_aberrant,"",'Historique ajusté'!C29/'Historique ajusté'!C28-1))</f>
        <v/>
      </c>
      <c r="D29" s="34">
        <f>IF(OR('Historique ajusté'!D29="",'Historique ajusté'!D28=""),"",IF(ABS(LN('Historique ajusté'!D29/'Historique ajusté'!D28))&gt;Seuil_aberrant,"",'Historique ajusté'!D29/'Historique ajusté'!D28-1))</f>
        <v/>
      </c>
      <c r="E29" s="34">
        <f>IF(OR('Historique ajusté'!E29="",'Historique ajusté'!E28=""),"",IF(ABS(LN('Historique ajusté'!E29/'Historique ajusté'!E28))&gt;Seuil_aberrant,"",'Historique ajusté'!E29/'Historique ajusté'!E28-1))</f>
        <v/>
      </c>
      <c r="F29" s="34">
        <f>IF(OR('Historique ajusté'!F29="",'Historique ajusté'!F28=""),"",IF(ABS(LN('Historique ajusté'!F29/'Historique ajusté'!F28))&gt;Seuil_aberrant,"",'Historique ajusté'!F29/'Historique ajusté'!F28-1))</f>
        <v/>
      </c>
      <c r="G29" s="34">
        <f>IF(OR('Historique ajusté'!G29="",'Historique ajusté'!G28=""),"",IF(ABS(LN('Historique ajusté'!G29/'Historique ajusté'!G28))&gt;Seuil_aberrant,"",'Historique ajusté'!G29/'Historique ajusté'!G28-1))</f>
        <v/>
      </c>
      <c r="H29" s="34">
        <f>IF(OR('Historique ajusté'!H29="",'Historique ajusté'!H28=""),"",IF(ABS(LN('Historique ajusté'!H29/'Historique ajusté'!H28))&gt;Seuil_aberrant,"",'Historique ajusté'!H29/'Historique ajusté'!H28-1))</f>
        <v/>
      </c>
      <c r="I29" s="34">
        <f>IF(OR('Historique ajusté'!I29="",'Historique ajusté'!I28=""),"",IF(ABS(LN('Historique ajusté'!I29/'Historique ajusté'!I28))&gt;Seuil_aberrant,"",'Historique ajusté'!I29/'Historique ajusté'!I28-1))</f>
        <v/>
      </c>
      <c r="J29" s="34">
        <f>IF(OR('Historique ajusté'!J29="",'Historique ajusté'!J28=""),"",IF(ABS(LN('Historique ajusté'!J29/'Historique ajusté'!J28))&gt;Seuil_aberrant,"",'Historique ajusté'!J29/'Historique ajusté'!J28-1))</f>
        <v/>
      </c>
      <c r="K29" s="34">
        <f>IF(OR('Historique ajusté'!K29="",'Historique ajusté'!K28=""),"",IF(ABS(LN('Historique ajusté'!K29/'Historique ajusté'!K28))&gt;Seuil_aberrant,"",'Historique ajusté'!K29/'Historique ajusté'!K28-1))</f>
        <v/>
      </c>
      <c r="L29" s="34">
        <f>IF(OR('Historique ajusté'!L29="",'Historique ajusté'!L28=""),"",IF(ABS(LN('Historique ajusté'!L29/'Historique ajusté'!L28))&gt;Seuil_aberrant,"",'Historique ajusté'!L29/'Historique ajusté'!L28-1))</f>
        <v/>
      </c>
      <c r="M29" s="34">
        <f>IF(OR('Historique ajusté'!M29="",'Historique ajusté'!M28=""),"",IF(ABS(LN('Historique ajusté'!M29/'Historique ajusté'!M28))&gt;Seuil_aberrant,"",'Historique ajusté'!M29/'Historique ajusté'!M28-1))</f>
        <v/>
      </c>
      <c r="N29" s="34">
        <f>IF(OR('Historique ajusté'!N29="",'Historique ajusté'!N28=""),"",IF(ABS(LN('Historique ajusté'!N29/'Historique ajusté'!N28))&gt;Seuil_aberrant,"",'Historique ajusté'!N29/'Historique ajusté'!N28-1))</f>
        <v/>
      </c>
      <c r="O29" s="34">
        <f>IF(OR('Historique ajusté'!O29="",'Historique ajusté'!O28=""),"",IF(ABS(LN('Historique ajusté'!O29/'Historique ajusté'!O28))&gt;Seuil_aberrant,"",'Historique ajusté'!O29/'Historique ajusté'!O28-1))</f>
        <v/>
      </c>
      <c r="P29" s="34">
        <f>IF(OR('Historique ajusté'!P29="",'Historique ajusté'!P28=""),"",IF(ABS(LN('Historique ajusté'!P29/'Historique ajusté'!P28))&gt;Seuil_aberrant,"",'Historique ajusté'!P29/'Historique ajusté'!P28-1))</f>
        <v/>
      </c>
    </row>
    <row r="30">
      <c r="B30" s="32">
        <f>'Historique ajusté'!B30</f>
        <v/>
      </c>
      <c r="C30" s="34">
        <f>IF(OR('Historique ajusté'!C30="",'Historique ajusté'!C29=""),"",IF(ABS(LN('Historique ajusté'!C30/'Historique ajusté'!C29))&gt;Seuil_aberrant,"",'Historique ajusté'!C30/'Historique ajusté'!C29-1))</f>
        <v/>
      </c>
      <c r="D30" s="34">
        <f>IF(OR('Historique ajusté'!D30="",'Historique ajusté'!D29=""),"",IF(ABS(LN('Historique ajusté'!D30/'Historique ajusté'!D29))&gt;Seuil_aberrant,"",'Historique ajusté'!D30/'Historique ajusté'!D29-1))</f>
        <v/>
      </c>
      <c r="E30" s="34">
        <f>IF(OR('Historique ajusté'!E30="",'Historique ajusté'!E29=""),"",IF(ABS(LN('Historique ajusté'!E30/'Historique ajusté'!E29))&gt;Seuil_aberrant,"",'Historique ajusté'!E30/'Historique ajusté'!E29-1))</f>
        <v/>
      </c>
      <c r="F30" s="34">
        <f>IF(OR('Historique ajusté'!F30="",'Historique ajusté'!F29=""),"",IF(ABS(LN('Historique ajusté'!F30/'Historique ajusté'!F29))&gt;Seuil_aberrant,"",'Historique ajusté'!F30/'Historique ajusté'!F29-1))</f>
        <v/>
      </c>
      <c r="G30" s="34">
        <f>IF(OR('Historique ajusté'!G30="",'Historique ajusté'!G29=""),"",IF(ABS(LN('Historique ajusté'!G30/'Historique ajusté'!G29))&gt;Seuil_aberrant,"",'Historique ajusté'!G30/'Historique ajusté'!G29-1))</f>
        <v/>
      </c>
      <c r="H30" s="34">
        <f>IF(OR('Historique ajusté'!H30="",'Historique ajusté'!H29=""),"",IF(ABS(LN('Historique ajusté'!H30/'Historique ajusté'!H29))&gt;Seuil_aberrant,"",'Historique ajusté'!H30/'Historique ajusté'!H29-1))</f>
        <v/>
      </c>
      <c r="I30" s="34">
        <f>IF(OR('Historique ajusté'!I30="",'Historique ajusté'!I29=""),"",IF(ABS(LN('Historique ajusté'!I30/'Historique ajusté'!I29))&gt;Seuil_aberrant,"",'Historique ajusté'!I30/'Historique ajusté'!I29-1))</f>
        <v/>
      </c>
      <c r="J30" s="34">
        <f>IF(OR('Historique ajusté'!J30="",'Historique ajusté'!J29=""),"",IF(ABS(LN('Historique ajusté'!J30/'Historique ajusté'!J29))&gt;Seuil_aberrant,"",'Historique ajusté'!J30/'Historique ajusté'!J29-1))</f>
        <v/>
      </c>
      <c r="K30" s="34">
        <f>IF(OR('Historique ajusté'!K30="",'Historique ajusté'!K29=""),"",IF(ABS(LN('Historique ajusté'!K30/'Historique ajusté'!K29))&gt;Seuil_aberrant,"",'Historique ajusté'!K30/'Historique ajusté'!K29-1))</f>
        <v/>
      </c>
      <c r="L30" s="34">
        <f>IF(OR('Historique ajusté'!L30="",'Historique ajusté'!L29=""),"",IF(ABS(LN('Historique ajusté'!L30/'Historique ajusté'!L29))&gt;Seuil_aberrant,"",'Historique ajusté'!L30/'Historique ajusté'!L29-1))</f>
        <v/>
      </c>
      <c r="M30" s="34">
        <f>IF(OR('Historique ajusté'!M30="",'Historique ajusté'!M29=""),"",IF(ABS(LN('Historique ajusté'!M30/'Historique ajusté'!M29))&gt;Seuil_aberrant,"",'Historique ajusté'!M30/'Historique ajusté'!M29-1))</f>
        <v/>
      </c>
      <c r="N30" s="34">
        <f>IF(OR('Historique ajusté'!N30="",'Historique ajusté'!N29=""),"",IF(ABS(LN('Historique ajusté'!N30/'Historique ajusté'!N29))&gt;Seuil_aberrant,"",'Historique ajusté'!N30/'Historique ajusté'!N29-1))</f>
        <v/>
      </c>
      <c r="O30" s="34">
        <f>IF(OR('Historique ajusté'!O30="",'Historique ajusté'!O29=""),"",IF(ABS(LN('Historique ajusté'!O30/'Historique ajusté'!O29))&gt;Seuil_aberrant,"",'Historique ajusté'!O30/'Historique ajusté'!O29-1))</f>
        <v/>
      </c>
      <c r="P30" s="34">
        <f>IF(OR('Historique ajusté'!P30="",'Historique ajusté'!P29=""),"",IF(ABS(LN('Historique ajusté'!P30/'Historique ajusté'!P29))&gt;Seuil_aberrant,"",'Historique ajusté'!P30/'Historique ajusté'!P29-1))</f>
        <v/>
      </c>
    </row>
    <row r="31">
      <c r="B31" s="32">
        <f>'Historique ajusté'!B31</f>
        <v/>
      </c>
      <c r="C31" s="34">
        <f>IF(OR('Historique ajusté'!C31="",'Historique ajusté'!C30=""),"",IF(ABS(LN('Historique ajusté'!C31/'Historique ajusté'!C30))&gt;Seuil_aberrant,"",'Historique ajusté'!C31/'Historique ajusté'!C30-1))</f>
        <v/>
      </c>
      <c r="D31" s="34">
        <f>IF(OR('Historique ajusté'!D31="",'Historique ajusté'!D30=""),"",IF(ABS(LN('Historique ajusté'!D31/'Historique ajusté'!D30))&gt;Seuil_aberrant,"",'Historique ajusté'!D31/'Historique ajusté'!D30-1))</f>
        <v/>
      </c>
      <c r="E31" s="34">
        <f>IF(OR('Historique ajusté'!E31="",'Historique ajusté'!E30=""),"",IF(ABS(LN('Historique ajusté'!E31/'Historique ajusté'!E30))&gt;Seuil_aberrant,"",'Historique ajusté'!E31/'Historique ajusté'!E30-1))</f>
        <v/>
      </c>
      <c r="F31" s="34">
        <f>IF(OR('Historique ajusté'!F31="",'Historique ajusté'!F30=""),"",IF(ABS(LN('Historique ajusté'!F31/'Historique ajusté'!F30))&gt;Seuil_aberrant,"",'Historique ajusté'!F31/'Historique ajusté'!F30-1))</f>
        <v/>
      </c>
      <c r="G31" s="34">
        <f>IF(OR('Historique ajusté'!G31="",'Historique ajusté'!G30=""),"",IF(ABS(LN('Historique ajusté'!G31/'Historique ajusté'!G30))&gt;Seuil_aberrant,"",'Historique ajusté'!G31/'Historique ajusté'!G30-1))</f>
        <v/>
      </c>
      <c r="H31" s="34">
        <f>IF(OR('Historique ajusté'!H31="",'Historique ajusté'!H30=""),"",IF(ABS(LN('Historique ajusté'!H31/'Historique ajusté'!H30))&gt;Seuil_aberrant,"",'Historique ajusté'!H31/'Historique ajusté'!H30-1))</f>
        <v/>
      </c>
      <c r="I31" s="34">
        <f>IF(OR('Historique ajusté'!I31="",'Historique ajusté'!I30=""),"",IF(ABS(LN('Historique ajusté'!I31/'Historique ajusté'!I30))&gt;Seuil_aberrant,"",'Historique ajusté'!I31/'Historique ajusté'!I30-1))</f>
        <v/>
      </c>
      <c r="J31" s="34">
        <f>IF(OR('Historique ajusté'!J31="",'Historique ajusté'!J30=""),"",IF(ABS(LN('Historique ajusté'!J31/'Historique ajusté'!J30))&gt;Seuil_aberrant,"",'Historique ajusté'!J31/'Historique ajusté'!J30-1))</f>
        <v/>
      </c>
      <c r="K31" s="34">
        <f>IF(OR('Historique ajusté'!K31="",'Historique ajusté'!K30=""),"",IF(ABS(LN('Historique ajusté'!K31/'Historique ajusté'!K30))&gt;Seuil_aberrant,"",'Historique ajusté'!K31/'Historique ajusté'!K30-1))</f>
        <v/>
      </c>
      <c r="L31" s="34">
        <f>IF(OR('Historique ajusté'!L31="",'Historique ajusté'!L30=""),"",IF(ABS(LN('Historique ajusté'!L31/'Historique ajusté'!L30))&gt;Seuil_aberrant,"",'Historique ajusté'!L31/'Historique ajusté'!L30-1))</f>
        <v/>
      </c>
      <c r="M31" s="34">
        <f>IF(OR('Historique ajusté'!M31="",'Historique ajusté'!M30=""),"",IF(ABS(LN('Historique ajusté'!M31/'Historique ajusté'!M30))&gt;Seuil_aberrant,"",'Historique ajusté'!M31/'Historique ajusté'!M30-1))</f>
        <v/>
      </c>
      <c r="N31" s="34">
        <f>IF(OR('Historique ajusté'!N31="",'Historique ajusté'!N30=""),"",IF(ABS(LN('Historique ajusté'!N31/'Historique ajusté'!N30))&gt;Seuil_aberrant,"",'Historique ajusté'!N31/'Historique ajusté'!N30-1))</f>
        <v/>
      </c>
      <c r="O31" s="34">
        <f>IF(OR('Historique ajusté'!O31="",'Historique ajusté'!O30=""),"",IF(ABS(LN('Historique ajusté'!O31/'Historique ajusté'!O30))&gt;Seuil_aberrant,"",'Historique ajusté'!O31/'Historique ajusté'!O30-1))</f>
        <v/>
      </c>
      <c r="P31" s="34">
        <f>IF(OR('Historique ajusté'!P31="",'Historique ajusté'!P30=""),"",IF(ABS(LN('Historique ajusté'!P31/'Historique ajusté'!P30))&gt;Seuil_aberrant,"",'Historique ajusté'!P31/'Historique ajusté'!P30-1))</f>
        <v/>
      </c>
    </row>
    <row r="32">
      <c r="B32" s="32">
        <f>'Historique ajusté'!B32</f>
        <v/>
      </c>
      <c r="C32" s="34">
        <f>IF(OR('Historique ajusté'!C32="",'Historique ajusté'!C31=""),"",IF(ABS(LN('Historique ajusté'!C32/'Historique ajusté'!C31))&gt;Seuil_aberrant,"",'Historique ajusté'!C32/'Historique ajusté'!C31-1))</f>
        <v/>
      </c>
      <c r="D32" s="34">
        <f>IF(OR('Historique ajusté'!D32="",'Historique ajusté'!D31=""),"",IF(ABS(LN('Historique ajusté'!D32/'Historique ajusté'!D31))&gt;Seuil_aberrant,"",'Historique ajusté'!D32/'Historique ajusté'!D31-1))</f>
        <v/>
      </c>
      <c r="E32" s="34">
        <f>IF(OR('Historique ajusté'!E32="",'Historique ajusté'!E31=""),"",IF(ABS(LN('Historique ajusté'!E32/'Historique ajusté'!E31))&gt;Seuil_aberrant,"",'Historique ajusté'!E32/'Historique ajusté'!E31-1))</f>
        <v/>
      </c>
      <c r="F32" s="34">
        <f>IF(OR('Historique ajusté'!F32="",'Historique ajusté'!F31=""),"",IF(ABS(LN('Historique ajusté'!F32/'Historique ajusté'!F31))&gt;Seuil_aberrant,"",'Historique ajusté'!F32/'Historique ajusté'!F31-1))</f>
        <v/>
      </c>
      <c r="G32" s="34">
        <f>IF(OR('Historique ajusté'!G32="",'Historique ajusté'!G31=""),"",IF(ABS(LN('Historique ajusté'!G32/'Historique ajusté'!G31))&gt;Seuil_aberrant,"",'Historique ajusté'!G32/'Historique ajusté'!G31-1))</f>
        <v/>
      </c>
      <c r="H32" s="34">
        <f>IF(OR('Historique ajusté'!H32="",'Historique ajusté'!H31=""),"",IF(ABS(LN('Historique ajusté'!H32/'Historique ajusté'!H31))&gt;Seuil_aberrant,"",'Historique ajusté'!H32/'Historique ajusté'!H31-1))</f>
        <v/>
      </c>
      <c r="I32" s="34">
        <f>IF(OR('Historique ajusté'!I32="",'Historique ajusté'!I31=""),"",IF(ABS(LN('Historique ajusté'!I32/'Historique ajusté'!I31))&gt;Seuil_aberrant,"",'Historique ajusté'!I32/'Historique ajusté'!I31-1))</f>
        <v/>
      </c>
      <c r="J32" s="34">
        <f>IF(OR('Historique ajusté'!J32="",'Historique ajusté'!J31=""),"",IF(ABS(LN('Historique ajusté'!J32/'Historique ajusté'!J31))&gt;Seuil_aberrant,"",'Historique ajusté'!J32/'Historique ajusté'!J31-1))</f>
        <v/>
      </c>
      <c r="K32" s="34">
        <f>IF(OR('Historique ajusté'!K32="",'Historique ajusté'!K31=""),"",IF(ABS(LN('Historique ajusté'!K32/'Historique ajusté'!K31))&gt;Seuil_aberrant,"",'Historique ajusté'!K32/'Historique ajusté'!K31-1))</f>
        <v/>
      </c>
      <c r="L32" s="34">
        <f>IF(OR('Historique ajusté'!L32="",'Historique ajusté'!L31=""),"",IF(ABS(LN('Historique ajusté'!L32/'Historique ajusté'!L31))&gt;Seuil_aberrant,"",'Historique ajusté'!L32/'Historique ajusté'!L31-1))</f>
        <v/>
      </c>
      <c r="M32" s="34">
        <f>IF(OR('Historique ajusté'!M32="",'Historique ajusté'!M31=""),"",IF(ABS(LN('Historique ajusté'!M32/'Historique ajusté'!M31))&gt;Seuil_aberrant,"",'Historique ajusté'!M32/'Historique ajusté'!M31-1))</f>
        <v/>
      </c>
      <c r="N32" s="34">
        <f>IF(OR('Historique ajusté'!N32="",'Historique ajusté'!N31=""),"",IF(ABS(LN('Historique ajusté'!N32/'Historique ajusté'!N31))&gt;Seuil_aberrant,"",'Historique ajusté'!N32/'Historique ajusté'!N31-1))</f>
        <v/>
      </c>
      <c r="O32" s="34">
        <f>IF(OR('Historique ajusté'!O32="",'Historique ajusté'!O31=""),"",IF(ABS(LN('Historique ajusté'!O32/'Historique ajusté'!O31))&gt;Seuil_aberrant,"",'Historique ajusté'!O32/'Historique ajusté'!O31-1))</f>
        <v/>
      </c>
      <c r="P32" s="34">
        <f>IF(OR('Historique ajusté'!P32="",'Historique ajusté'!P31=""),"",IF(ABS(LN('Historique ajusté'!P32/'Historique ajusté'!P31))&gt;Seuil_aberrant,"",'Historique ajusté'!P32/'Historique ajusté'!P31-1))</f>
        <v/>
      </c>
    </row>
    <row r="33">
      <c r="B33" s="32">
        <f>'Historique ajusté'!B33</f>
        <v/>
      </c>
      <c r="C33" s="34">
        <f>IF(OR('Historique ajusté'!C33="",'Historique ajusté'!C32=""),"",IF(ABS(LN('Historique ajusté'!C33/'Historique ajusté'!C32))&gt;Seuil_aberrant,"",'Historique ajusté'!C33/'Historique ajusté'!C32-1))</f>
        <v/>
      </c>
      <c r="D33" s="34">
        <f>IF(OR('Historique ajusté'!D33="",'Historique ajusté'!D32=""),"",IF(ABS(LN('Historique ajusté'!D33/'Historique ajusté'!D32))&gt;Seuil_aberrant,"",'Historique ajusté'!D33/'Historique ajusté'!D32-1))</f>
        <v/>
      </c>
      <c r="E33" s="34">
        <f>IF(OR('Historique ajusté'!E33="",'Historique ajusté'!E32=""),"",IF(ABS(LN('Historique ajusté'!E33/'Historique ajusté'!E32))&gt;Seuil_aberrant,"",'Historique ajusté'!E33/'Historique ajusté'!E32-1))</f>
        <v/>
      </c>
      <c r="F33" s="34">
        <f>IF(OR('Historique ajusté'!F33="",'Historique ajusté'!F32=""),"",IF(ABS(LN('Historique ajusté'!F33/'Historique ajusté'!F32))&gt;Seuil_aberrant,"",'Historique ajusté'!F33/'Historique ajusté'!F32-1))</f>
        <v/>
      </c>
      <c r="G33" s="34">
        <f>IF(OR('Historique ajusté'!G33="",'Historique ajusté'!G32=""),"",IF(ABS(LN('Historique ajusté'!G33/'Historique ajusté'!G32))&gt;Seuil_aberrant,"",'Historique ajusté'!G33/'Historique ajusté'!G32-1))</f>
        <v/>
      </c>
      <c r="H33" s="34">
        <f>IF(OR('Historique ajusté'!H33="",'Historique ajusté'!H32=""),"",IF(ABS(LN('Historique ajusté'!H33/'Historique ajusté'!H32))&gt;Seuil_aberrant,"",'Historique ajusté'!H33/'Historique ajusté'!H32-1))</f>
        <v/>
      </c>
      <c r="I33" s="34">
        <f>IF(OR('Historique ajusté'!I33="",'Historique ajusté'!I32=""),"",IF(ABS(LN('Historique ajusté'!I33/'Historique ajusté'!I32))&gt;Seuil_aberrant,"",'Historique ajusté'!I33/'Historique ajusté'!I32-1))</f>
        <v/>
      </c>
      <c r="J33" s="34">
        <f>IF(OR('Historique ajusté'!J33="",'Historique ajusté'!J32=""),"",IF(ABS(LN('Historique ajusté'!J33/'Historique ajusté'!J32))&gt;Seuil_aberrant,"",'Historique ajusté'!J33/'Historique ajusté'!J32-1))</f>
        <v/>
      </c>
      <c r="K33" s="34">
        <f>IF(OR('Historique ajusté'!K33="",'Historique ajusté'!K32=""),"",IF(ABS(LN('Historique ajusté'!K33/'Historique ajusté'!K32))&gt;Seuil_aberrant,"",'Historique ajusté'!K33/'Historique ajusté'!K32-1))</f>
        <v/>
      </c>
      <c r="L33" s="34">
        <f>IF(OR('Historique ajusté'!L33="",'Historique ajusté'!L32=""),"",IF(ABS(LN('Historique ajusté'!L33/'Historique ajusté'!L32))&gt;Seuil_aberrant,"",'Historique ajusté'!L33/'Historique ajusté'!L32-1))</f>
        <v/>
      </c>
      <c r="M33" s="34">
        <f>IF(OR('Historique ajusté'!M33="",'Historique ajusté'!M32=""),"",IF(ABS(LN('Historique ajusté'!M33/'Historique ajusté'!M32))&gt;Seuil_aberrant,"",'Historique ajusté'!M33/'Historique ajusté'!M32-1))</f>
        <v/>
      </c>
      <c r="N33" s="34">
        <f>IF(OR('Historique ajusté'!N33="",'Historique ajusté'!N32=""),"",IF(ABS(LN('Historique ajusté'!N33/'Historique ajusté'!N32))&gt;Seuil_aberrant,"",'Historique ajusté'!N33/'Historique ajusté'!N32-1))</f>
        <v/>
      </c>
      <c r="O33" s="34">
        <f>IF(OR('Historique ajusté'!O33="",'Historique ajusté'!O32=""),"",IF(ABS(LN('Historique ajusté'!O33/'Historique ajusté'!O32))&gt;Seuil_aberrant,"",'Historique ajusté'!O33/'Historique ajusté'!O32-1))</f>
        <v/>
      </c>
      <c r="P33" s="34">
        <f>IF(OR('Historique ajusté'!P33="",'Historique ajusté'!P32=""),"",IF(ABS(LN('Historique ajusté'!P33/'Historique ajusté'!P32))&gt;Seuil_aberrant,"",'Historique ajusté'!P33/'Historique ajusté'!P32-1))</f>
        <v/>
      </c>
    </row>
    <row r="34">
      <c r="B34" s="32">
        <f>'Historique ajusté'!B34</f>
        <v/>
      </c>
      <c r="C34" s="34">
        <f>IF(OR('Historique ajusté'!C34="",'Historique ajusté'!C33=""),"",IF(ABS(LN('Historique ajusté'!C34/'Historique ajusté'!C33))&gt;Seuil_aberrant,"",'Historique ajusté'!C34/'Historique ajusté'!C33-1))</f>
        <v/>
      </c>
      <c r="D34" s="34">
        <f>IF(OR('Historique ajusté'!D34="",'Historique ajusté'!D33=""),"",IF(ABS(LN('Historique ajusté'!D34/'Historique ajusté'!D33))&gt;Seuil_aberrant,"",'Historique ajusté'!D34/'Historique ajusté'!D33-1))</f>
        <v/>
      </c>
      <c r="E34" s="34">
        <f>IF(OR('Historique ajusté'!E34="",'Historique ajusté'!E33=""),"",IF(ABS(LN('Historique ajusté'!E34/'Historique ajusté'!E33))&gt;Seuil_aberrant,"",'Historique ajusté'!E34/'Historique ajusté'!E33-1))</f>
        <v/>
      </c>
      <c r="F34" s="34">
        <f>IF(OR('Historique ajusté'!F34="",'Historique ajusté'!F33=""),"",IF(ABS(LN('Historique ajusté'!F34/'Historique ajusté'!F33))&gt;Seuil_aberrant,"",'Historique ajusté'!F34/'Historique ajusté'!F33-1))</f>
        <v/>
      </c>
      <c r="G34" s="34">
        <f>IF(OR('Historique ajusté'!G34="",'Historique ajusté'!G33=""),"",IF(ABS(LN('Historique ajusté'!G34/'Historique ajusté'!G33))&gt;Seuil_aberrant,"",'Historique ajusté'!G34/'Historique ajusté'!G33-1))</f>
        <v/>
      </c>
      <c r="H34" s="34">
        <f>IF(OR('Historique ajusté'!H34="",'Historique ajusté'!H33=""),"",IF(ABS(LN('Historique ajusté'!H34/'Historique ajusté'!H33))&gt;Seuil_aberrant,"",'Historique ajusté'!H34/'Historique ajusté'!H33-1))</f>
        <v/>
      </c>
      <c r="I34" s="34">
        <f>IF(OR('Historique ajusté'!I34="",'Historique ajusté'!I33=""),"",IF(ABS(LN('Historique ajusté'!I34/'Historique ajusté'!I33))&gt;Seuil_aberrant,"",'Historique ajusté'!I34/'Historique ajusté'!I33-1))</f>
        <v/>
      </c>
      <c r="J34" s="34">
        <f>IF(OR('Historique ajusté'!J34="",'Historique ajusté'!J33=""),"",IF(ABS(LN('Historique ajusté'!J34/'Historique ajusté'!J33))&gt;Seuil_aberrant,"",'Historique ajusté'!J34/'Historique ajusté'!J33-1))</f>
        <v/>
      </c>
      <c r="K34" s="34">
        <f>IF(OR('Historique ajusté'!K34="",'Historique ajusté'!K33=""),"",IF(ABS(LN('Historique ajusté'!K34/'Historique ajusté'!K33))&gt;Seuil_aberrant,"",'Historique ajusté'!K34/'Historique ajusté'!K33-1))</f>
        <v/>
      </c>
      <c r="L34" s="34">
        <f>IF(OR('Historique ajusté'!L34="",'Historique ajusté'!L33=""),"",IF(ABS(LN('Historique ajusté'!L34/'Historique ajusté'!L33))&gt;Seuil_aberrant,"",'Historique ajusté'!L34/'Historique ajusté'!L33-1))</f>
        <v/>
      </c>
      <c r="M34" s="34">
        <f>IF(OR('Historique ajusté'!M34="",'Historique ajusté'!M33=""),"",IF(ABS(LN('Historique ajusté'!M34/'Historique ajusté'!M33))&gt;Seuil_aberrant,"",'Historique ajusté'!M34/'Historique ajusté'!M33-1))</f>
        <v/>
      </c>
      <c r="N34" s="34">
        <f>IF(OR('Historique ajusté'!N34="",'Historique ajusté'!N33=""),"",IF(ABS(LN('Historique ajusté'!N34/'Historique ajusté'!N33))&gt;Seuil_aberrant,"",'Historique ajusté'!N34/'Historique ajusté'!N33-1))</f>
        <v/>
      </c>
      <c r="O34" s="34">
        <f>IF(OR('Historique ajusté'!O34="",'Historique ajusté'!O33=""),"",IF(ABS(LN('Historique ajusté'!O34/'Historique ajusté'!O33))&gt;Seuil_aberrant,"",'Historique ajusté'!O34/'Historique ajusté'!O33-1))</f>
        <v/>
      </c>
      <c r="P34" s="34">
        <f>IF(OR('Historique ajusté'!P34="",'Historique ajusté'!P33=""),"",IF(ABS(LN('Historique ajusté'!P34/'Historique ajusté'!P33))&gt;Seuil_aberrant,"",'Historique ajusté'!P34/'Historique ajusté'!P33-1))</f>
        <v/>
      </c>
    </row>
    <row r="35">
      <c r="B35" s="32">
        <f>'Historique ajusté'!B35</f>
        <v/>
      </c>
      <c r="C35" s="34">
        <f>IF(OR('Historique ajusté'!C35="",'Historique ajusté'!C34=""),"",IF(ABS(LN('Historique ajusté'!C35/'Historique ajusté'!C34))&gt;Seuil_aberrant,"",'Historique ajusté'!C35/'Historique ajusté'!C34-1))</f>
        <v/>
      </c>
      <c r="D35" s="34">
        <f>IF(OR('Historique ajusté'!D35="",'Historique ajusté'!D34=""),"",IF(ABS(LN('Historique ajusté'!D35/'Historique ajusté'!D34))&gt;Seuil_aberrant,"",'Historique ajusté'!D35/'Historique ajusté'!D34-1))</f>
        <v/>
      </c>
      <c r="E35" s="34">
        <f>IF(OR('Historique ajusté'!E35="",'Historique ajusté'!E34=""),"",IF(ABS(LN('Historique ajusté'!E35/'Historique ajusté'!E34))&gt;Seuil_aberrant,"",'Historique ajusté'!E35/'Historique ajusté'!E34-1))</f>
        <v/>
      </c>
      <c r="F35" s="34">
        <f>IF(OR('Historique ajusté'!F35="",'Historique ajusté'!F34=""),"",IF(ABS(LN('Historique ajusté'!F35/'Historique ajusté'!F34))&gt;Seuil_aberrant,"",'Historique ajusté'!F35/'Historique ajusté'!F34-1))</f>
        <v/>
      </c>
      <c r="G35" s="34">
        <f>IF(OR('Historique ajusté'!G35="",'Historique ajusté'!G34=""),"",IF(ABS(LN('Historique ajusté'!G35/'Historique ajusté'!G34))&gt;Seuil_aberrant,"",'Historique ajusté'!G35/'Historique ajusté'!G34-1))</f>
        <v/>
      </c>
      <c r="H35" s="34">
        <f>IF(OR('Historique ajusté'!H35="",'Historique ajusté'!H34=""),"",IF(ABS(LN('Historique ajusté'!H35/'Historique ajusté'!H34))&gt;Seuil_aberrant,"",'Historique ajusté'!H35/'Historique ajusté'!H34-1))</f>
        <v/>
      </c>
      <c r="I35" s="34">
        <f>IF(OR('Historique ajusté'!I35="",'Historique ajusté'!I34=""),"",IF(ABS(LN('Historique ajusté'!I35/'Historique ajusté'!I34))&gt;Seuil_aberrant,"",'Historique ajusté'!I35/'Historique ajusté'!I34-1))</f>
        <v/>
      </c>
      <c r="J35" s="34">
        <f>IF(OR('Historique ajusté'!J35="",'Historique ajusté'!J34=""),"",IF(ABS(LN('Historique ajusté'!J35/'Historique ajusté'!J34))&gt;Seuil_aberrant,"",'Historique ajusté'!J35/'Historique ajusté'!J34-1))</f>
        <v/>
      </c>
      <c r="K35" s="34">
        <f>IF(OR('Historique ajusté'!K35="",'Historique ajusté'!K34=""),"",IF(ABS(LN('Historique ajusté'!K35/'Historique ajusté'!K34))&gt;Seuil_aberrant,"",'Historique ajusté'!K35/'Historique ajusté'!K34-1))</f>
        <v/>
      </c>
      <c r="L35" s="34">
        <f>IF(OR('Historique ajusté'!L35="",'Historique ajusté'!L34=""),"",IF(ABS(LN('Historique ajusté'!L35/'Historique ajusté'!L34))&gt;Seuil_aberrant,"",'Historique ajusté'!L35/'Historique ajusté'!L34-1))</f>
        <v/>
      </c>
      <c r="M35" s="34">
        <f>IF(OR('Historique ajusté'!M35="",'Historique ajusté'!M34=""),"",IF(ABS(LN('Historique ajusté'!M35/'Historique ajusté'!M34))&gt;Seuil_aberrant,"",'Historique ajusté'!M35/'Historique ajusté'!M34-1))</f>
        <v/>
      </c>
      <c r="N35" s="34">
        <f>IF(OR('Historique ajusté'!N35="",'Historique ajusté'!N34=""),"",IF(ABS(LN('Historique ajusté'!N35/'Historique ajusté'!N34))&gt;Seuil_aberrant,"",'Historique ajusté'!N35/'Historique ajusté'!N34-1))</f>
        <v/>
      </c>
      <c r="O35" s="34">
        <f>IF(OR('Historique ajusté'!O35="",'Historique ajusté'!O34=""),"",IF(ABS(LN('Historique ajusté'!O35/'Historique ajusté'!O34))&gt;Seuil_aberrant,"",'Historique ajusté'!O35/'Historique ajusté'!O34-1))</f>
        <v/>
      </c>
      <c r="P35" s="34">
        <f>IF(OR('Historique ajusté'!P35="",'Historique ajusté'!P34=""),"",IF(ABS(LN('Historique ajusté'!P35/'Historique ajusté'!P34))&gt;Seuil_aberrant,"",'Historique ajusté'!P35/'Historique ajusté'!P34-1))</f>
        <v/>
      </c>
    </row>
    <row r="36">
      <c r="B36" s="32">
        <f>'Historique ajusté'!B36</f>
        <v/>
      </c>
      <c r="C36" s="34">
        <f>IF(OR('Historique ajusté'!C36="",'Historique ajusté'!C35=""),"",IF(ABS(LN('Historique ajusté'!C36/'Historique ajusté'!C35))&gt;Seuil_aberrant,"",'Historique ajusté'!C36/'Historique ajusté'!C35-1))</f>
        <v/>
      </c>
      <c r="D36" s="34">
        <f>IF(OR('Historique ajusté'!D36="",'Historique ajusté'!D35=""),"",IF(ABS(LN('Historique ajusté'!D36/'Historique ajusté'!D35))&gt;Seuil_aberrant,"",'Historique ajusté'!D36/'Historique ajusté'!D35-1))</f>
        <v/>
      </c>
      <c r="E36" s="34">
        <f>IF(OR('Historique ajusté'!E36="",'Historique ajusté'!E35=""),"",IF(ABS(LN('Historique ajusté'!E36/'Historique ajusté'!E35))&gt;Seuil_aberrant,"",'Historique ajusté'!E36/'Historique ajusté'!E35-1))</f>
        <v/>
      </c>
      <c r="F36" s="34">
        <f>IF(OR('Historique ajusté'!F36="",'Historique ajusté'!F35=""),"",IF(ABS(LN('Historique ajusté'!F36/'Historique ajusté'!F35))&gt;Seuil_aberrant,"",'Historique ajusté'!F36/'Historique ajusté'!F35-1))</f>
        <v/>
      </c>
      <c r="G36" s="34">
        <f>IF(OR('Historique ajusté'!G36="",'Historique ajusté'!G35=""),"",IF(ABS(LN('Historique ajusté'!G36/'Historique ajusté'!G35))&gt;Seuil_aberrant,"",'Historique ajusté'!G36/'Historique ajusté'!G35-1))</f>
        <v/>
      </c>
      <c r="H36" s="34">
        <f>IF(OR('Historique ajusté'!H36="",'Historique ajusté'!H35=""),"",IF(ABS(LN('Historique ajusté'!H36/'Historique ajusté'!H35))&gt;Seuil_aberrant,"",'Historique ajusté'!H36/'Historique ajusté'!H35-1))</f>
        <v/>
      </c>
      <c r="I36" s="34">
        <f>IF(OR('Historique ajusté'!I36="",'Historique ajusté'!I35=""),"",IF(ABS(LN('Historique ajusté'!I36/'Historique ajusté'!I35))&gt;Seuil_aberrant,"",'Historique ajusté'!I36/'Historique ajusté'!I35-1))</f>
        <v/>
      </c>
      <c r="J36" s="34">
        <f>IF(OR('Historique ajusté'!J36="",'Historique ajusté'!J35=""),"",IF(ABS(LN('Historique ajusté'!J36/'Historique ajusté'!J35))&gt;Seuil_aberrant,"",'Historique ajusté'!J36/'Historique ajusté'!J35-1))</f>
        <v/>
      </c>
      <c r="K36" s="34">
        <f>IF(OR('Historique ajusté'!K36="",'Historique ajusté'!K35=""),"",IF(ABS(LN('Historique ajusté'!K36/'Historique ajusté'!K35))&gt;Seuil_aberrant,"",'Historique ajusté'!K36/'Historique ajusté'!K35-1))</f>
        <v/>
      </c>
      <c r="L36" s="34">
        <f>IF(OR('Historique ajusté'!L36="",'Historique ajusté'!L35=""),"",IF(ABS(LN('Historique ajusté'!L36/'Historique ajusté'!L35))&gt;Seuil_aberrant,"",'Historique ajusté'!L36/'Historique ajusté'!L35-1))</f>
        <v/>
      </c>
      <c r="M36" s="34">
        <f>IF(OR('Historique ajusté'!M36="",'Historique ajusté'!M35=""),"",IF(ABS(LN('Historique ajusté'!M36/'Historique ajusté'!M35))&gt;Seuil_aberrant,"",'Historique ajusté'!M36/'Historique ajusté'!M35-1))</f>
        <v/>
      </c>
      <c r="N36" s="34">
        <f>IF(OR('Historique ajusté'!N36="",'Historique ajusté'!N35=""),"",IF(ABS(LN('Historique ajusté'!N36/'Historique ajusté'!N35))&gt;Seuil_aberrant,"",'Historique ajusté'!N36/'Historique ajusté'!N35-1))</f>
        <v/>
      </c>
      <c r="O36" s="34">
        <f>IF(OR('Historique ajusté'!O36="",'Historique ajusté'!O35=""),"",IF(ABS(LN('Historique ajusté'!O36/'Historique ajusté'!O35))&gt;Seuil_aberrant,"",'Historique ajusté'!O36/'Historique ajusté'!O35-1))</f>
        <v/>
      </c>
      <c r="P36" s="34">
        <f>IF(OR('Historique ajusté'!P36="",'Historique ajusté'!P35=""),"",IF(ABS(LN('Historique ajusté'!P36/'Historique ajusté'!P35))&gt;Seuil_aberrant,"",'Historique ajusté'!P36/'Historique ajusté'!P35-1))</f>
        <v/>
      </c>
    </row>
    <row r="37">
      <c r="B37" s="32">
        <f>'Historique ajusté'!B37</f>
        <v/>
      </c>
      <c r="C37" s="34">
        <f>IF(OR('Historique ajusté'!C37="",'Historique ajusté'!C36=""),"",IF(ABS(LN('Historique ajusté'!C37/'Historique ajusté'!C36))&gt;Seuil_aberrant,"",'Historique ajusté'!C37/'Historique ajusté'!C36-1))</f>
        <v/>
      </c>
      <c r="D37" s="34">
        <f>IF(OR('Historique ajusté'!D37="",'Historique ajusté'!D36=""),"",IF(ABS(LN('Historique ajusté'!D37/'Historique ajusté'!D36))&gt;Seuil_aberrant,"",'Historique ajusté'!D37/'Historique ajusté'!D36-1))</f>
        <v/>
      </c>
      <c r="E37" s="34">
        <f>IF(OR('Historique ajusté'!E37="",'Historique ajusté'!E36=""),"",IF(ABS(LN('Historique ajusté'!E37/'Historique ajusté'!E36))&gt;Seuil_aberrant,"",'Historique ajusté'!E37/'Historique ajusté'!E36-1))</f>
        <v/>
      </c>
      <c r="F37" s="34">
        <f>IF(OR('Historique ajusté'!F37="",'Historique ajusté'!F36=""),"",IF(ABS(LN('Historique ajusté'!F37/'Historique ajusté'!F36))&gt;Seuil_aberrant,"",'Historique ajusté'!F37/'Historique ajusté'!F36-1))</f>
        <v/>
      </c>
      <c r="G37" s="34">
        <f>IF(OR('Historique ajusté'!G37="",'Historique ajusté'!G36=""),"",IF(ABS(LN('Historique ajusté'!G37/'Historique ajusté'!G36))&gt;Seuil_aberrant,"",'Historique ajusté'!G37/'Historique ajusté'!G36-1))</f>
        <v/>
      </c>
      <c r="H37" s="34">
        <f>IF(OR('Historique ajusté'!H37="",'Historique ajusté'!H36=""),"",IF(ABS(LN('Historique ajusté'!H37/'Historique ajusté'!H36))&gt;Seuil_aberrant,"",'Historique ajusté'!H37/'Historique ajusté'!H36-1))</f>
        <v/>
      </c>
      <c r="I37" s="34">
        <f>IF(OR('Historique ajusté'!I37="",'Historique ajusté'!I36=""),"",IF(ABS(LN('Historique ajusté'!I37/'Historique ajusté'!I36))&gt;Seuil_aberrant,"",'Historique ajusté'!I37/'Historique ajusté'!I36-1))</f>
        <v/>
      </c>
      <c r="J37" s="34">
        <f>IF(OR('Historique ajusté'!J37="",'Historique ajusté'!J36=""),"",IF(ABS(LN('Historique ajusté'!J37/'Historique ajusté'!J36))&gt;Seuil_aberrant,"",'Historique ajusté'!J37/'Historique ajusté'!J36-1))</f>
        <v/>
      </c>
      <c r="K37" s="34">
        <f>IF(OR('Historique ajusté'!K37="",'Historique ajusté'!K36=""),"",IF(ABS(LN('Historique ajusté'!K37/'Historique ajusté'!K36))&gt;Seuil_aberrant,"",'Historique ajusté'!K37/'Historique ajusté'!K36-1))</f>
        <v/>
      </c>
      <c r="L37" s="34">
        <f>IF(OR('Historique ajusté'!L37="",'Historique ajusté'!L36=""),"",IF(ABS(LN('Historique ajusté'!L37/'Historique ajusté'!L36))&gt;Seuil_aberrant,"",'Historique ajusté'!L37/'Historique ajusté'!L36-1))</f>
        <v/>
      </c>
      <c r="M37" s="34">
        <f>IF(OR('Historique ajusté'!M37="",'Historique ajusté'!M36=""),"",IF(ABS(LN('Historique ajusté'!M37/'Historique ajusté'!M36))&gt;Seuil_aberrant,"",'Historique ajusté'!M37/'Historique ajusté'!M36-1))</f>
        <v/>
      </c>
      <c r="N37" s="34">
        <f>IF(OR('Historique ajusté'!N37="",'Historique ajusté'!N36=""),"",IF(ABS(LN('Historique ajusté'!N37/'Historique ajusté'!N36))&gt;Seuil_aberrant,"",'Historique ajusté'!N37/'Historique ajusté'!N36-1))</f>
        <v/>
      </c>
      <c r="O37" s="34">
        <f>IF(OR('Historique ajusté'!O37="",'Historique ajusté'!O36=""),"",IF(ABS(LN('Historique ajusté'!O37/'Historique ajusté'!O36))&gt;Seuil_aberrant,"",'Historique ajusté'!O37/'Historique ajusté'!O36-1))</f>
        <v/>
      </c>
      <c r="P37" s="34">
        <f>IF(OR('Historique ajusté'!P37="",'Historique ajusté'!P36=""),"",IF(ABS(LN('Historique ajusté'!P37/'Historique ajusté'!P36))&gt;Seuil_aberrant,"",'Historique ajusté'!P37/'Historique ajusté'!P36-1))</f>
        <v/>
      </c>
    </row>
    <row r="38">
      <c r="B38" s="32">
        <f>'Historique ajusté'!B38</f>
        <v/>
      </c>
      <c r="C38" s="34">
        <f>IF(OR('Historique ajusté'!C38="",'Historique ajusté'!C37=""),"",IF(ABS(LN('Historique ajusté'!C38/'Historique ajusté'!C37))&gt;Seuil_aberrant,"",'Historique ajusté'!C38/'Historique ajusté'!C37-1))</f>
        <v/>
      </c>
      <c r="D38" s="34">
        <f>IF(OR('Historique ajusté'!D38="",'Historique ajusté'!D37=""),"",IF(ABS(LN('Historique ajusté'!D38/'Historique ajusté'!D37))&gt;Seuil_aberrant,"",'Historique ajusté'!D38/'Historique ajusté'!D37-1))</f>
        <v/>
      </c>
      <c r="E38" s="34">
        <f>IF(OR('Historique ajusté'!E38="",'Historique ajusté'!E37=""),"",IF(ABS(LN('Historique ajusté'!E38/'Historique ajusté'!E37))&gt;Seuil_aberrant,"",'Historique ajusté'!E38/'Historique ajusté'!E37-1))</f>
        <v/>
      </c>
      <c r="F38" s="34">
        <f>IF(OR('Historique ajusté'!F38="",'Historique ajusté'!F37=""),"",IF(ABS(LN('Historique ajusté'!F38/'Historique ajusté'!F37))&gt;Seuil_aberrant,"",'Historique ajusté'!F38/'Historique ajusté'!F37-1))</f>
        <v/>
      </c>
      <c r="G38" s="34">
        <f>IF(OR('Historique ajusté'!G38="",'Historique ajusté'!G37=""),"",IF(ABS(LN('Historique ajusté'!G38/'Historique ajusté'!G37))&gt;Seuil_aberrant,"",'Historique ajusté'!G38/'Historique ajusté'!G37-1))</f>
        <v/>
      </c>
      <c r="H38" s="34">
        <f>IF(OR('Historique ajusté'!H38="",'Historique ajusté'!H37=""),"",IF(ABS(LN('Historique ajusté'!H38/'Historique ajusté'!H37))&gt;Seuil_aberrant,"",'Historique ajusté'!H38/'Historique ajusté'!H37-1))</f>
        <v/>
      </c>
      <c r="I38" s="34">
        <f>IF(OR('Historique ajusté'!I38="",'Historique ajusté'!I37=""),"",IF(ABS(LN('Historique ajusté'!I38/'Historique ajusté'!I37))&gt;Seuil_aberrant,"",'Historique ajusté'!I38/'Historique ajusté'!I37-1))</f>
        <v/>
      </c>
      <c r="J38" s="34">
        <f>IF(OR('Historique ajusté'!J38="",'Historique ajusté'!J37=""),"",IF(ABS(LN('Historique ajusté'!J38/'Historique ajusté'!J37))&gt;Seuil_aberrant,"",'Historique ajusté'!J38/'Historique ajusté'!J37-1))</f>
        <v/>
      </c>
      <c r="K38" s="34">
        <f>IF(OR('Historique ajusté'!K38="",'Historique ajusté'!K37=""),"",IF(ABS(LN('Historique ajusté'!K38/'Historique ajusté'!K37))&gt;Seuil_aberrant,"",'Historique ajusté'!K38/'Historique ajusté'!K37-1))</f>
        <v/>
      </c>
      <c r="L38" s="34">
        <f>IF(OR('Historique ajusté'!L38="",'Historique ajusté'!L37=""),"",IF(ABS(LN('Historique ajusté'!L38/'Historique ajusté'!L37))&gt;Seuil_aberrant,"",'Historique ajusté'!L38/'Historique ajusté'!L37-1))</f>
        <v/>
      </c>
      <c r="M38" s="34">
        <f>IF(OR('Historique ajusté'!M38="",'Historique ajusté'!M37=""),"",IF(ABS(LN('Historique ajusté'!M38/'Historique ajusté'!M37))&gt;Seuil_aberrant,"",'Historique ajusté'!M38/'Historique ajusté'!M37-1))</f>
        <v/>
      </c>
      <c r="N38" s="34">
        <f>IF(OR('Historique ajusté'!N38="",'Historique ajusté'!N37=""),"",IF(ABS(LN('Historique ajusté'!N38/'Historique ajusté'!N37))&gt;Seuil_aberrant,"",'Historique ajusté'!N38/'Historique ajusté'!N37-1))</f>
        <v/>
      </c>
      <c r="O38" s="34">
        <f>IF(OR('Historique ajusté'!O38="",'Historique ajusté'!O37=""),"",IF(ABS(LN('Historique ajusté'!O38/'Historique ajusté'!O37))&gt;Seuil_aberrant,"",'Historique ajusté'!O38/'Historique ajusté'!O37-1))</f>
        <v/>
      </c>
      <c r="P38" s="34">
        <f>IF(OR('Historique ajusté'!P38="",'Historique ajusté'!P37=""),"",IF(ABS(LN('Historique ajusté'!P38/'Historique ajusté'!P37))&gt;Seuil_aberrant,"",'Historique ajusté'!P38/'Historique ajusté'!P37-1))</f>
        <v/>
      </c>
    </row>
    <row r="39">
      <c r="B39" s="32">
        <f>'Historique ajusté'!B39</f>
        <v/>
      </c>
      <c r="C39" s="34">
        <f>IF(OR('Historique ajusté'!C39="",'Historique ajusté'!C38=""),"",IF(ABS(LN('Historique ajusté'!C39/'Historique ajusté'!C38))&gt;Seuil_aberrant,"",'Historique ajusté'!C39/'Historique ajusté'!C38-1))</f>
        <v/>
      </c>
      <c r="D39" s="34">
        <f>IF(OR('Historique ajusté'!D39="",'Historique ajusté'!D38=""),"",IF(ABS(LN('Historique ajusté'!D39/'Historique ajusté'!D38))&gt;Seuil_aberrant,"",'Historique ajusté'!D39/'Historique ajusté'!D38-1))</f>
        <v/>
      </c>
      <c r="E39" s="34">
        <f>IF(OR('Historique ajusté'!E39="",'Historique ajusté'!E38=""),"",IF(ABS(LN('Historique ajusté'!E39/'Historique ajusté'!E38))&gt;Seuil_aberrant,"",'Historique ajusté'!E39/'Historique ajusté'!E38-1))</f>
        <v/>
      </c>
      <c r="F39" s="34">
        <f>IF(OR('Historique ajusté'!F39="",'Historique ajusté'!F38=""),"",IF(ABS(LN('Historique ajusté'!F39/'Historique ajusté'!F38))&gt;Seuil_aberrant,"",'Historique ajusté'!F39/'Historique ajusté'!F38-1))</f>
        <v/>
      </c>
      <c r="G39" s="34">
        <f>IF(OR('Historique ajusté'!G39="",'Historique ajusté'!G38=""),"",IF(ABS(LN('Historique ajusté'!G39/'Historique ajusté'!G38))&gt;Seuil_aberrant,"",'Historique ajusté'!G39/'Historique ajusté'!G38-1))</f>
        <v/>
      </c>
      <c r="H39" s="34">
        <f>IF(OR('Historique ajusté'!H39="",'Historique ajusté'!H38=""),"",IF(ABS(LN('Historique ajusté'!H39/'Historique ajusté'!H38))&gt;Seuil_aberrant,"",'Historique ajusté'!H39/'Historique ajusté'!H38-1))</f>
        <v/>
      </c>
      <c r="I39" s="34">
        <f>IF(OR('Historique ajusté'!I39="",'Historique ajusté'!I38=""),"",IF(ABS(LN('Historique ajusté'!I39/'Historique ajusté'!I38))&gt;Seuil_aberrant,"",'Historique ajusté'!I39/'Historique ajusté'!I38-1))</f>
        <v/>
      </c>
      <c r="J39" s="34">
        <f>IF(OR('Historique ajusté'!J39="",'Historique ajusté'!J38=""),"",IF(ABS(LN('Historique ajusté'!J39/'Historique ajusté'!J38))&gt;Seuil_aberrant,"",'Historique ajusté'!J39/'Historique ajusté'!J38-1))</f>
        <v/>
      </c>
      <c r="K39" s="34">
        <f>IF(OR('Historique ajusté'!K39="",'Historique ajusté'!K38=""),"",IF(ABS(LN('Historique ajusté'!K39/'Historique ajusté'!K38))&gt;Seuil_aberrant,"",'Historique ajusté'!K39/'Historique ajusté'!K38-1))</f>
        <v/>
      </c>
      <c r="L39" s="34">
        <f>IF(OR('Historique ajusté'!L39="",'Historique ajusté'!L38=""),"",IF(ABS(LN('Historique ajusté'!L39/'Historique ajusté'!L38))&gt;Seuil_aberrant,"",'Historique ajusté'!L39/'Historique ajusté'!L38-1))</f>
        <v/>
      </c>
      <c r="M39" s="34">
        <f>IF(OR('Historique ajusté'!M39="",'Historique ajusté'!M38=""),"",IF(ABS(LN('Historique ajusté'!M39/'Historique ajusté'!M38))&gt;Seuil_aberrant,"",'Historique ajusté'!M39/'Historique ajusté'!M38-1))</f>
        <v/>
      </c>
      <c r="N39" s="34">
        <f>IF(OR('Historique ajusté'!N39="",'Historique ajusté'!N38=""),"",IF(ABS(LN('Historique ajusté'!N39/'Historique ajusté'!N38))&gt;Seuil_aberrant,"",'Historique ajusté'!N39/'Historique ajusté'!N38-1))</f>
        <v/>
      </c>
      <c r="O39" s="34">
        <f>IF(OR('Historique ajusté'!O39="",'Historique ajusté'!O38=""),"",IF(ABS(LN('Historique ajusté'!O39/'Historique ajusté'!O38))&gt;Seuil_aberrant,"",'Historique ajusté'!O39/'Historique ajusté'!O38-1))</f>
        <v/>
      </c>
      <c r="P39" s="34">
        <f>IF(OR('Historique ajusté'!P39="",'Historique ajusté'!P38=""),"",IF(ABS(LN('Historique ajusté'!P39/'Historique ajusté'!P38))&gt;Seuil_aberrant,"",'Historique ajusté'!P39/'Historique ajusté'!P38-1))</f>
        <v/>
      </c>
    </row>
    <row r="40">
      <c r="B40" s="32">
        <f>'Historique ajusté'!B40</f>
        <v/>
      </c>
      <c r="C40" s="34">
        <f>IF(OR('Historique ajusté'!C40="",'Historique ajusté'!C39=""),"",IF(ABS(LN('Historique ajusté'!C40/'Historique ajusté'!C39))&gt;Seuil_aberrant,"",'Historique ajusté'!C40/'Historique ajusté'!C39-1))</f>
        <v/>
      </c>
      <c r="D40" s="34">
        <f>IF(OR('Historique ajusté'!D40="",'Historique ajusté'!D39=""),"",IF(ABS(LN('Historique ajusté'!D40/'Historique ajusté'!D39))&gt;Seuil_aberrant,"",'Historique ajusté'!D40/'Historique ajusté'!D39-1))</f>
        <v/>
      </c>
      <c r="E40" s="34">
        <f>IF(OR('Historique ajusté'!E40="",'Historique ajusté'!E39=""),"",IF(ABS(LN('Historique ajusté'!E40/'Historique ajusté'!E39))&gt;Seuil_aberrant,"",'Historique ajusté'!E40/'Historique ajusté'!E39-1))</f>
        <v/>
      </c>
      <c r="F40" s="34">
        <f>IF(OR('Historique ajusté'!F40="",'Historique ajusté'!F39=""),"",IF(ABS(LN('Historique ajusté'!F40/'Historique ajusté'!F39))&gt;Seuil_aberrant,"",'Historique ajusté'!F40/'Historique ajusté'!F39-1))</f>
        <v/>
      </c>
      <c r="G40" s="34">
        <f>IF(OR('Historique ajusté'!G40="",'Historique ajusté'!G39=""),"",IF(ABS(LN('Historique ajusté'!G40/'Historique ajusté'!G39))&gt;Seuil_aberrant,"",'Historique ajusté'!G40/'Historique ajusté'!G39-1))</f>
        <v/>
      </c>
      <c r="H40" s="34">
        <f>IF(OR('Historique ajusté'!H40="",'Historique ajusté'!H39=""),"",IF(ABS(LN('Historique ajusté'!H40/'Historique ajusté'!H39))&gt;Seuil_aberrant,"",'Historique ajusté'!H40/'Historique ajusté'!H39-1))</f>
        <v/>
      </c>
      <c r="I40" s="34">
        <f>IF(OR('Historique ajusté'!I40="",'Historique ajusté'!I39=""),"",IF(ABS(LN('Historique ajusté'!I40/'Historique ajusté'!I39))&gt;Seuil_aberrant,"",'Historique ajusté'!I40/'Historique ajusté'!I39-1))</f>
        <v/>
      </c>
      <c r="J40" s="34">
        <f>IF(OR('Historique ajusté'!J40="",'Historique ajusté'!J39=""),"",IF(ABS(LN('Historique ajusté'!J40/'Historique ajusté'!J39))&gt;Seuil_aberrant,"",'Historique ajusté'!J40/'Historique ajusté'!J39-1))</f>
        <v/>
      </c>
      <c r="K40" s="34">
        <f>IF(OR('Historique ajusté'!K40="",'Historique ajusté'!K39=""),"",IF(ABS(LN('Historique ajusté'!K40/'Historique ajusté'!K39))&gt;Seuil_aberrant,"",'Historique ajusté'!K40/'Historique ajusté'!K39-1))</f>
        <v/>
      </c>
      <c r="L40" s="34">
        <f>IF(OR('Historique ajusté'!L40="",'Historique ajusté'!L39=""),"",IF(ABS(LN('Historique ajusté'!L40/'Historique ajusté'!L39))&gt;Seuil_aberrant,"",'Historique ajusté'!L40/'Historique ajusté'!L39-1))</f>
        <v/>
      </c>
      <c r="M40" s="34">
        <f>IF(OR('Historique ajusté'!M40="",'Historique ajusté'!M39=""),"",IF(ABS(LN('Historique ajusté'!M40/'Historique ajusté'!M39))&gt;Seuil_aberrant,"",'Historique ajusté'!M40/'Historique ajusté'!M39-1))</f>
        <v/>
      </c>
      <c r="N40" s="34">
        <f>IF(OR('Historique ajusté'!N40="",'Historique ajusté'!N39=""),"",IF(ABS(LN('Historique ajusté'!N40/'Historique ajusté'!N39))&gt;Seuil_aberrant,"",'Historique ajusté'!N40/'Historique ajusté'!N39-1))</f>
        <v/>
      </c>
      <c r="O40" s="34">
        <f>IF(OR('Historique ajusté'!O40="",'Historique ajusté'!O39=""),"",IF(ABS(LN('Historique ajusté'!O40/'Historique ajusté'!O39))&gt;Seuil_aberrant,"",'Historique ajusté'!O40/'Historique ajusté'!O39-1))</f>
        <v/>
      </c>
      <c r="P40" s="34">
        <f>IF(OR('Historique ajusté'!P40="",'Historique ajusté'!P39=""),"",IF(ABS(LN('Historique ajusté'!P40/'Historique ajusté'!P39))&gt;Seuil_aberrant,"",'Historique ajusté'!P40/'Historique ajusté'!P39-1))</f>
        <v/>
      </c>
    </row>
    <row r="41">
      <c r="B41" s="32">
        <f>'Historique ajusté'!B41</f>
        <v/>
      </c>
      <c r="C41" s="34">
        <f>IF(OR('Historique ajusté'!C41="",'Historique ajusté'!C40=""),"",IF(ABS(LN('Historique ajusté'!C41/'Historique ajusté'!C40))&gt;Seuil_aberrant,"",'Historique ajusté'!C41/'Historique ajusté'!C40-1))</f>
        <v/>
      </c>
      <c r="D41" s="34">
        <f>IF(OR('Historique ajusté'!D41="",'Historique ajusté'!D40=""),"",IF(ABS(LN('Historique ajusté'!D41/'Historique ajusté'!D40))&gt;Seuil_aberrant,"",'Historique ajusté'!D41/'Historique ajusté'!D40-1))</f>
        <v/>
      </c>
      <c r="E41" s="34">
        <f>IF(OR('Historique ajusté'!E41="",'Historique ajusté'!E40=""),"",IF(ABS(LN('Historique ajusté'!E41/'Historique ajusté'!E40))&gt;Seuil_aberrant,"",'Historique ajusté'!E41/'Historique ajusté'!E40-1))</f>
        <v/>
      </c>
      <c r="F41" s="34">
        <f>IF(OR('Historique ajusté'!F41="",'Historique ajusté'!F40=""),"",IF(ABS(LN('Historique ajusté'!F41/'Historique ajusté'!F40))&gt;Seuil_aberrant,"",'Historique ajusté'!F41/'Historique ajusté'!F40-1))</f>
        <v/>
      </c>
      <c r="G41" s="34">
        <f>IF(OR('Historique ajusté'!G41="",'Historique ajusté'!G40=""),"",IF(ABS(LN('Historique ajusté'!G41/'Historique ajusté'!G40))&gt;Seuil_aberrant,"",'Historique ajusté'!G41/'Historique ajusté'!G40-1))</f>
        <v/>
      </c>
      <c r="H41" s="34">
        <f>IF(OR('Historique ajusté'!H41="",'Historique ajusté'!H40=""),"",IF(ABS(LN('Historique ajusté'!H41/'Historique ajusté'!H40))&gt;Seuil_aberrant,"",'Historique ajusté'!H41/'Historique ajusté'!H40-1))</f>
        <v/>
      </c>
      <c r="I41" s="34">
        <f>IF(OR('Historique ajusté'!I41="",'Historique ajusté'!I40=""),"",IF(ABS(LN('Historique ajusté'!I41/'Historique ajusté'!I40))&gt;Seuil_aberrant,"",'Historique ajusté'!I41/'Historique ajusté'!I40-1))</f>
        <v/>
      </c>
      <c r="J41" s="34">
        <f>IF(OR('Historique ajusté'!J41="",'Historique ajusté'!J40=""),"",IF(ABS(LN('Historique ajusté'!J41/'Historique ajusté'!J40))&gt;Seuil_aberrant,"",'Historique ajusté'!J41/'Historique ajusté'!J40-1))</f>
        <v/>
      </c>
      <c r="K41" s="34">
        <f>IF(OR('Historique ajusté'!K41="",'Historique ajusté'!K40=""),"",IF(ABS(LN('Historique ajusté'!K41/'Historique ajusté'!K40))&gt;Seuil_aberrant,"",'Historique ajusté'!K41/'Historique ajusté'!K40-1))</f>
        <v/>
      </c>
      <c r="L41" s="34">
        <f>IF(OR('Historique ajusté'!L41="",'Historique ajusté'!L40=""),"",IF(ABS(LN('Historique ajusté'!L41/'Historique ajusté'!L40))&gt;Seuil_aberrant,"",'Historique ajusté'!L41/'Historique ajusté'!L40-1))</f>
        <v/>
      </c>
      <c r="M41" s="34">
        <f>IF(OR('Historique ajusté'!M41="",'Historique ajusté'!M40=""),"",IF(ABS(LN('Historique ajusté'!M41/'Historique ajusté'!M40))&gt;Seuil_aberrant,"",'Historique ajusté'!M41/'Historique ajusté'!M40-1))</f>
        <v/>
      </c>
      <c r="N41" s="34">
        <f>IF(OR('Historique ajusté'!N41="",'Historique ajusté'!N40=""),"",IF(ABS(LN('Historique ajusté'!N41/'Historique ajusté'!N40))&gt;Seuil_aberrant,"",'Historique ajusté'!N41/'Historique ajusté'!N40-1))</f>
        <v/>
      </c>
      <c r="O41" s="34">
        <f>IF(OR('Historique ajusté'!O41="",'Historique ajusté'!O40=""),"",IF(ABS(LN('Historique ajusté'!O41/'Historique ajusté'!O40))&gt;Seuil_aberrant,"",'Historique ajusté'!O41/'Historique ajusté'!O40-1))</f>
        <v/>
      </c>
      <c r="P41" s="34">
        <f>IF(OR('Historique ajusté'!P41="",'Historique ajusté'!P40=""),"",IF(ABS(LN('Historique ajusté'!P41/'Historique ajusté'!P40))&gt;Seuil_aberrant,"",'Historique ajusté'!P41/'Historique ajusté'!P40-1))</f>
        <v/>
      </c>
    </row>
    <row r="42">
      <c r="B42" s="32">
        <f>'Historique ajusté'!B42</f>
        <v/>
      </c>
      <c r="C42" s="34">
        <f>IF(OR('Historique ajusté'!C42="",'Historique ajusté'!C41=""),"",IF(ABS(LN('Historique ajusté'!C42/'Historique ajusté'!C41))&gt;Seuil_aberrant,"",'Historique ajusté'!C42/'Historique ajusté'!C41-1))</f>
        <v/>
      </c>
      <c r="D42" s="34">
        <f>IF(OR('Historique ajusté'!D42="",'Historique ajusté'!D41=""),"",IF(ABS(LN('Historique ajusté'!D42/'Historique ajusté'!D41))&gt;Seuil_aberrant,"",'Historique ajusté'!D42/'Historique ajusté'!D41-1))</f>
        <v/>
      </c>
      <c r="E42" s="34">
        <f>IF(OR('Historique ajusté'!E42="",'Historique ajusté'!E41=""),"",IF(ABS(LN('Historique ajusté'!E42/'Historique ajusté'!E41))&gt;Seuil_aberrant,"",'Historique ajusté'!E42/'Historique ajusté'!E41-1))</f>
        <v/>
      </c>
      <c r="F42" s="34">
        <f>IF(OR('Historique ajusté'!F42="",'Historique ajusté'!F41=""),"",IF(ABS(LN('Historique ajusté'!F42/'Historique ajusté'!F41))&gt;Seuil_aberrant,"",'Historique ajusté'!F42/'Historique ajusté'!F41-1))</f>
        <v/>
      </c>
      <c r="G42" s="34">
        <f>IF(OR('Historique ajusté'!G42="",'Historique ajusté'!G41=""),"",IF(ABS(LN('Historique ajusté'!G42/'Historique ajusté'!G41))&gt;Seuil_aberrant,"",'Historique ajusté'!G42/'Historique ajusté'!G41-1))</f>
        <v/>
      </c>
      <c r="H42" s="34">
        <f>IF(OR('Historique ajusté'!H42="",'Historique ajusté'!H41=""),"",IF(ABS(LN('Historique ajusté'!H42/'Historique ajusté'!H41))&gt;Seuil_aberrant,"",'Historique ajusté'!H42/'Historique ajusté'!H41-1))</f>
        <v/>
      </c>
      <c r="I42" s="34">
        <f>IF(OR('Historique ajusté'!I42="",'Historique ajusté'!I41=""),"",IF(ABS(LN('Historique ajusté'!I42/'Historique ajusté'!I41))&gt;Seuil_aberrant,"",'Historique ajusté'!I42/'Historique ajusté'!I41-1))</f>
        <v/>
      </c>
      <c r="J42" s="34">
        <f>IF(OR('Historique ajusté'!J42="",'Historique ajusté'!J41=""),"",IF(ABS(LN('Historique ajusté'!J42/'Historique ajusté'!J41))&gt;Seuil_aberrant,"",'Historique ajusté'!J42/'Historique ajusté'!J41-1))</f>
        <v/>
      </c>
      <c r="K42" s="34">
        <f>IF(OR('Historique ajusté'!K42="",'Historique ajusté'!K41=""),"",IF(ABS(LN('Historique ajusté'!K42/'Historique ajusté'!K41))&gt;Seuil_aberrant,"",'Historique ajusté'!K42/'Historique ajusté'!K41-1))</f>
        <v/>
      </c>
      <c r="L42" s="34">
        <f>IF(OR('Historique ajusté'!L42="",'Historique ajusté'!L41=""),"",IF(ABS(LN('Historique ajusté'!L42/'Historique ajusté'!L41))&gt;Seuil_aberrant,"",'Historique ajusté'!L42/'Historique ajusté'!L41-1))</f>
        <v/>
      </c>
      <c r="M42" s="34">
        <f>IF(OR('Historique ajusté'!M42="",'Historique ajusté'!M41=""),"",IF(ABS(LN('Historique ajusté'!M42/'Historique ajusté'!M41))&gt;Seuil_aberrant,"",'Historique ajusté'!M42/'Historique ajusté'!M41-1))</f>
        <v/>
      </c>
      <c r="N42" s="34">
        <f>IF(OR('Historique ajusté'!N42="",'Historique ajusté'!N41=""),"",IF(ABS(LN('Historique ajusté'!N42/'Historique ajusté'!N41))&gt;Seuil_aberrant,"",'Historique ajusté'!N42/'Historique ajusté'!N41-1))</f>
        <v/>
      </c>
      <c r="O42" s="34">
        <f>IF(OR('Historique ajusté'!O42="",'Historique ajusté'!O41=""),"",IF(ABS(LN('Historique ajusté'!O42/'Historique ajusté'!O41))&gt;Seuil_aberrant,"",'Historique ajusté'!O42/'Historique ajusté'!O41-1))</f>
        <v/>
      </c>
      <c r="P42" s="34">
        <f>IF(OR('Historique ajusté'!P42="",'Historique ajusté'!P41=""),"",IF(ABS(LN('Historique ajusté'!P42/'Historique ajusté'!P41))&gt;Seuil_aberrant,"",'Historique ajusté'!P42/'Historique ajusté'!P41-1))</f>
        <v/>
      </c>
    </row>
    <row r="43">
      <c r="B43" s="32">
        <f>'Historique ajusté'!B43</f>
        <v/>
      </c>
      <c r="C43" s="34">
        <f>IF(OR('Historique ajusté'!C43="",'Historique ajusté'!C42=""),"",IF(ABS(LN('Historique ajusté'!C43/'Historique ajusté'!C42))&gt;Seuil_aberrant,"",'Historique ajusté'!C43/'Historique ajusté'!C42-1))</f>
        <v/>
      </c>
      <c r="D43" s="34">
        <f>IF(OR('Historique ajusté'!D43="",'Historique ajusté'!D42=""),"",IF(ABS(LN('Historique ajusté'!D43/'Historique ajusté'!D42))&gt;Seuil_aberrant,"",'Historique ajusté'!D43/'Historique ajusté'!D42-1))</f>
        <v/>
      </c>
      <c r="E43" s="34">
        <f>IF(OR('Historique ajusté'!E43="",'Historique ajusté'!E42=""),"",IF(ABS(LN('Historique ajusté'!E43/'Historique ajusté'!E42))&gt;Seuil_aberrant,"",'Historique ajusté'!E43/'Historique ajusté'!E42-1))</f>
        <v/>
      </c>
      <c r="F43" s="34">
        <f>IF(OR('Historique ajusté'!F43="",'Historique ajusté'!F42=""),"",IF(ABS(LN('Historique ajusté'!F43/'Historique ajusté'!F42))&gt;Seuil_aberrant,"",'Historique ajusté'!F43/'Historique ajusté'!F42-1))</f>
        <v/>
      </c>
      <c r="G43" s="34">
        <f>IF(OR('Historique ajusté'!G43="",'Historique ajusté'!G42=""),"",IF(ABS(LN('Historique ajusté'!G43/'Historique ajusté'!G42))&gt;Seuil_aberrant,"",'Historique ajusté'!G43/'Historique ajusté'!G42-1))</f>
        <v/>
      </c>
      <c r="H43" s="34">
        <f>IF(OR('Historique ajusté'!H43="",'Historique ajusté'!H42=""),"",IF(ABS(LN('Historique ajusté'!H43/'Historique ajusté'!H42))&gt;Seuil_aberrant,"",'Historique ajusté'!H43/'Historique ajusté'!H42-1))</f>
        <v/>
      </c>
      <c r="I43" s="34">
        <f>IF(OR('Historique ajusté'!I43="",'Historique ajusté'!I42=""),"",IF(ABS(LN('Historique ajusté'!I43/'Historique ajusté'!I42))&gt;Seuil_aberrant,"",'Historique ajusté'!I43/'Historique ajusté'!I42-1))</f>
        <v/>
      </c>
      <c r="J43" s="34">
        <f>IF(OR('Historique ajusté'!J43="",'Historique ajusté'!J42=""),"",IF(ABS(LN('Historique ajusté'!J43/'Historique ajusté'!J42))&gt;Seuil_aberrant,"",'Historique ajusté'!J43/'Historique ajusté'!J42-1))</f>
        <v/>
      </c>
      <c r="K43" s="34">
        <f>IF(OR('Historique ajusté'!K43="",'Historique ajusté'!K42=""),"",IF(ABS(LN('Historique ajusté'!K43/'Historique ajusté'!K42))&gt;Seuil_aberrant,"",'Historique ajusté'!K43/'Historique ajusté'!K42-1))</f>
        <v/>
      </c>
      <c r="L43" s="34">
        <f>IF(OR('Historique ajusté'!L43="",'Historique ajusté'!L42=""),"",IF(ABS(LN('Historique ajusté'!L43/'Historique ajusté'!L42))&gt;Seuil_aberrant,"",'Historique ajusté'!L43/'Historique ajusté'!L42-1))</f>
        <v/>
      </c>
      <c r="M43" s="34">
        <f>IF(OR('Historique ajusté'!M43="",'Historique ajusté'!M42=""),"",IF(ABS(LN('Historique ajusté'!M43/'Historique ajusté'!M42))&gt;Seuil_aberrant,"",'Historique ajusté'!M43/'Historique ajusté'!M42-1))</f>
        <v/>
      </c>
      <c r="N43" s="34">
        <f>IF(OR('Historique ajusté'!N43="",'Historique ajusté'!N42=""),"",IF(ABS(LN('Historique ajusté'!N43/'Historique ajusté'!N42))&gt;Seuil_aberrant,"",'Historique ajusté'!N43/'Historique ajusté'!N42-1))</f>
        <v/>
      </c>
      <c r="O43" s="34">
        <f>IF(OR('Historique ajusté'!O43="",'Historique ajusté'!O42=""),"",IF(ABS(LN('Historique ajusté'!O43/'Historique ajusté'!O42))&gt;Seuil_aberrant,"",'Historique ajusté'!O43/'Historique ajusté'!O42-1))</f>
        <v/>
      </c>
      <c r="P43" s="34">
        <f>IF(OR('Historique ajusté'!P43="",'Historique ajusté'!P42=""),"",IF(ABS(LN('Historique ajusté'!P43/'Historique ajusté'!P42))&gt;Seuil_aberrant,"",'Historique ajusté'!P43/'Historique ajusté'!P42-1))</f>
        <v/>
      </c>
    </row>
    <row r="44">
      <c r="B44" s="32">
        <f>'Historique ajusté'!B44</f>
        <v/>
      </c>
      <c r="C44" s="34">
        <f>IF(OR('Historique ajusté'!C44="",'Historique ajusté'!C43=""),"",IF(ABS(LN('Historique ajusté'!C44/'Historique ajusté'!C43))&gt;Seuil_aberrant,"",'Historique ajusté'!C44/'Historique ajusté'!C43-1))</f>
        <v/>
      </c>
      <c r="D44" s="34">
        <f>IF(OR('Historique ajusté'!D44="",'Historique ajusté'!D43=""),"",IF(ABS(LN('Historique ajusté'!D44/'Historique ajusté'!D43))&gt;Seuil_aberrant,"",'Historique ajusté'!D44/'Historique ajusté'!D43-1))</f>
        <v/>
      </c>
      <c r="E44" s="34">
        <f>IF(OR('Historique ajusté'!E44="",'Historique ajusté'!E43=""),"",IF(ABS(LN('Historique ajusté'!E44/'Historique ajusté'!E43))&gt;Seuil_aberrant,"",'Historique ajusté'!E44/'Historique ajusté'!E43-1))</f>
        <v/>
      </c>
      <c r="F44" s="34">
        <f>IF(OR('Historique ajusté'!F44="",'Historique ajusté'!F43=""),"",IF(ABS(LN('Historique ajusté'!F44/'Historique ajusté'!F43))&gt;Seuil_aberrant,"",'Historique ajusté'!F44/'Historique ajusté'!F43-1))</f>
        <v/>
      </c>
      <c r="G44" s="34">
        <f>IF(OR('Historique ajusté'!G44="",'Historique ajusté'!G43=""),"",IF(ABS(LN('Historique ajusté'!G44/'Historique ajusté'!G43))&gt;Seuil_aberrant,"",'Historique ajusté'!G44/'Historique ajusté'!G43-1))</f>
        <v/>
      </c>
      <c r="H44" s="34">
        <f>IF(OR('Historique ajusté'!H44="",'Historique ajusté'!H43=""),"",IF(ABS(LN('Historique ajusté'!H44/'Historique ajusté'!H43))&gt;Seuil_aberrant,"",'Historique ajusté'!H44/'Historique ajusté'!H43-1))</f>
        <v/>
      </c>
      <c r="I44" s="34">
        <f>IF(OR('Historique ajusté'!I44="",'Historique ajusté'!I43=""),"",IF(ABS(LN('Historique ajusté'!I44/'Historique ajusté'!I43))&gt;Seuil_aberrant,"",'Historique ajusté'!I44/'Historique ajusté'!I43-1))</f>
        <v/>
      </c>
      <c r="J44" s="34">
        <f>IF(OR('Historique ajusté'!J44="",'Historique ajusté'!J43=""),"",IF(ABS(LN('Historique ajusté'!J44/'Historique ajusté'!J43))&gt;Seuil_aberrant,"",'Historique ajusté'!J44/'Historique ajusté'!J43-1))</f>
        <v/>
      </c>
      <c r="K44" s="34">
        <f>IF(OR('Historique ajusté'!K44="",'Historique ajusté'!K43=""),"",IF(ABS(LN('Historique ajusté'!K44/'Historique ajusté'!K43))&gt;Seuil_aberrant,"",'Historique ajusté'!K44/'Historique ajusté'!K43-1))</f>
        <v/>
      </c>
      <c r="L44" s="34">
        <f>IF(OR('Historique ajusté'!L44="",'Historique ajusté'!L43=""),"",IF(ABS(LN('Historique ajusté'!L44/'Historique ajusté'!L43))&gt;Seuil_aberrant,"",'Historique ajusté'!L44/'Historique ajusté'!L43-1))</f>
        <v/>
      </c>
      <c r="M44" s="34">
        <f>IF(OR('Historique ajusté'!M44="",'Historique ajusté'!M43=""),"",IF(ABS(LN('Historique ajusté'!M44/'Historique ajusté'!M43))&gt;Seuil_aberrant,"",'Historique ajusté'!M44/'Historique ajusté'!M43-1))</f>
        <v/>
      </c>
      <c r="N44" s="34">
        <f>IF(OR('Historique ajusté'!N44="",'Historique ajusté'!N43=""),"",IF(ABS(LN('Historique ajusté'!N44/'Historique ajusté'!N43))&gt;Seuil_aberrant,"",'Historique ajusté'!N44/'Historique ajusté'!N43-1))</f>
        <v/>
      </c>
      <c r="O44" s="34">
        <f>IF(OR('Historique ajusté'!O44="",'Historique ajusté'!O43=""),"",IF(ABS(LN('Historique ajusté'!O44/'Historique ajusté'!O43))&gt;Seuil_aberrant,"",'Historique ajusté'!O44/'Historique ajusté'!O43-1))</f>
        <v/>
      </c>
      <c r="P44" s="34">
        <f>IF(OR('Historique ajusté'!P44="",'Historique ajusté'!P43=""),"",IF(ABS(LN('Historique ajusté'!P44/'Historique ajusté'!P43))&gt;Seuil_aberrant,"",'Historique ajusté'!P44/'Historique ajusté'!P43-1))</f>
        <v/>
      </c>
    </row>
    <row r="45">
      <c r="B45" s="32">
        <f>'Historique ajusté'!B45</f>
        <v/>
      </c>
      <c r="C45" s="34">
        <f>IF(OR('Historique ajusté'!C45="",'Historique ajusté'!C44=""),"",IF(ABS(LN('Historique ajusté'!C45/'Historique ajusté'!C44))&gt;Seuil_aberrant,"",'Historique ajusté'!C45/'Historique ajusté'!C44-1))</f>
        <v/>
      </c>
      <c r="D45" s="34">
        <f>IF(OR('Historique ajusté'!D45="",'Historique ajusté'!D44=""),"",IF(ABS(LN('Historique ajusté'!D45/'Historique ajusté'!D44))&gt;Seuil_aberrant,"",'Historique ajusté'!D45/'Historique ajusté'!D44-1))</f>
        <v/>
      </c>
      <c r="E45" s="34">
        <f>IF(OR('Historique ajusté'!E45="",'Historique ajusté'!E44=""),"",IF(ABS(LN('Historique ajusté'!E45/'Historique ajusté'!E44))&gt;Seuil_aberrant,"",'Historique ajusté'!E45/'Historique ajusté'!E44-1))</f>
        <v/>
      </c>
      <c r="F45" s="34">
        <f>IF(OR('Historique ajusté'!F45="",'Historique ajusté'!F44=""),"",IF(ABS(LN('Historique ajusté'!F45/'Historique ajusté'!F44))&gt;Seuil_aberrant,"",'Historique ajusté'!F45/'Historique ajusté'!F44-1))</f>
        <v/>
      </c>
      <c r="G45" s="34">
        <f>IF(OR('Historique ajusté'!G45="",'Historique ajusté'!G44=""),"",IF(ABS(LN('Historique ajusté'!G45/'Historique ajusté'!G44))&gt;Seuil_aberrant,"",'Historique ajusté'!G45/'Historique ajusté'!G44-1))</f>
        <v/>
      </c>
      <c r="H45" s="34">
        <f>IF(OR('Historique ajusté'!H45="",'Historique ajusté'!H44=""),"",IF(ABS(LN('Historique ajusté'!H45/'Historique ajusté'!H44))&gt;Seuil_aberrant,"",'Historique ajusté'!H45/'Historique ajusté'!H44-1))</f>
        <v/>
      </c>
      <c r="I45" s="34">
        <f>IF(OR('Historique ajusté'!I45="",'Historique ajusté'!I44=""),"",IF(ABS(LN('Historique ajusté'!I45/'Historique ajusté'!I44))&gt;Seuil_aberrant,"",'Historique ajusté'!I45/'Historique ajusté'!I44-1))</f>
        <v/>
      </c>
      <c r="J45" s="34">
        <f>IF(OR('Historique ajusté'!J45="",'Historique ajusté'!J44=""),"",IF(ABS(LN('Historique ajusté'!J45/'Historique ajusté'!J44))&gt;Seuil_aberrant,"",'Historique ajusté'!J45/'Historique ajusté'!J44-1))</f>
        <v/>
      </c>
      <c r="K45" s="34">
        <f>IF(OR('Historique ajusté'!K45="",'Historique ajusté'!K44=""),"",IF(ABS(LN('Historique ajusté'!K45/'Historique ajusté'!K44))&gt;Seuil_aberrant,"",'Historique ajusté'!K45/'Historique ajusté'!K44-1))</f>
        <v/>
      </c>
      <c r="L45" s="34">
        <f>IF(OR('Historique ajusté'!L45="",'Historique ajusté'!L44=""),"",IF(ABS(LN('Historique ajusté'!L45/'Historique ajusté'!L44))&gt;Seuil_aberrant,"",'Historique ajusté'!L45/'Historique ajusté'!L44-1))</f>
        <v/>
      </c>
      <c r="M45" s="34">
        <f>IF(OR('Historique ajusté'!M45="",'Historique ajusté'!M44=""),"",IF(ABS(LN('Historique ajusté'!M45/'Historique ajusté'!M44))&gt;Seuil_aberrant,"",'Historique ajusté'!M45/'Historique ajusté'!M44-1))</f>
        <v/>
      </c>
      <c r="N45" s="34">
        <f>IF(OR('Historique ajusté'!N45="",'Historique ajusté'!N44=""),"",IF(ABS(LN('Historique ajusté'!N45/'Historique ajusté'!N44))&gt;Seuil_aberrant,"",'Historique ajusté'!N45/'Historique ajusté'!N44-1))</f>
        <v/>
      </c>
      <c r="O45" s="34">
        <f>IF(OR('Historique ajusté'!O45="",'Historique ajusté'!O44=""),"",IF(ABS(LN('Historique ajusté'!O45/'Historique ajusté'!O44))&gt;Seuil_aberrant,"",'Historique ajusté'!O45/'Historique ajusté'!O44-1))</f>
        <v/>
      </c>
      <c r="P45" s="34">
        <f>IF(OR('Historique ajusté'!P45="",'Historique ajusté'!P44=""),"",IF(ABS(LN('Historique ajusté'!P45/'Historique ajusté'!P44))&gt;Seuil_aberrant,"",'Historique ajusté'!P45/'Historique ajusté'!P44-1))</f>
        <v/>
      </c>
    </row>
    <row r="46">
      <c r="B46" s="32">
        <f>'Historique ajusté'!B46</f>
        <v/>
      </c>
      <c r="C46" s="34">
        <f>IF(OR('Historique ajusté'!C46="",'Historique ajusté'!C45=""),"",IF(ABS(LN('Historique ajusté'!C46/'Historique ajusté'!C45))&gt;Seuil_aberrant,"",'Historique ajusté'!C46/'Historique ajusté'!C45-1))</f>
        <v/>
      </c>
      <c r="D46" s="34">
        <f>IF(OR('Historique ajusté'!D46="",'Historique ajusté'!D45=""),"",IF(ABS(LN('Historique ajusté'!D46/'Historique ajusté'!D45))&gt;Seuil_aberrant,"",'Historique ajusté'!D46/'Historique ajusté'!D45-1))</f>
        <v/>
      </c>
      <c r="E46" s="34">
        <f>IF(OR('Historique ajusté'!E46="",'Historique ajusté'!E45=""),"",IF(ABS(LN('Historique ajusté'!E46/'Historique ajusté'!E45))&gt;Seuil_aberrant,"",'Historique ajusté'!E46/'Historique ajusté'!E45-1))</f>
        <v/>
      </c>
      <c r="F46" s="34">
        <f>IF(OR('Historique ajusté'!F46="",'Historique ajusté'!F45=""),"",IF(ABS(LN('Historique ajusté'!F46/'Historique ajusté'!F45))&gt;Seuil_aberrant,"",'Historique ajusté'!F46/'Historique ajusté'!F45-1))</f>
        <v/>
      </c>
      <c r="G46" s="34">
        <f>IF(OR('Historique ajusté'!G46="",'Historique ajusté'!G45=""),"",IF(ABS(LN('Historique ajusté'!G46/'Historique ajusté'!G45))&gt;Seuil_aberrant,"",'Historique ajusté'!G46/'Historique ajusté'!G45-1))</f>
        <v/>
      </c>
      <c r="H46" s="34">
        <f>IF(OR('Historique ajusté'!H46="",'Historique ajusté'!H45=""),"",IF(ABS(LN('Historique ajusté'!H46/'Historique ajusté'!H45))&gt;Seuil_aberrant,"",'Historique ajusté'!H46/'Historique ajusté'!H45-1))</f>
        <v/>
      </c>
      <c r="I46" s="34">
        <f>IF(OR('Historique ajusté'!I46="",'Historique ajusté'!I45=""),"",IF(ABS(LN('Historique ajusté'!I46/'Historique ajusté'!I45))&gt;Seuil_aberrant,"",'Historique ajusté'!I46/'Historique ajusté'!I45-1))</f>
        <v/>
      </c>
      <c r="J46" s="34">
        <f>IF(OR('Historique ajusté'!J46="",'Historique ajusté'!J45=""),"",IF(ABS(LN('Historique ajusté'!J46/'Historique ajusté'!J45))&gt;Seuil_aberrant,"",'Historique ajusté'!J46/'Historique ajusté'!J45-1))</f>
        <v/>
      </c>
      <c r="K46" s="34">
        <f>IF(OR('Historique ajusté'!K46="",'Historique ajusté'!K45=""),"",IF(ABS(LN('Historique ajusté'!K46/'Historique ajusté'!K45))&gt;Seuil_aberrant,"",'Historique ajusté'!K46/'Historique ajusté'!K45-1))</f>
        <v/>
      </c>
      <c r="L46" s="34">
        <f>IF(OR('Historique ajusté'!L46="",'Historique ajusté'!L45=""),"",IF(ABS(LN('Historique ajusté'!L46/'Historique ajusté'!L45))&gt;Seuil_aberrant,"",'Historique ajusté'!L46/'Historique ajusté'!L45-1))</f>
        <v/>
      </c>
      <c r="M46" s="34">
        <f>IF(OR('Historique ajusté'!M46="",'Historique ajusté'!M45=""),"",IF(ABS(LN('Historique ajusté'!M46/'Historique ajusté'!M45))&gt;Seuil_aberrant,"",'Historique ajusté'!M46/'Historique ajusté'!M45-1))</f>
        <v/>
      </c>
      <c r="N46" s="34">
        <f>IF(OR('Historique ajusté'!N46="",'Historique ajusté'!N45=""),"",IF(ABS(LN('Historique ajusté'!N46/'Historique ajusté'!N45))&gt;Seuil_aberrant,"",'Historique ajusté'!N46/'Historique ajusté'!N45-1))</f>
        <v/>
      </c>
      <c r="O46" s="34">
        <f>IF(OR('Historique ajusté'!O46="",'Historique ajusté'!O45=""),"",IF(ABS(LN('Historique ajusté'!O46/'Historique ajusté'!O45))&gt;Seuil_aberrant,"",'Historique ajusté'!O46/'Historique ajusté'!O45-1))</f>
        <v/>
      </c>
      <c r="P46" s="34">
        <f>IF(OR('Historique ajusté'!P46="",'Historique ajusté'!P45=""),"",IF(ABS(LN('Historique ajusté'!P46/'Historique ajusté'!P45))&gt;Seuil_aberrant,"",'Historique ajusté'!P46/'Historique ajusté'!P45-1))</f>
        <v/>
      </c>
    </row>
    <row r="47">
      <c r="B47" s="32">
        <f>'Historique ajusté'!B47</f>
        <v/>
      </c>
      <c r="C47" s="34">
        <f>IF(OR('Historique ajusté'!C47="",'Historique ajusté'!C46=""),"",IF(ABS(LN('Historique ajusté'!C47/'Historique ajusté'!C46))&gt;Seuil_aberrant,"",'Historique ajusté'!C47/'Historique ajusté'!C46-1))</f>
        <v/>
      </c>
      <c r="D47" s="34">
        <f>IF(OR('Historique ajusté'!D47="",'Historique ajusté'!D46=""),"",IF(ABS(LN('Historique ajusté'!D47/'Historique ajusté'!D46))&gt;Seuil_aberrant,"",'Historique ajusté'!D47/'Historique ajusté'!D46-1))</f>
        <v/>
      </c>
      <c r="E47" s="34">
        <f>IF(OR('Historique ajusté'!E47="",'Historique ajusté'!E46=""),"",IF(ABS(LN('Historique ajusté'!E47/'Historique ajusté'!E46))&gt;Seuil_aberrant,"",'Historique ajusté'!E47/'Historique ajusté'!E46-1))</f>
        <v/>
      </c>
      <c r="F47" s="34">
        <f>IF(OR('Historique ajusté'!F47="",'Historique ajusté'!F46=""),"",IF(ABS(LN('Historique ajusté'!F47/'Historique ajusté'!F46))&gt;Seuil_aberrant,"",'Historique ajusté'!F47/'Historique ajusté'!F46-1))</f>
        <v/>
      </c>
      <c r="G47" s="34">
        <f>IF(OR('Historique ajusté'!G47="",'Historique ajusté'!G46=""),"",IF(ABS(LN('Historique ajusté'!G47/'Historique ajusté'!G46))&gt;Seuil_aberrant,"",'Historique ajusté'!G47/'Historique ajusté'!G46-1))</f>
        <v/>
      </c>
      <c r="H47" s="34">
        <f>IF(OR('Historique ajusté'!H47="",'Historique ajusté'!H46=""),"",IF(ABS(LN('Historique ajusté'!H47/'Historique ajusté'!H46))&gt;Seuil_aberrant,"",'Historique ajusté'!H47/'Historique ajusté'!H46-1))</f>
        <v/>
      </c>
      <c r="I47" s="34">
        <f>IF(OR('Historique ajusté'!I47="",'Historique ajusté'!I46=""),"",IF(ABS(LN('Historique ajusté'!I47/'Historique ajusté'!I46))&gt;Seuil_aberrant,"",'Historique ajusté'!I47/'Historique ajusté'!I46-1))</f>
        <v/>
      </c>
      <c r="J47" s="34">
        <f>IF(OR('Historique ajusté'!J47="",'Historique ajusté'!J46=""),"",IF(ABS(LN('Historique ajusté'!J47/'Historique ajusté'!J46))&gt;Seuil_aberrant,"",'Historique ajusté'!J47/'Historique ajusté'!J46-1))</f>
        <v/>
      </c>
      <c r="K47" s="34">
        <f>IF(OR('Historique ajusté'!K47="",'Historique ajusté'!K46=""),"",IF(ABS(LN('Historique ajusté'!K47/'Historique ajusté'!K46))&gt;Seuil_aberrant,"",'Historique ajusté'!K47/'Historique ajusté'!K46-1))</f>
        <v/>
      </c>
      <c r="L47" s="34">
        <f>IF(OR('Historique ajusté'!L47="",'Historique ajusté'!L46=""),"",IF(ABS(LN('Historique ajusté'!L47/'Historique ajusté'!L46))&gt;Seuil_aberrant,"",'Historique ajusté'!L47/'Historique ajusté'!L46-1))</f>
        <v/>
      </c>
      <c r="M47" s="34">
        <f>IF(OR('Historique ajusté'!M47="",'Historique ajusté'!M46=""),"",IF(ABS(LN('Historique ajusté'!M47/'Historique ajusté'!M46))&gt;Seuil_aberrant,"",'Historique ajusté'!M47/'Historique ajusté'!M46-1))</f>
        <v/>
      </c>
      <c r="N47" s="34">
        <f>IF(OR('Historique ajusté'!N47="",'Historique ajusté'!N46=""),"",IF(ABS(LN('Historique ajusté'!N47/'Historique ajusté'!N46))&gt;Seuil_aberrant,"",'Historique ajusté'!N47/'Historique ajusté'!N46-1))</f>
        <v/>
      </c>
      <c r="O47" s="34">
        <f>IF(OR('Historique ajusté'!O47="",'Historique ajusté'!O46=""),"",IF(ABS(LN('Historique ajusté'!O47/'Historique ajusté'!O46))&gt;Seuil_aberrant,"",'Historique ajusté'!O47/'Historique ajusté'!O46-1))</f>
        <v/>
      </c>
      <c r="P47" s="34">
        <f>IF(OR('Historique ajusté'!P47="",'Historique ajusté'!P46=""),"",IF(ABS(LN('Historique ajusté'!P47/'Historique ajusté'!P46))&gt;Seuil_aberrant,"",'Historique ajusté'!P47/'Historique ajusté'!P46-1))</f>
        <v/>
      </c>
    </row>
    <row r="48">
      <c r="B48" s="32">
        <f>'Historique ajusté'!B48</f>
        <v/>
      </c>
      <c r="C48" s="34">
        <f>IF(OR('Historique ajusté'!C48="",'Historique ajusté'!C47=""),"",IF(ABS(LN('Historique ajusté'!C48/'Historique ajusté'!C47))&gt;Seuil_aberrant,"",'Historique ajusté'!C48/'Historique ajusté'!C47-1))</f>
        <v/>
      </c>
      <c r="D48" s="34">
        <f>IF(OR('Historique ajusté'!D48="",'Historique ajusté'!D47=""),"",IF(ABS(LN('Historique ajusté'!D48/'Historique ajusté'!D47))&gt;Seuil_aberrant,"",'Historique ajusté'!D48/'Historique ajusté'!D47-1))</f>
        <v/>
      </c>
      <c r="E48" s="34">
        <f>IF(OR('Historique ajusté'!E48="",'Historique ajusté'!E47=""),"",IF(ABS(LN('Historique ajusté'!E48/'Historique ajusté'!E47))&gt;Seuil_aberrant,"",'Historique ajusté'!E48/'Historique ajusté'!E47-1))</f>
        <v/>
      </c>
      <c r="F48" s="34">
        <f>IF(OR('Historique ajusté'!F48="",'Historique ajusté'!F47=""),"",IF(ABS(LN('Historique ajusté'!F48/'Historique ajusté'!F47))&gt;Seuil_aberrant,"",'Historique ajusté'!F48/'Historique ajusté'!F47-1))</f>
        <v/>
      </c>
      <c r="G48" s="34">
        <f>IF(OR('Historique ajusté'!G48="",'Historique ajusté'!G47=""),"",IF(ABS(LN('Historique ajusté'!G48/'Historique ajusté'!G47))&gt;Seuil_aberrant,"",'Historique ajusté'!G48/'Historique ajusté'!G47-1))</f>
        <v/>
      </c>
      <c r="H48" s="34">
        <f>IF(OR('Historique ajusté'!H48="",'Historique ajusté'!H47=""),"",IF(ABS(LN('Historique ajusté'!H48/'Historique ajusté'!H47))&gt;Seuil_aberrant,"",'Historique ajusté'!H48/'Historique ajusté'!H47-1))</f>
        <v/>
      </c>
      <c r="I48" s="34">
        <f>IF(OR('Historique ajusté'!I48="",'Historique ajusté'!I47=""),"",IF(ABS(LN('Historique ajusté'!I48/'Historique ajusté'!I47))&gt;Seuil_aberrant,"",'Historique ajusté'!I48/'Historique ajusté'!I47-1))</f>
        <v/>
      </c>
      <c r="J48" s="34">
        <f>IF(OR('Historique ajusté'!J48="",'Historique ajusté'!J47=""),"",IF(ABS(LN('Historique ajusté'!J48/'Historique ajusté'!J47))&gt;Seuil_aberrant,"",'Historique ajusté'!J48/'Historique ajusté'!J47-1))</f>
        <v/>
      </c>
      <c r="K48" s="34">
        <f>IF(OR('Historique ajusté'!K48="",'Historique ajusté'!K47=""),"",IF(ABS(LN('Historique ajusté'!K48/'Historique ajusté'!K47))&gt;Seuil_aberrant,"",'Historique ajusté'!K48/'Historique ajusté'!K47-1))</f>
        <v/>
      </c>
      <c r="L48" s="34">
        <f>IF(OR('Historique ajusté'!L48="",'Historique ajusté'!L47=""),"",IF(ABS(LN('Historique ajusté'!L48/'Historique ajusté'!L47))&gt;Seuil_aberrant,"",'Historique ajusté'!L48/'Historique ajusté'!L47-1))</f>
        <v/>
      </c>
      <c r="M48" s="34">
        <f>IF(OR('Historique ajusté'!M48="",'Historique ajusté'!M47=""),"",IF(ABS(LN('Historique ajusté'!M48/'Historique ajusté'!M47))&gt;Seuil_aberrant,"",'Historique ajusté'!M48/'Historique ajusté'!M47-1))</f>
        <v/>
      </c>
      <c r="N48" s="34">
        <f>IF(OR('Historique ajusté'!N48="",'Historique ajusté'!N47=""),"",IF(ABS(LN('Historique ajusté'!N48/'Historique ajusté'!N47))&gt;Seuil_aberrant,"",'Historique ajusté'!N48/'Historique ajusté'!N47-1))</f>
        <v/>
      </c>
      <c r="O48" s="34">
        <f>IF(OR('Historique ajusté'!O48="",'Historique ajusté'!O47=""),"",IF(ABS(LN('Historique ajusté'!O48/'Historique ajusté'!O47))&gt;Seuil_aberrant,"",'Historique ajusté'!O48/'Historique ajusté'!O47-1))</f>
        <v/>
      </c>
      <c r="P48" s="34">
        <f>IF(OR('Historique ajusté'!P48="",'Historique ajusté'!P47=""),"",IF(ABS(LN('Historique ajusté'!P48/'Historique ajusté'!P47))&gt;Seuil_aberrant,"",'Historique ajusté'!P48/'Historique ajusté'!P47-1))</f>
        <v/>
      </c>
    </row>
    <row r="49">
      <c r="B49" s="32">
        <f>'Historique ajusté'!B49</f>
        <v/>
      </c>
      <c r="C49" s="34">
        <f>IF(OR('Historique ajusté'!C49="",'Historique ajusté'!C48=""),"",IF(ABS(LN('Historique ajusté'!C49/'Historique ajusté'!C48))&gt;Seuil_aberrant,"",'Historique ajusté'!C49/'Historique ajusté'!C48-1))</f>
        <v/>
      </c>
      <c r="D49" s="34">
        <f>IF(OR('Historique ajusté'!D49="",'Historique ajusté'!D48=""),"",IF(ABS(LN('Historique ajusté'!D49/'Historique ajusté'!D48))&gt;Seuil_aberrant,"",'Historique ajusté'!D49/'Historique ajusté'!D48-1))</f>
        <v/>
      </c>
      <c r="E49" s="34">
        <f>IF(OR('Historique ajusté'!E49="",'Historique ajusté'!E48=""),"",IF(ABS(LN('Historique ajusté'!E49/'Historique ajusté'!E48))&gt;Seuil_aberrant,"",'Historique ajusté'!E49/'Historique ajusté'!E48-1))</f>
        <v/>
      </c>
      <c r="F49" s="34">
        <f>IF(OR('Historique ajusté'!F49="",'Historique ajusté'!F48=""),"",IF(ABS(LN('Historique ajusté'!F49/'Historique ajusté'!F48))&gt;Seuil_aberrant,"",'Historique ajusté'!F49/'Historique ajusté'!F48-1))</f>
        <v/>
      </c>
      <c r="G49" s="34">
        <f>IF(OR('Historique ajusté'!G49="",'Historique ajusté'!G48=""),"",IF(ABS(LN('Historique ajusté'!G49/'Historique ajusté'!G48))&gt;Seuil_aberrant,"",'Historique ajusté'!G49/'Historique ajusté'!G48-1))</f>
        <v/>
      </c>
      <c r="H49" s="34">
        <f>IF(OR('Historique ajusté'!H49="",'Historique ajusté'!H48=""),"",IF(ABS(LN('Historique ajusté'!H49/'Historique ajusté'!H48))&gt;Seuil_aberrant,"",'Historique ajusté'!H49/'Historique ajusté'!H48-1))</f>
        <v/>
      </c>
      <c r="I49" s="34">
        <f>IF(OR('Historique ajusté'!I49="",'Historique ajusté'!I48=""),"",IF(ABS(LN('Historique ajusté'!I49/'Historique ajusté'!I48))&gt;Seuil_aberrant,"",'Historique ajusté'!I49/'Historique ajusté'!I48-1))</f>
        <v/>
      </c>
      <c r="J49" s="34">
        <f>IF(OR('Historique ajusté'!J49="",'Historique ajusté'!J48=""),"",IF(ABS(LN('Historique ajusté'!J49/'Historique ajusté'!J48))&gt;Seuil_aberrant,"",'Historique ajusté'!J49/'Historique ajusté'!J48-1))</f>
        <v/>
      </c>
      <c r="K49" s="34">
        <f>IF(OR('Historique ajusté'!K49="",'Historique ajusté'!K48=""),"",IF(ABS(LN('Historique ajusté'!K49/'Historique ajusté'!K48))&gt;Seuil_aberrant,"",'Historique ajusté'!K49/'Historique ajusté'!K48-1))</f>
        <v/>
      </c>
      <c r="L49" s="34">
        <f>IF(OR('Historique ajusté'!L49="",'Historique ajusté'!L48=""),"",IF(ABS(LN('Historique ajusté'!L49/'Historique ajusté'!L48))&gt;Seuil_aberrant,"",'Historique ajusté'!L49/'Historique ajusté'!L48-1))</f>
        <v/>
      </c>
      <c r="M49" s="34">
        <f>IF(OR('Historique ajusté'!M49="",'Historique ajusté'!M48=""),"",IF(ABS(LN('Historique ajusté'!M49/'Historique ajusté'!M48))&gt;Seuil_aberrant,"",'Historique ajusté'!M49/'Historique ajusté'!M48-1))</f>
        <v/>
      </c>
      <c r="N49" s="34">
        <f>IF(OR('Historique ajusté'!N49="",'Historique ajusté'!N48=""),"",IF(ABS(LN('Historique ajusté'!N49/'Historique ajusté'!N48))&gt;Seuil_aberrant,"",'Historique ajusté'!N49/'Historique ajusté'!N48-1))</f>
        <v/>
      </c>
      <c r="O49" s="34">
        <f>IF(OR('Historique ajusté'!O49="",'Historique ajusté'!O48=""),"",IF(ABS(LN('Historique ajusté'!O49/'Historique ajusté'!O48))&gt;Seuil_aberrant,"",'Historique ajusté'!O49/'Historique ajusté'!O48-1))</f>
        <v/>
      </c>
      <c r="P49" s="34">
        <f>IF(OR('Historique ajusté'!P49="",'Historique ajusté'!P48=""),"",IF(ABS(LN('Historique ajusté'!P49/'Historique ajusté'!P48))&gt;Seuil_aberrant,"",'Historique ajusté'!P49/'Historique ajusté'!P48-1))</f>
        <v/>
      </c>
    </row>
    <row r="50">
      <c r="B50" s="32">
        <f>'Historique ajusté'!B50</f>
        <v/>
      </c>
      <c r="C50" s="34">
        <f>IF(OR('Historique ajusté'!C50="",'Historique ajusté'!C49=""),"",IF(ABS(LN('Historique ajusté'!C50/'Historique ajusté'!C49))&gt;Seuil_aberrant,"",'Historique ajusté'!C50/'Historique ajusté'!C49-1))</f>
        <v/>
      </c>
      <c r="D50" s="34">
        <f>IF(OR('Historique ajusté'!D50="",'Historique ajusté'!D49=""),"",IF(ABS(LN('Historique ajusté'!D50/'Historique ajusté'!D49))&gt;Seuil_aberrant,"",'Historique ajusté'!D50/'Historique ajusté'!D49-1))</f>
        <v/>
      </c>
      <c r="E50" s="34">
        <f>IF(OR('Historique ajusté'!E50="",'Historique ajusté'!E49=""),"",IF(ABS(LN('Historique ajusté'!E50/'Historique ajusté'!E49))&gt;Seuil_aberrant,"",'Historique ajusté'!E50/'Historique ajusté'!E49-1))</f>
        <v/>
      </c>
      <c r="F50" s="34">
        <f>IF(OR('Historique ajusté'!F50="",'Historique ajusté'!F49=""),"",IF(ABS(LN('Historique ajusté'!F50/'Historique ajusté'!F49))&gt;Seuil_aberrant,"",'Historique ajusté'!F50/'Historique ajusté'!F49-1))</f>
        <v/>
      </c>
      <c r="G50" s="34">
        <f>IF(OR('Historique ajusté'!G50="",'Historique ajusté'!G49=""),"",IF(ABS(LN('Historique ajusté'!G50/'Historique ajusté'!G49))&gt;Seuil_aberrant,"",'Historique ajusté'!G50/'Historique ajusté'!G49-1))</f>
        <v/>
      </c>
      <c r="H50" s="34">
        <f>IF(OR('Historique ajusté'!H50="",'Historique ajusté'!H49=""),"",IF(ABS(LN('Historique ajusté'!H50/'Historique ajusté'!H49))&gt;Seuil_aberrant,"",'Historique ajusté'!H50/'Historique ajusté'!H49-1))</f>
        <v/>
      </c>
      <c r="I50" s="34">
        <f>IF(OR('Historique ajusté'!I50="",'Historique ajusté'!I49=""),"",IF(ABS(LN('Historique ajusté'!I50/'Historique ajusté'!I49))&gt;Seuil_aberrant,"",'Historique ajusté'!I50/'Historique ajusté'!I49-1))</f>
        <v/>
      </c>
      <c r="J50" s="34">
        <f>IF(OR('Historique ajusté'!J50="",'Historique ajusté'!J49=""),"",IF(ABS(LN('Historique ajusté'!J50/'Historique ajusté'!J49))&gt;Seuil_aberrant,"",'Historique ajusté'!J50/'Historique ajusté'!J49-1))</f>
        <v/>
      </c>
      <c r="K50" s="34">
        <f>IF(OR('Historique ajusté'!K50="",'Historique ajusté'!K49=""),"",IF(ABS(LN('Historique ajusté'!K50/'Historique ajusté'!K49))&gt;Seuil_aberrant,"",'Historique ajusté'!K50/'Historique ajusté'!K49-1))</f>
        <v/>
      </c>
      <c r="L50" s="34">
        <f>IF(OR('Historique ajusté'!L50="",'Historique ajusté'!L49=""),"",IF(ABS(LN('Historique ajusté'!L50/'Historique ajusté'!L49))&gt;Seuil_aberrant,"",'Historique ajusté'!L50/'Historique ajusté'!L49-1))</f>
        <v/>
      </c>
      <c r="M50" s="34">
        <f>IF(OR('Historique ajusté'!M50="",'Historique ajusté'!M49=""),"",IF(ABS(LN('Historique ajusté'!M50/'Historique ajusté'!M49))&gt;Seuil_aberrant,"",'Historique ajusté'!M50/'Historique ajusté'!M49-1))</f>
        <v/>
      </c>
      <c r="N50" s="34">
        <f>IF(OR('Historique ajusté'!N50="",'Historique ajusté'!N49=""),"",IF(ABS(LN('Historique ajusté'!N50/'Historique ajusté'!N49))&gt;Seuil_aberrant,"",'Historique ajusté'!N50/'Historique ajusté'!N49-1))</f>
        <v/>
      </c>
      <c r="O50" s="34">
        <f>IF(OR('Historique ajusté'!O50="",'Historique ajusté'!O49=""),"",IF(ABS(LN('Historique ajusté'!O50/'Historique ajusté'!O49))&gt;Seuil_aberrant,"",'Historique ajusté'!O50/'Historique ajusté'!O49-1))</f>
        <v/>
      </c>
      <c r="P50" s="34">
        <f>IF(OR('Historique ajusté'!P50="",'Historique ajusté'!P49=""),"",IF(ABS(LN('Historique ajusté'!P50/'Historique ajusté'!P49))&gt;Seuil_aberrant,"",'Historique ajusté'!P50/'Historique ajusté'!P49-1))</f>
        <v/>
      </c>
    </row>
    <row r="51">
      <c r="B51" s="32">
        <f>'Historique ajusté'!B51</f>
        <v/>
      </c>
      <c r="C51" s="34">
        <f>IF(OR('Historique ajusté'!C51="",'Historique ajusté'!C50=""),"",IF(ABS(LN('Historique ajusté'!C51/'Historique ajusté'!C50))&gt;Seuil_aberrant,"",'Historique ajusté'!C51/'Historique ajusté'!C50-1))</f>
        <v/>
      </c>
      <c r="D51" s="34">
        <f>IF(OR('Historique ajusté'!D51="",'Historique ajusté'!D50=""),"",IF(ABS(LN('Historique ajusté'!D51/'Historique ajusté'!D50))&gt;Seuil_aberrant,"",'Historique ajusté'!D51/'Historique ajusté'!D50-1))</f>
        <v/>
      </c>
      <c r="E51" s="34">
        <f>IF(OR('Historique ajusté'!E51="",'Historique ajusté'!E50=""),"",IF(ABS(LN('Historique ajusté'!E51/'Historique ajusté'!E50))&gt;Seuil_aberrant,"",'Historique ajusté'!E51/'Historique ajusté'!E50-1))</f>
        <v/>
      </c>
      <c r="F51" s="34">
        <f>IF(OR('Historique ajusté'!F51="",'Historique ajusté'!F50=""),"",IF(ABS(LN('Historique ajusté'!F51/'Historique ajusté'!F50))&gt;Seuil_aberrant,"",'Historique ajusté'!F51/'Historique ajusté'!F50-1))</f>
        <v/>
      </c>
      <c r="G51" s="34">
        <f>IF(OR('Historique ajusté'!G51="",'Historique ajusté'!G50=""),"",IF(ABS(LN('Historique ajusté'!G51/'Historique ajusté'!G50))&gt;Seuil_aberrant,"",'Historique ajusté'!G51/'Historique ajusté'!G50-1))</f>
        <v/>
      </c>
      <c r="H51" s="34">
        <f>IF(OR('Historique ajusté'!H51="",'Historique ajusté'!H50=""),"",IF(ABS(LN('Historique ajusté'!H51/'Historique ajusté'!H50))&gt;Seuil_aberrant,"",'Historique ajusté'!H51/'Historique ajusté'!H50-1))</f>
        <v/>
      </c>
      <c r="I51" s="34">
        <f>IF(OR('Historique ajusté'!I51="",'Historique ajusté'!I50=""),"",IF(ABS(LN('Historique ajusté'!I51/'Historique ajusté'!I50))&gt;Seuil_aberrant,"",'Historique ajusté'!I51/'Historique ajusté'!I50-1))</f>
        <v/>
      </c>
      <c r="J51" s="34">
        <f>IF(OR('Historique ajusté'!J51="",'Historique ajusté'!J50=""),"",IF(ABS(LN('Historique ajusté'!J51/'Historique ajusté'!J50))&gt;Seuil_aberrant,"",'Historique ajusté'!J51/'Historique ajusté'!J50-1))</f>
        <v/>
      </c>
      <c r="K51" s="34">
        <f>IF(OR('Historique ajusté'!K51="",'Historique ajusté'!K50=""),"",IF(ABS(LN('Historique ajusté'!K51/'Historique ajusté'!K50))&gt;Seuil_aberrant,"",'Historique ajusté'!K51/'Historique ajusté'!K50-1))</f>
        <v/>
      </c>
      <c r="L51" s="34">
        <f>IF(OR('Historique ajusté'!L51="",'Historique ajusté'!L50=""),"",IF(ABS(LN('Historique ajusté'!L51/'Historique ajusté'!L50))&gt;Seuil_aberrant,"",'Historique ajusté'!L51/'Historique ajusté'!L50-1))</f>
        <v/>
      </c>
      <c r="M51" s="34">
        <f>IF(OR('Historique ajusté'!M51="",'Historique ajusté'!M50=""),"",IF(ABS(LN('Historique ajusté'!M51/'Historique ajusté'!M50))&gt;Seuil_aberrant,"",'Historique ajusté'!M51/'Historique ajusté'!M50-1))</f>
        <v/>
      </c>
      <c r="N51" s="34">
        <f>IF(OR('Historique ajusté'!N51="",'Historique ajusté'!N50=""),"",IF(ABS(LN('Historique ajusté'!N51/'Historique ajusté'!N50))&gt;Seuil_aberrant,"",'Historique ajusté'!N51/'Historique ajusté'!N50-1))</f>
        <v/>
      </c>
      <c r="O51" s="34">
        <f>IF(OR('Historique ajusté'!O51="",'Historique ajusté'!O50=""),"",IF(ABS(LN('Historique ajusté'!O51/'Historique ajusté'!O50))&gt;Seuil_aberrant,"",'Historique ajusté'!O51/'Historique ajusté'!O50-1))</f>
        <v/>
      </c>
      <c r="P51" s="34">
        <f>IF(OR('Historique ajusté'!P51="",'Historique ajusté'!P50=""),"",IF(ABS(LN('Historique ajusté'!P51/'Historique ajusté'!P50))&gt;Seuil_aberrant,"",'Historique ajusté'!P51/'Historique ajusté'!P50-1))</f>
        <v/>
      </c>
    </row>
    <row r="52">
      <c r="B52" s="32">
        <f>'Historique ajusté'!B52</f>
        <v/>
      </c>
      <c r="C52" s="34">
        <f>IF(OR('Historique ajusté'!C52="",'Historique ajusté'!C51=""),"",IF(ABS(LN('Historique ajusté'!C52/'Historique ajusté'!C51))&gt;Seuil_aberrant,"",'Historique ajusté'!C52/'Historique ajusté'!C51-1))</f>
        <v/>
      </c>
      <c r="D52" s="34">
        <f>IF(OR('Historique ajusté'!D52="",'Historique ajusté'!D51=""),"",IF(ABS(LN('Historique ajusté'!D52/'Historique ajusté'!D51))&gt;Seuil_aberrant,"",'Historique ajusté'!D52/'Historique ajusté'!D51-1))</f>
        <v/>
      </c>
      <c r="E52" s="34">
        <f>IF(OR('Historique ajusté'!E52="",'Historique ajusté'!E51=""),"",IF(ABS(LN('Historique ajusté'!E52/'Historique ajusté'!E51))&gt;Seuil_aberrant,"",'Historique ajusté'!E52/'Historique ajusté'!E51-1))</f>
        <v/>
      </c>
      <c r="F52" s="34">
        <f>IF(OR('Historique ajusté'!F52="",'Historique ajusté'!F51=""),"",IF(ABS(LN('Historique ajusté'!F52/'Historique ajusté'!F51))&gt;Seuil_aberrant,"",'Historique ajusté'!F52/'Historique ajusté'!F51-1))</f>
        <v/>
      </c>
      <c r="G52" s="34">
        <f>IF(OR('Historique ajusté'!G52="",'Historique ajusté'!G51=""),"",IF(ABS(LN('Historique ajusté'!G52/'Historique ajusté'!G51))&gt;Seuil_aberrant,"",'Historique ajusté'!G52/'Historique ajusté'!G51-1))</f>
        <v/>
      </c>
      <c r="H52" s="34">
        <f>IF(OR('Historique ajusté'!H52="",'Historique ajusté'!H51=""),"",IF(ABS(LN('Historique ajusté'!H52/'Historique ajusté'!H51))&gt;Seuil_aberrant,"",'Historique ajusté'!H52/'Historique ajusté'!H51-1))</f>
        <v/>
      </c>
      <c r="I52" s="34">
        <f>IF(OR('Historique ajusté'!I52="",'Historique ajusté'!I51=""),"",IF(ABS(LN('Historique ajusté'!I52/'Historique ajusté'!I51))&gt;Seuil_aberrant,"",'Historique ajusté'!I52/'Historique ajusté'!I51-1))</f>
        <v/>
      </c>
      <c r="J52" s="34">
        <f>IF(OR('Historique ajusté'!J52="",'Historique ajusté'!J51=""),"",IF(ABS(LN('Historique ajusté'!J52/'Historique ajusté'!J51))&gt;Seuil_aberrant,"",'Historique ajusté'!J52/'Historique ajusté'!J51-1))</f>
        <v/>
      </c>
      <c r="K52" s="34">
        <f>IF(OR('Historique ajusté'!K52="",'Historique ajusté'!K51=""),"",IF(ABS(LN('Historique ajusté'!K52/'Historique ajusté'!K51))&gt;Seuil_aberrant,"",'Historique ajusté'!K52/'Historique ajusté'!K51-1))</f>
        <v/>
      </c>
      <c r="L52" s="34">
        <f>IF(OR('Historique ajusté'!L52="",'Historique ajusté'!L51=""),"",IF(ABS(LN('Historique ajusté'!L52/'Historique ajusté'!L51))&gt;Seuil_aberrant,"",'Historique ajusté'!L52/'Historique ajusté'!L51-1))</f>
        <v/>
      </c>
      <c r="M52" s="34">
        <f>IF(OR('Historique ajusté'!M52="",'Historique ajusté'!M51=""),"",IF(ABS(LN('Historique ajusté'!M52/'Historique ajusté'!M51))&gt;Seuil_aberrant,"",'Historique ajusté'!M52/'Historique ajusté'!M51-1))</f>
        <v/>
      </c>
      <c r="N52" s="34">
        <f>IF(OR('Historique ajusté'!N52="",'Historique ajusté'!N51=""),"",IF(ABS(LN('Historique ajusté'!N52/'Historique ajusté'!N51))&gt;Seuil_aberrant,"",'Historique ajusté'!N52/'Historique ajusté'!N51-1))</f>
        <v/>
      </c>
      <c r="O52" s="34">
        <f>IF(OR('Historique ajusté'!O52="",'Historique ajusté'!O51=""),"",IF(ABS(LN('Historique ajusté'!O52/'Historique ajusté'!O51))&gt;Seuil_aberrant,"",'Historique ajusté'!O52/'Historique ajusté'!O51-1))</f>
        <v/>
      </c>
      <c r="P52" s="34">
        <f>IF(OR('Historique ajusté'!P52="",'Historique ajusté'!P51=""),"",IF(ABS(LN('Historique ajusté'!P52/'Historique ajusté'!P51))&gt;Seuil_aberrant,"",'Historique ajusté'!P52/'Historique ajusté'!P51-1))</f>
        <v/>
      </c>
    </row>
    <row r="53">
      <c r="B53" s="32">
        <f>'Historique ajusté'!B53</f>
        <v/>
      </c>
      <c r="C53" s="34">
        <f>IF(OR('Historique ajusté'!C53="",'Historique ajusté'!C52=""),"",IF(ABS(LN('Historique ajusté'!C53/'Historique ajusté'!C52))&gt;Seuil_aberrant,"",'Historique ajusté'!C53/'Historique ajusté'!C52-1))</f>
        <v/>
      </c>
      <c r="D53" s="34">
        <f>IF(OR('Historique ajusté'!D53="",'Historique ajusté'!D52=""),"",IF(ABS(LN('Historique ajusté'!D53/'Historique ajusté'!D52))&gt;Seuil_aberrant,"",'Historique ajusté'!D53/'Historique ajusté'!D52-1))</f>
        <v/>
      </c>
      <c r="E53" s="34">
        <f>IF(OR('Historique ajusté'!E53="",'Historique ajusté'!E52=""),"",IF(ABS(LN('Historique ajusté'!E53/'Historique ajusté'!E52))&gt;Seuil_aberrant,"",'Historique ajusté'!E53/'Historique ajusté'!E52-1))</f>
        <v/>
      </c>
      <c r="F53" s="34">
        <f>IF(OR('Historique ajusté'!F53="",'Historique ajusté'!F52=""),"",IF(ABS(LN('Historique ajusté'!F53/'Historique ajusté'!F52))&gt;Seuil_aberrant,"",'Historique ajusté'!F53/'Historique ajusté'!F52-1))</f>
        <v/>
      </c>
      <c r="G53" s="34">
        <f>IF(OR('Historique ajusté'!G53="",'Historique ajusté'!G52=""),"",IF(ABS(LN('Historique ajusté'!G53/'Historique ajusté'!G52))&gt;Seuil_aberrant,"",'Historique ajusté'!G53/'Historique ajusté'!G52-1))</f>
        <v/>
      </c>
      <c r="H53" s="34">
        <f>IF(OR('Historique ajusté'!H53="",'Historique ajusté'!H52=""),"",IF(ABS(LN('Historique ajusté'!H53/'Historique ajusté'!H52))&gt;Seuil_aberrant,"",'Historique ajusté'!H53/'Historique ajusté'!H52-1))</f>
        <v/>
      </c>
      <c r="I53" s="34">
        <f>IF(OR('Historique ajusté'!I53="",'Historique ajusté'!I52=""),"",IF(ABS(LN('Historique ajusté'!I53/'Historique ajusté'!I52))&gt;Seuil_aberrant,"",'Historique ajusté'!I53/'Historique ajusté'!I52-1))</f>
        <v/>
      </c>
      <c r="J53" s="34">
        <f>IF(OR('Historique ajusté'!J53="",'Historique ajusté'!J52=""),"",IF(ABS(LN('Historique ajusté'!J53/'Historique ajusté'!J52))&gt;Seuil_aberrant,"",'Historique ajusté'!J53/'Historique ajusté'!J52-1))</f>
        <v/>
      </c>
      <c r="K53" s="34">
        <f>IF(OR('Historique ajusté'!K53="",'Historique ajusté'!K52=""),"",IF(ABS(LN('Historique ajusté'!K53/'Historique ajusté'!K52))&gt;Seuil_aberrant,"",'Historique ajusté'!K53/'Historique ajusté'!K52-1))</f>
        <v/>
      </c>
      <c r="L53" s="34">
        <f>IF(OR('Historique ajusté'!L53="",'Historique ajusté'!L52=""),"",IF(ABS(LN('Historique ajusté'!L53/'Historique ajusté'!L52))&gt;Seuil_aberrant,"",'Historique ajusté'!L53/'Historique ajusté'!L52-1))</f>
        <v/>
      </c>
      <c r="M53" s="34">
        <f>IF(OR('Historique ajusté'!M53="",'Historique ajusté'!M52=""),"",IF(ABS(LN('Historique ajusté'!M53/'Historique ajusté'!M52))&gt;Seuil_aberrant,"",'Historique ajusté'!M53/'Historique ajusté'!M52-1))</f>
        <v/>
      </c>
      <c r="N53" s="34">
        <f>IF(OR('Historique ajusté'!N53="",'Historique ajusté'!N52=""),"",IF(ABS(LN('Historique ajusté'!N53/'Historique ajusté'!N52))&gt;Seuil_aberrant,"",'Historique ajusté'!N53/'Historique ajusté'!N52-1))</f>
        <v/>
      </c>
      <c r="O53" s="34">
        <f>IF(OR('Historique ajusté'!O53="",'Historique ajusté'!O52=""),"",IF(ABS(LN('Historique ajusté'!O53/'Historique ajusté'!O52))&gt;Seuil_aberrant,"",'Historique ajusté'!O53/'Historique ajusté'!O52-1))</f>
        <v/>
      </c>
      <c r="P53" s="34">
        <f>IF(OR('Historique ajusté'!P53="",'Historique ajusté'!P52=""),"",IF(ABS(LN('Historique ajusté'!P53/'Historique ajusté'!P52))&gt;Seuil_aberrant,"",'Historique ajusté'!P53/'Historique ajusté'!P52-1))</f>
        <v/>
      </c>
    </row>
    <row r="54">
      <c r="B54" s="32">
        <f>'Historique ajusté'!B54</f>
        <v/>
      </c>
      <c r="C54" s="34">
        <f>IF(OR('Historique ajusté'!C54="",'Historique ajusté'!C53=""),"",IF(ABS(LN('Historique ajusté'!C54/'Historique ajusté'!C53))&gt;Seuil_aberrant,"",'Historique ajusté'!C54/'Historique ajusté'!C53-1))</f>
        <v/>
      </c>
      <c r="D54" s="34">
        <f>IF(OR('Historique ajusté'!D54="",'Historique ajusté'!D53=""),"",IF(ABS(LN('Historique ajusté'!D54/'Historique ajusté'!D53))&gt;Seuil_aberrant,"",'Historique ajusté'!D54/'Historique ajusté'!D53-1))</f>
        <v/>
      </c>
      <c r="E54" s="34">
        <f>IF(OR('Historique ajusté'!E54="",'Historique ajusté'!E53=""),"",IF(ABS(LN('Historique ajusté'!E54/'Historique ajusté'!E53))&gt;Seuil_aberrant,"",'Historique ajusté'!E54/'Historique ajusté'!E53-1))</f>
        <v/>
      </c>
      <c r="F54" s="34">
        <f>IF(OR('Historique ajusté'!F54="",'Historique ajusté'!F53=""),"",IF(ABS(LN('Historique ajusté'!F54/'Historique ajusté'!F53))&gt;Seuil_aberrant,"",'Historique ajusté'!F54/'Historique ajusté'!F53-1))</f>
        <v/>
      </c>
      <c r="G54" s="34">
        <f>IF(OR('Historique ajusté'!G54="",'Historique ajusté'!G53=""),"",IF(ABS(LN('Historique ajusté'!G54/'Historique ajusté'!G53))&gt;Seuil_aberrant,"",'Historique ajusté'!G54/'Historique ajusté'!G53-1))</f>
        <v/>
      </c>
      <c r="H54" s="34">
        <f>IF(OR('Historique ajusté'!H54="",'Historique ajusté'!H53=""),"",IF(ABS(LN('Historique ajusté'!H54/'Historique ajusté'!H53))&gt;Seuil_aberrant,"",'Historique ajusté'!H54/'Historique ajusté'!H53-1))</f>
        <v/>
      </c>
      <c r="I54" s="34">
        <f>IF(OR('Historique ajusté'!I54="",'Historique ajusté'!I53=""),"",IF(ABS(LN('Historique ajusté'!I54/'Historique ajusté'!I53))&gt;Seuil_aberrant,"",'Historique ajusté'!I54/'Historique ajusté'!I53-1))</f>
        <v/>
      </c>
      <c r="J54" s="34">
        <f>IF(OR('Historique ajusté'!J54="",'Historique ajusté'!J53=""),"",IF(ABS(LN('Historique ajusté'!J54/'Historique ajusté'!J53))&gt;Seuil_aberrant,"",'Historique ajusté'!J54/'Historique ajusté'!J53-1))</f>
        <v/>
      </c>
      <c r="K54" s="34">
        <f>IF(OR('Historique ajusté'!K54="",'Historique ajusté'!K53=""),"",IF(ABS(LN('Historique ajusté'!K54/'Historique ajusté'!K53))&gt;Seuil_aberrant,"",'Historique ajusté'!K54/'Historique ajusté'!K53-1))</f>
        <v/>
      </c>
      <c r="L54" s="34">
        <f>IF(OR('Historique ajusté'!L54="",'Historique ajusté'!L53=""),"",IF(ABS(LN('Historique ajusté'!L54/'Historique ajusté'!L53))&gt;Seuil_aberrant,"",'Historique ajusté'!L54/'Historique ajusté'!L53-1))</f>
        <v/>
      </c>
      <c r="M54" s="34">
        <f>IF(OR('Historique ajusté'!M54="",'Historique ajusté'!M53=""),"",IF(ABS(LN('Historique ajusté'!M54/'Historique ajusté'!M53))&gt;Seuil_aberrant,"",'Historique ajusté'!M54/'Historique ajusté'!M53-1))</f>
        <v/>
      </c>
      <c r="N54" s="34">
        <f>IF(OR('Historique ajusté'!N54="",'Historique ajusté'!N53=""),"",IF(ABS(LN('Historique ajusté'!N54/'Historique ajusté'!N53))&gt;Seuil_aberrant,"",'Historique ajusté'!N54/'Historique ajusté'!N53-1))</f>
        <v/>
      </c>
      <c r="O54" s="34">
        <f>IF(OR('Historique ajusté'!O54="",'Historique ajusté'!O53=""),"",IF(ABS(LN('Historique ajusté'!O54/'Historique ajusté'!O53))&gt;Seuil_aberrant,"",'Historique ajusté'!O54/'Historique ajusté'!O53-1))</f>
        <v/>
      </c>
      <c r="P54" s="34">
        <f>IF(OR('Historique ajusté'!P54="",'Historique ajusté'!P53=""),"",IF(ABS(LN('Historique ajusté'!P54/'Historique ajusté'!P53))&gt;Seuil_aberrant,"",'Historique ajusté'!P54/'Historique ajusté'!P53-1))</f>
        <v/>
      </c>
    </row>
    <row r="55">
      <c r="B55" s="32">
        <f>'Historique ajusté'!B55</f>
        <v/>
      </c>
      <c r="C55" s="34">
        <f>IF(OR('Historique ajusté'!C55="",'Historique ajusté'!C54=""),"",IF(ABS(LN('Historique ajusté'!C55/'Historique ajusté'!C54))&gt;Seuil_aberrant,"",'Historique ajusté'!C55/'Historique ajusté'!C54-1))</f>
        <v/>
      </c>
      <c r="D55" s="34">
        <f>IF(OR('Historique ajusté'!D55="",'Historique ajusté'!D54=""),"",IF(ABS(LN('Historique ajusté'!D55/'Historique ajusté'!D54))&gt;Seuil_aberrant,"",'Historique ajusté'!D55/'Historique ajusté'!D54-1))</f>
        <v/>
      </c>
      <c r="E55" s="34">
        <f>IF(OR('Historique ajusté'!E55="",'Historique ajusté'!E54=""),"",IF(ABS(LN('Historique ajusté'!E55/'Historique ajusté'!E54))&gt;Seuil_aberrant,"",'Historique ajusté'!E55/'Historique ajusté'!E54-1))</f>
        <v/>
      </c>
      <c r="F55" s="34">
        <f>IF(OR('Historique ajusté'!F55="",'Historique ajusté'!F54=""),"",IF(ABS(LN('Historique ajusté'!F55/'Historique ajusté'!F54))&gt;Seuil_aberrant,"",'Historique ajusté'!F55/'Historique ajusté'!F54-1))</f>
        <v/>
      </c>
      <c r="G55" s="34">
        <f>IF(OR('Historique ajusté'!G55="",'Historique ajusté'!G54=""),"",IF(ABS(LN('Historique ajusté'!G55/'Historique ajusté'!G54))&gt;Seuil_aberrant,"",'Historique ajusté'!G55/'Historique ajusté'!G54-1))</f>
        <v/>
      </c>
      <c r="H55" s="34">
        <f>IF(OR('Historique ajusté'!H55="",'Historique ajusté'!H54=""),"",IF(ABS(LN('Historique ajusté'!H55/'Historique ajusté'!H54))&gt;Seuil_aberrant,"",'Historique ajusté'!H55/'Historique ajusté'!H54-1))</f>
        <v/>
      </c>
      <c r="I55" s="34">
        <f>IF(OR('Historique ajusté'!I55="",'Historique ajusté'!I54=""),"",IF(ABS(LN('Historique ajusté'!I55/'Historique ajusté'!I54))&gt;Seuil_aberrant,"",'Historique ajusté'!I55/'Historique ajusté'!I54-1))</f>
        <v/>
      </c>
      <c r="J55" s="34">
        <f>IF(OR('Historique ajusté'!J55="",'Historique ajusté'!J54=""),"",IF(ABS(LN('Historique ajusté'!J55/'Historique ajusté'!J54))&gt;Seuil_aberrant,"",'Historique ajusté'!J55/'Historique ajusté'!J54-1))</f>
        <v/>
      </c>
      <c r="K55" s="34">
        <f>IF(OR('Historique ajusté'!K55="",'Historique ajusté'!K54=""),"",IF(ABS(LN('Historique ajusté'!K55/'Historique ajusté'!K54))&gt;Seuil_aberrant,"",'Historique ajusté'!K55/'Historique ajusté'!K54-1))</f>
        <v/>
      </c>
      <c r="L55" s="34">
        <f>IF(OR('Historique ajusté'!L55="",'Historique ajusté'!L54=""),"",IF(ABS(LN('Historique ajusté'!L55/'Historique ajusté'!L54))&gt;Seuil_aberrant,"",'Historique ajusté'!L55/'Historique ajusté'!L54-1))</f>
        <v/>
      </c>
      <c r="M55" s="34">
        <f>IF(OR('Historique ajusté'!M55="",'Historique ajusté'!M54=""),"",IF(ABS(LN('Historique ajusté'!M55/'Historique ajusté'!M54))&gt;Seuil_aberrant,"",'Historique ajusté'!M55/'Historique ajusté'!M54-1))</f>
        <v/>
      </c>
      <c r="N55" s="34">
        <f>IF(OR('Historique ajusté'!N55="",'Historique ajusté'!N54=""),"",IF(ABS(LN('Historique ajusté'!N55/'Historique ajusté'!N54))&gt;Seuil_aberrant,"",'Historique ajusté'!N55/'Historique ajusté'!N54-1))</f>
        <v/>
      </c>
      <c r="O55" s="34">
        <f>IF(OR('Historique ajusté'!O55="",'Historique ajusté'!O54=""),"",IF(ABS(LN('Historique ajusté'!O55/'Historique ajusté'!O54))&gt;Seuil_aberrant,"",'Historique ajusté'!O55/'Historique ajusté'!O54-1))</f>
        <v/>
      </c>
      <c r="P55" s="34">
        <f>IF(OR('Historique ajusté'!P55="",'Historique ajusté'!P54=""),"",IF(ABS(LN('Historique ajusté'!P55/'Historique ajusté'!P54))&gt;Seuil_aberrant,"",'Historique ajusté'!P55/'Historique ajusté'!P54-1))</f>
        <v/>
      </c>
    </row>
    <row r="56">
      <c r="B56" s="32">
        <f>'Historique ajusté'!B56</f>
        <v/>
      </c>
      <c r="C56" s="34">
        <f>IF(OR('Historique ajusté'!C56="",'Historique ajusté'!C55=""),"",IF(ABS(LN('Historique ajusté'!C56/'Historique ajusté'!C55))&gt;Seuil_aberrant,"",'Historique ajusté'!C56/'Historique ajusté'!C55-1))</f>
        <v/>
      </c>
      <c r="D56" s="34">
        <f>IF(OR('Historique ajusté'!D56="",'Historique ajusté'!D55=""),"",IF(ABS(LN('Historique ajusté'!D56/'Historique ajusté'!D55))&gt;Seuil_aberrant,"",'Historique ajusté'!D56/'Historique ajusté'!D55-1))</f>
        <v/>
      </c>
      <c r="E56" s="34">
        <f>IF(OR('Historique ajusté'!E56="",'Historique ajusté'!E55=""),"",IF(ABS(LN('Historique ajusté'!E56/'Historique ajusté'!E55))&gt;Seuil_aberrant,"",'Historique ajusté'!E56/'Historique ajusté'!E55-1))</f>
        <v/>
      </c>
      <c r="F56" s="34">
        <f>IF(OR('Historique ajusté'!F56="",'Historique ajusté'!F55=""),"",IF(ABS(LN('Historique ajusté'!F56/'Historique ajusté'!F55))&gt;Seuil_aberrant,"",'Historique ajusté'!F56/'Historique ajusté'!F55-1))</f>
        <v/>
      </c>
      <c r="G56" s="34">
        <f>IF(OR('Historique ajusté'!G56="",'Historique ajusté'!G55=""),"",IF(ABS(LN('Historique ajusté'!G56/'Historique ajusté'!G55))&gt;Seuil_aberrant,"",'Historique ajusté'!G56/'Historique ajusté'!G55-1))</f>
        <v/>
      </c>
      <c r="H56" s="34">
        <f>IF(OR('Historique ajusté'!H56="",'Historique ajusté'!H55=""),"",IF(ABS(LN('Historique ajusté'!H56/'Historique ajusté'!H55))&gt;Seuil_aberrant,"",'Historique ajusté'!H56/'Historique ajusté'!H55-1))</f>
        <v/>
      </c>
      <c r="I56" s="34">
        <f>IF(OR('Historique ajusté'!I56="",'Historique ajusté'!I55=""),"",IF(ABS(LN('Historique ajusté'!I56/'Historique ajusté'!I55))&gt;Seuil_aberrant,"",'Historique ajusté'!I56/'Historique ajusté'!I55-1))</f>
        <v/>
      </c>
      <c r="J56" s="34">
        <f>IF(OR('Historique ajusté'!J56="",'Historique ajusté'!J55=""),"",IF(ABS(LN('Historique ajusté'!J56/'Historique ajusté'!J55))&gt;Seuil_aberrant,"",'Historique ajusté'!J56/'Historique ajusté'!J55-1))</f>
        <v/>
      </c>
      <c r="K56" s="34">
        <f>IF(OR('Historique ajusté'!K56="",'Historique ajusté'!K55=""),"",IF(ABS(LN('Historique ajusté'!K56/'Historique ajusté'!K55))&gt;Seuil_aberrant,"",'Historique ajusté'!K56/'Historique ajusté'!K55-1))</f>
        <v/>
      </c>
      <c r="L56" s="34">
        <f>IF(OR('Historique ajusté'!L56="",'Historique ajusté'!L55=""),"",IF(ABS(LN('Historique ajusté'!L56/'Historique ajusté'!L55))&gt;Seuil_aberrant,"",'Historique ajusté'!L56/'Historique ajusté'!L55-1))</f>
        <v/>
      </c>
      <c r="M56" s="34">
        <f>IF(OR('Historique ajusté'!M56="",'Historique ajusté'!M55=""),"",IF(ABS(LN('Historique ajusté'!M56/'Historique ajusté'!M55))&gt;Seuil_aberrant,"",'Historique ajusté'!M56/'Historique ajusté'!M55-1))</f>
        <v/>
      </c>
      <c r="N56" s="34">
        <f>IF(OR('Historique ajusté'!N56="",'Historique ajusté'!N55=""),"",IF(ABS(LN('Historique ajusté'!N56/'Historique ajusté'!N55))&gt;Seuil_aberrant,"",'Historique ajusté'!N56/'Historique ajusté'!N55-1))</f>
        <v/>
      </c>
      <c r="O56" s="34">
        <f>IF(OR('Historique ajusté'!O56="",'Historique ajusté'!O55=""),"",IF(ABS(LN('Historique ajusté'!O56/'Historique ajusté'!O55))&gt;Seuil_aberrant,"",'Historique ajusté'!O56/'Historique ajusté'!O55-1))</f>
        <v/>
      </c>
      <c r="P56" s="34">
        <f>IF(OR('Historique ajusté'!P56="",'Historique ajusté'!P55=""),"",IF(ABS(LN('Historique ajusté'!P56/'Historique ajusté'!P55))&gt;Seuil_aberrant,"",'Historique ajusté'!P56/'Historique ajusté'!P55-1))</f>
        <v/>
      </c>
    </row>
    <row r="57">
      <c r="B57" s="32">
        <f>'Historique ajusté'!B57</f>
        <v/>
      </c>
      <c r="C57" s="34">
        <f>IF(OR('Historique ajusté'!C57="",'Historique ajusté'!C56=""),"",IF(ABS(LN('Historique ajusté'!C57/'Historique ajusté'!C56))&gt;Seuil_aberrant,"",'Historique ajusté'!C57/'Historique ajusté'!C56-1))</f>
        <v/>
      </c>
      <c r="D57" s="34">
        <f>IF(OR('Historique ajusté'!D57="",'Historique ajusté'!D56=""),"",IF(ABS(LN('Historique ajusté'!D57/'Historique ajusté'!D56))&gt;Seuil_aberrant,"",'Historique ajusté'!D57/'Historique ajusté'!D56-1))</f>
        <v/>
      </c>
      <c r="E57" s="34">
        <f>IF(OR('Historique ajusté'!E57="",'Historique ajusté'!E56=""),"",IF(ABS(LN('Historique ajusté'!E57/'Historique ajusté'!E56))&gt;Seuil_aberrant,"",'Historique ajusté'!E57/'Historique ajusté'!E56-1))</f>
        <v/>
      </c>
      <c r="F57" s="34">
        <f>IF(OR('Historique ajusté'!F57="",'Historique ajusté'!F56=""),"",IF(ABS(LN('Historique ajusté'!F57/'Historique ajusté'!F56))&gt;Seuil_aberrant,"",'Historique ajusté'!F57/'Historique ajusté'!F56-1))</f>
        <v/>
      </c>
      <c r="G57" s="34">
        <f>IF(OR('Historique ajusté'!G57="",'Historique ajusté'!G56=""),"",IF(ABS(LN('Historique ajusté'!G57/'Historique ajusté'!G56))&gt;Seuil_aberrant,"",'Historique ajusté'!G57/'Historique ajusté'!G56-1))</f>
        <v/>
      </c>
      <c r="H57" s="34">
        <f>IF(OR('Historique ajusté'!H57="",'Historique ajusté'!H56=""),"",IF(ABS(LN('Historique ajusté'!H57/'Historique ajusté'!H56))&gt;Seuil_aberrant,"",'Historique ajusté'!H57/'Historique ajusté'!H56-1))</f>
        <v/>
      </c>
      <c r="I57" s="34">
        <f>IF(OR('Historique ajusté'!I57="",'Historique ajusté'!I56=""),"",IF(ABS(LN('Historique ajusté'!I57/'Historique ajusté'!I56))&gt;Seuil_aberrant,"",'Historique ajusté'!I57/'Historique ajusté'!I56-1))</f>
        <v/>
      </c>
      <c r="J57" s="34">
        <f>IF(OR('Historique ajusté'!J57="",'Historique ajusté'!J56=""),"",IF(ABS(LN('Historique ajusté'!J57/'Historique ajusté'!J56))&gt;Seuil_aberrant,"",'Historique ajusté'!J57/'Historique ajusté'!J56-1))</f>
        <v/>
      </c>
      <c r="K57" s="34">
        <f>IF(OR('Historique ajusté'!K57="",'Historique ajusté'!K56=""),"",IF(ABS(LN('Historique ajusté'!K57/'Historique ajusté'!K56))&gt;Seuil_aberrant,"",'Historique ajusté'!K57/'Historique ajusté'!K56-1))</f>
        <v/>
      </c>
      <c r="L57" s="34">
        <f>IF(OR('Historique ajusté'!L57="",'Historique ajusté'!L56=""),"",IF(ABS(LN('Historique ajusté'!L57/'Historique ajusté'!L56))&gt;Seuil_aberrant,"",'Historique ajusté'!L57/'Historique ajusté'!L56-1))</f>
        <v/>
      </c>
      <c r="M57" s="34">
        <f>IF(OR('Historique ajusté'!M57="",'Historique ajusté'!M56=""),"",IF(ABS(LN('Historique ajusté'!M57/'Historique ajusté'!M56))&gt;Seuil_aberrant,"",'Historique ajusté'!M57/'Historique ajusté'!M56-1))</f>
        <v/>
      </c>
      <c r="N57" s="34">
        <f>IF(OR('Historique ajusté'!N57="",'Historique ajusté'!N56=""),"",IF(ABS(LN('Historique ajusté'!N57/'Historique ajusté'!N56))&gt;Seuil_aberrant,"",'Historique ajusté'!N57/'Historique ajusté'!N56-1))</f>
        <v/>
      </c>
      <c r="O57" s="34">
        <f>IF(OR('Historique ajusté'!O57="",'Historique ajusté'!O56=""),"",IF(ABS(LN('Historique ajusté'!O57/'Historique ajusté'!O56))&gt;Seuil_aberrant,"",'Historique ajusté'!O57/'Historique ajusté'!O56-1))</f>
        <v/>
      </c>
      <c r="P57" s="34">
        <f>IF(OR('Historique ajusté'!P57="",'Historique ajusté'!P56=""),"",IF(ABS(LN('Historique ajusté'!P57/'Historique ajusté'!P56))&gt;Seuil_aberrant,"",'Historique ajusté'!P57/'Historique ajusté'!P56-1))</f>
        <v/>
      </c>
    </row>
    <row r="58">
      <c r="B58" s="32">
        <f>'Historique ajusté'!B58</f>
        <v/>
      </c>
      <c r="C58" s="34">
        <f>IF(OR('Historique ajusté'!C58="",'Historique ajusté'!C57=""),"",IF(ABS(LN('Historique ajusté'!C58/'Historique ajusté'!C57))&gt;Seuil_aberrant,"",'Historique ajusté'!C58/'Historique ajusté'!C57-1))</f>
        <v/>
      </c>
      <c r="D58" s="34">
        <f>IF(OR('Historique ajusté'!D58="",'Historique ajusté'!D57=""),"",IF(ABS(LN('Historique ajusté'!D58/'Historique ajusté'!D57))&gt;Seuil_aberrant,"",'Historique ajusté'!D58/'Historique ajusté'!D57-1))</f>
        <v/>
      </c>
      <c r="E58" s="34">
        <f>IF(OR('Historique ajusté'!E58="",'Historique ajusté'!E57=""),"",IF(ABS(LN('Historique ajusté'!E58/'Historique ajusté'!E57))&gt;Seuil_aberrant,"",'Historique ajusté'!E58/'Historique ajusté'!E57-1))</f>
        <v/>
      </c>
      <c r="F58" s="34">
        <f>IF(OR('Historique ajusté'!F58="",'Historique ajusté'!F57=""),"",IF(ABS(LN('Historique ajusté'!F58/'Historique ajusté'!F57))&gt;Seuil_aberrant,"",'Historique ajusté'!F58/'Historique ajusté'!F57-1))</f>
        <v/>
      </c>
      <c r="G58" s="34">
        <f>IF(OR('Historique ajusté'!G58="",'Historique ajusté'!G57=""),"",IF(ABS(LN('Historique ajusté'!G58/'Historique ajusté'!G57))&gt;Seuil_aberrant,"",'Historique ajusté'!G58/'Historique ajusté'!G57-1))</f>
        <v/>
      </c>
      <c r="H58" s="34">
        <f>IF(OR('Historique ajusté'!H58="",'Historique ajusté'!H57=""),"",IF(ABS(LN('Historique ajusté'!H58/'Historique ajusté'!H57))&gt;Seuil_aberrant,"",'Historique ajusté'!H58/'Historique ajusté'!H57-1))</f>
        <v/>
      </c>
      <c r="I58" s="34">
        <f>IF(OR('Historique ajusté'!I58="",'Historique ajusté'!I57=""),"",IF(ABS(LN('Historique ajusté'!I58/'Historique ajusté'!I57))&gt;Seuil_aberrant,"",'Historique ajusté'!I58/'Historique ajusté'!I57-1))</f>
        <v/>
      </c>
      <c r="J58" s="34">
        <f>IF(OR('Historique ajusté'!J58="",'Historique ajusté'!J57=""),"",IF(ABS(LN('Historique ajusté'!J58/'Historique ajusté'!J57))&gt;Seuil_aberrant,"",'Historique ajusté'!J58/'Historique ajusté'!J57-1))</f>
        <v/>
      </c>
      <c r="K58" s="34">
        <f>IF(OR('Historique ajusté'!K58="",'Historique ajusté'!K57=""),"",IF(ABS(LN('Historique ajusté'!K58/'Historique ajusté'!K57))&gt;Seuil_aberrant,"",'Historique ajusté'!K58/'Historique ajusté'!K57-1))</f>
        <v/>
      </c>
      <c r="L58" s="34">
        <f>IF(OR('Historique ajusté'!L58="",'Historique ajusté'!L57=""),"",IF(ABS(LN('Historique ajusté'!L58/'Historique ajusté'!L57))&gt;Seuil_aberrant,"",'Historique ajusté'!L58/'Historique ajusté'!L57-1))</f>
        <v/>
      </c>
      <c r="M58" s="34">
        <f>IF(OR('Historique ajusté'!M58="",'Historique ajusté'!M57=""),"",IF(ABS(LN('Historique ajusté'!M58/'Historique ajusté'!M57))&gt;Seuil_aberrant,"",'Historique ajusté'!M58/'Historique ajusté'!M57-1))</f>
        <v/>
      </c>
      <c r="N58" s="34">
        <f>IF(OR('Historique ajusté'!N58="",'Historique ajusté'!N57=""),"",IF(ABS(LN('Historique ajusté'!N58/'Historique ajusté'!N57))&gt;Seuil_aberrant,"",'Historique ajusté'!N58/'Historique ajusté'!N57-1))</f>
        <v/>
      </c>
      <c r="O58" s="34">
        <f>IF(OR('Historique ajusté'!O58="",'Historique ajusté'!O57=""),"",IF(ABS(LN('Historique ajusté'!O58/'Historique ajusté'!O57))&gt;Seuil_aberrant,"",'Historique ajusté'!O58/'Historique ajusté'!O57-1))</f>
        <v/>
      </c>
      <c r="P58" s="34">
        <f>IF(OR('Historique ajusté'!P58="",'Historique ajusté'!P57=""),"",IF(ABS(LN('Historique ajusté'!P58/'Historique ajusté'!P57))&gt;Seuil_aberrant,"",'Historique ajusté'!P58/'Historique ajusté'!P57-1))</f>
        <v/>
      </c>
    </row>
    <row r="59">
      <c r="B59" s="32">
        <f>'Historique ajusté'!B59</f>
        <v/>
      </c>
      <c r="C59" s="34">
        <f>IF(OR('Historique ajusté'!C59="",'Historique ajusté'!C58=""),"",IF(ABS(LN('Historique ajusté'!C59/'Historique ajusté'!C58))&gt;Seuil_aberrant,"",'Historique ajusté'!C59/'Historique ajusté'!C58-1))</f>
        <v/>
      </c>
      <c r="D59" s="34">
        <f>IF(OR('Historique ajusté'!D59="",'Historique ajusté'!D58=""),"",IF(ABS(LN('Historique ajusté'!D59/'Historique ajusté'!D58))&gt;Seuil_aberrant,"",'Historique ajusté'!D59/'Historique ajusté'!D58-1))</f>
        <v/>
      </c>
      <c r="E59" s="34">
        <f>IF(OR('Historique ajusté'!E59="",'Historique ajusté'!E58=""),"",IF(ABS(LN('Historique ajusté'!E59/'Historique ajusté'!E58))&gt;Seuil_aberrant,"",'Historique ajusté'!E59/'Historique ajusté'!E58-1))</f>
        <v/>
      </c>
      <c r="F59" s="34">
        <f>IF(OR('Historique ajusté'!F59="",'Historique ajusté'!F58=""),"",IF(ABS(LN('Historique ajusté'!F59/'Historique ajusté'!F58))&gt;Seuil_aberrant,"",'Historique ajusté'!F59/'Historique ajusté'!F58-1))</f>
        <v/>
      </c>
      <c r="G59" s="34">
        <f>IF(OR('Historique ajusté'!G59="",'Historique ajusté'!G58=""),"",IF(ABS(LN('Historique ajusté'!G59/'Historique ajusté'!G58))&gt;Seuil_aberrant,"",'Historique ajusté'!G59/'Historique ajusté'!G58-1))</f>
        <v/>
      </c>
      <c r="H59" s="34">
        <f>IF(OR('Historique ajusté'!H59="",'Historique ajusté'!H58=""),"",IF(ABS(LN('Historique ajusté'!H59/'Historique ajusté'!H58))&gt;Seuil_aberrant,"",'Historique ajusté'!H59/'Historique ajusté'!H58-1))</f>
        <v/>
      </c>
      <c r="I59" s="34">
        <f>IF(OR('Historique ajusté'!I59="",'Historique ajusté'!I58=""),"",IF(ABS(LN('Historique ajusté'!I59/'Historique ajusté'!I58))&gt;Seuil_aberrant,"",'Historique ajusté'!I59/'Historique ajusté'!I58-1))</f>
        <v/>
      </c>
      <c r="J59" s="34">
        <f>IF(OR('Historique ajusté'!J59="",'Historique ajusté'!J58=""),"",IF(ABS(LN('Historique ajusté'!J59/'Historique ajusté'!J58))&gt;Seuil_aberrant,"",'Historique ajusté'!J59/'Historique ajusté'!J58-1))</f>
        <v/>
      </c>
      <c r="K59" s="34">
        <f>IF(OR('Historique ajusté'!K59="",'Historique ajusté'!K58=""),"",IF(ABS(LN('Historique ajusté'!K59/'Historique ajusté'!K58))&gt;Seuil_aberrant,"",'Historique ajusté'!K59/'Historique ajusté'!K58-1))</f>
        <v/>
      </c>
      <c r="L59" s="34">
        <f>IF(OR('Historique ajusté'!L59="",'Historique ajusté'!L58=""),"",IF(ABS(LN('Historique ajusté'!L59/'Historique ajusté'!L58))&gt;Seuil_aberrant,"",'Historique ajusté'!L59/'Historique ajusté'!L58-1))</f>
        <v/>
      </c>
      <c r="M59" s="34">
        <f>IF(OR('Historique ajusté'!M59="",'Historique ajusté'!M58=""),"",IF(ABS(LN('Historique ajusté'!M59/'Historique ajusté'!M58))&gt;Seuil_aberrant,"",'Historique ajusté'!M59/'Historique ajusté'!M58-1))</f>
        <v/>
      </c>
      <c r="N59" s="34">
        <f>IF(OR('Historique ajusté'!N59="",'Historique ajusté'!N58=""),"",IF(ABS(LN('Historique ajusté'!N59/'Historique ajusté'!N58))&gt;Seuil_aberrant,"",'Historique ajusté'!N59/'Historique ajusté'!N58-1))</f>
        <v/>
      </c>
      <c r="O59" s="34">
        <f>IF(OR('Historique ajusté'!O59="",'Historique ajusté'!O58=""),"",IF(ABS(LN('Historique ajusté'!O59/'Historique ajusté'!O58))&gt;Seuil_aberrant,"",'Historique ajusté'!O59/'Historique ajusté'!O58-1))</f>
        <v/>
      </c>
      <c r="P59" s="34">
        <f>IF(OR('Historique ajusté'!P59="",'Historique ajusté'!P58=""),"",IF(ABS(LN('Historique ajusté'!P59/'Historique ajusté'!P58))&gt;Seuil_aberrant,"",'Historique ajusté'!P59/'Historique ajusté'!P58-1))</f>
        <v/>
      </c>
    </row>
    <row r="60">
      <c r="B60" s="32">
        <f>'Historique ajusté'!B60</f>
        <v/>
      </c>
      <c r="C60" s="34">
        <f>IF(OR('Historique ajusté'!C60="",'Historique ajusté'!C59=""),"",IF(ABS(LN('Historique ajusté'!C60/'Historique ajusté'!C59))&gt;Seuil_aberrant,"",'Historique ajusté'!C60/'Historique ajusté'!C59-1))</f>
        <v/>
      </c>
      <c r="D60" s="34">
        <f>IF(OR('Historique ajusté'!D60="",'Historique ajusté'!D59=""),"",IF(ABS(LN('Historique ajusté'!D60/'Historique ajusté'!D59))&gt;Seuil_aberrant,"",'Historique ajusté'!D60/'Historique ajusté'!D59-1))</f>
        <v/>
      </c>
      <c r="E60" s="34">
        <f>IF(OR('Historique ajusté'!E60="",'Historique ajusté'!E59=""),"",IF(ABS(LN('Historique ajusté'!E60/'Historique ajusté'!E59))&gt;Seuil_aberrant,"",'Historique ajusté'!E60/'Historique ajusté'!E59-1))</f>
        <v/>
      </c>
      <c r="F60" s="34">
        <f>IF(OR('Historique ajusté'!F60="",'Historique ajusté'!F59=""),"",IF(ABS(LN('Historique ajusté'!F60/'Historique ajusté'!F59))&gt;Seuil_aberrant,"",'Historique ajusté'!F60/'Historique ajusté'!F59-1))</f>
        <v/>
      </c>
      <c r="G60" s="34">
        <f>IF(OR('Historique ajusté'!G60="",'Historique ajusté'!G59=""),"",IF(ABS(LN('Historique ajusté'!G60/'Historique ajusté'!G59))&gt;Seuil_aberrant,"",'Historique ajusté'!G60/'Historique ajusté'!G59-1))</f>
        <v/>
      </c>
      <c r="H60" s="34">
        <f>IF(OR('Historique ajusté'!H60="",'Historique ajusté'!H59=""),"",IF(ABS(LN('Historique ajusté'!H60/'Historique ajusté'!H59))&gt;Seuil_aberrant,"",'Historique ajusté'!H60/'Historique ajusté'!H59-1))</f>
        <v/>
      </c>
      <c r="I60" s="34">
        <f>IF(OR('Historique ajusté'!I60="",'Historique ajusté'!I59=""),"",IF(ABS(LN('Historique ajusté'!I60/'Historique ajusté'!I59))&gt;Seuil_aberrant,"",'Historique ajusté'!I60/'Historique ajusté'!I59-1))</f>
        <v/>
      </c>
      <c r="J60" s="34">
        <f>IF(OR('Historique ajusté'!J60="",'Historique ajusté'!J59=""),"",IF(ABS(LN('Historique ajusté'!J60/'Historique ajusté'!J59))&gt;Seuil_aberrant,"",'Historique ajusté'!J60/'Historique ajusté'!J59-1))</f>
        <v/>
      </c>
      <c r="K60" s="34">
        <f>IF(OR('Historique ajusté'!K60="",'Historique ajusté'!K59=""),"",IF(ABS(LN('Historique ajusté'!K60/'Historique ajusté'!K59))&gt;Seuil_aberrant,"",'Historique ajusté'!K60/'Historique ajusté'!K59-1))</f>
        <v/>
      </c>
      <c r="L60" s="34">
        <f>IF(OR('Historique ajusté'!L60="",'Historique ajusté'!L59=""),"",IF(ABS(LN('Historique ajusté'!L60/'Historique ajusté'!L59))&gt;Seuil_aberrant,"",'Historique ajusté'!L60/'Historique ajusté'!L59-1))</f>
        <v/>
      </c>
      <c r="M60" s="34">
        <f>IF(OR('Historique ajusté'!M60="",'Historique ajusté'!M59=""),"",IF(ABS(LN('Historique ajusté'!M60/'Historique ajusté'!M59))&gt;Seuil_aberrant,"",'Historique ajusté'!M60/'Historique ajusté'!M59-1))</f>
        <v/>
      </c>
      <c r="N60" s="34">
        <f>IF(OR('Historique ajusté'!N60="",'Historique ajusté'!N59=""),"",IF(ABS(LN('Historique ajusté'!N60/'Historique ajusté'!N59))&gt;Seuil_aberrant,"",'Historique ajusté'!N60/'Historique ajusté'!N59-1))</f>
        <v/>
      </c>
      <c r="O60" s="34">
        <f>IF(OR('Historique ajusté'!O60="",'Historique ajusté'!O59=""),"",IF(ABS(LN('Historique ajusté'!O60/'Historique ajusté'!O59))&gt;Seuil_aberrant,"",'Historique ajusté'!O60/'Historique ajusté'!O59-1))</f>
        <v/>
      </c>
      <c r="P60" s="34">
        <f>IF(OR('Historique ajusté'!P60="",'Historique ajusté'!P59=""),"",IF(ABS(LN('Historique ajusté'!P60/'Historique ajusté'!P59))&gt;Seuil_aberrant,"",'Historique ajusté'!P60/'Historique ajusté'!P59-1))</f>
        <v/>
      </c>
    </row>
    <row r="61">
      <c r="B61" s="32">
        <f>'Historique ajusté'!B61</f>
        <v/>
      </c>
      <c r="C61" s="34">
        <f>IF(OR('Historique ajusté'!C61="",'Historique ajusté'!C60=""),"",IF(ABS(LN('Historique ajusté'!C61/'Historique ajusté'!C60))&gt;Seuil_aberrant,"",'Historique ajusté'!C61/'Historique ajusté'!C60-1))</f>
        <v/>
      </c>
      <c r="D61" s="34">
        <f>IF(OR('Historique ajusté'!D61="",'Historique ajusté'!D60=""),"",IF(ABS(LN('Historique ajusté'!D61/'Historique ajusté'!D60))&gt;Seuil_aberrant,"",'Historique ajusté'!D61/'Historique ajusté'!D60-1))</f>
        <v/>
      </c>
      <c r="E61" s="34">
        <f>IF(OR('Historique ajusté'!E61="",'Historique ajusté'!E60=""),"",IF(ABS(LN('Historique ajusté'!E61/'Historique ajusté'!E60))&gt;Seuil_aberrant,"",'Historique ajusté'!E61/'Historique ajusté'!E60-1))</f>
        <v/>
      </c>
      <c r="F61" s="34">
        <f>IF(OR('Historique ajusté'!F61="",'Historique ajusté'!F60=""),"",IF(ABS(LN('Historique ajusté'!F61/'Historique ajusté'!F60))&gt;Seuil_aberrant,"",'Historique ajusté'!F61/'Historique ajusté'!F60-1))</f>
        <v/>
      </c>
      <c r="G61" s="34">
        <f>IF(OR('Historique ajusté'!G61="",'Historique ajusté'!G60=""),"",IF(ABS(LN('Historique ajusté'!G61/'Historique ajusté'!G60))&gt;Seuil_aberrant,"",'Historique ajusté'!G61/'Historique ajusté'!G60-1))</f>
        <v/>
      </c>
      <c r="H61" s="34">
        <f>IF(OR('Historique ajusté'!H61="",'Historique ajusté'!H60=""),"",IF(ABS(LN('Historique ajusté'!H61/'Historique ajusté'!H60))&gt;Seuil_aberrant,"",'Historique ajusté'!H61/'Historique ajusté'!H60-1))</f>
        <v/>
      </c>
      <c r="I61" s="34">
        <f>IF(OR('Historique ajusté'!I61="",'Historique ajusté'!I60=""),"",IF(ABS(LN('Historique ajusté'!I61/'Historique ajusté'!I60))&gt;Seuil_aberrant,"",'Historique ajusté'!I61/'Historique ajusté'!I60-1))</f>
        <v/>
      </c>
      <c r="J61" s="34">
        <f>IF(OR('Historique ajusté'!J61="",'Historique ajusté'!J60=""),"",IF(ABS(LN('Historique ajusté'!J61/'Historique ajusté'!J60))&gt;Seuil_aberrant,"",'Historique ajusté'!J61/'Historique ajusté'!J60-1))</f>
        <v/>
      </c>
      <c r="K61" s="34">
        <f>IF(OR('Historique ajusté'!K61="",'Historique ajusté'!K60=""),"",IF(ABS(LN('Historique ajusté'!K61/'Historique ajusté'!K60))&gt;Seuil_aberrant,"",'Historique ajusté'!K61/'Historique ajusté'!K60-1))</f>
        <v/>
      </c>
      <c r="L61" s="34">
        <f>IF(OR('Historique ajusté'!L61="",'Historique ajusté'!L60=""),"",IF(ABS(LN('Historique ajusté'!L61/'Historique ajusté'!L60))&gt;Seuil_aberrant,"",'Historique ajusté'!L61/'Historique ajusté'!L60-1))</f>
        <v/>
      </c>
      <c r="M61" s="34">
        <f>IF(OR('Historique ajusté'!M61="",'Historique ajusté'!M60=""),"",IF(ABS(LN('Historique ajusté'!M61/'Historique ajusté'!M60))&gt;Seuil_aberrant,"",'Historique ajusté'!M61/'Historique ajusté'!M60-1))</f>
        <v/>
      </c>
      <c r="N61" s="34">
        <f>IF(OR('Historique ajusté'!N61="",'Historique ajusté'!N60=""),"",IF(ABS(LN('Historique ajusté'!N61/'Historique ajusté'!N60))&gt;Seuil_aberrant,"",'Historique ajusté'!N61/'Historique ajusté'!N60-1))</f>
        <v/>
      </c>
      <c r="O61" s="34">
        <f>IF(OR('Historique ajusté'!O61="",'Historique ajusté'!O60=""),"",IF(ABS(LN('Historique ajusté'!O61/'Historique ajusté'!O60))&gt;Seuil_aberrant,"",'Historique ajusté'!O61/'Historique ajusté'!O60-1))</f>
        <v/>
      </c>
      <c r="P61" s="34">
        <f>IF(OR('Historique ajusté'!P61="",'Historique ajusté'!P60=""),"",IF(ABS(LN('Historique ajusté'!P61/'Historique ajusté'!P60))&gt;Seuil_aberrant,"",'Historique ajusté'!P61/'Historique ajusté'!P60-1))</f>
        <v/>
      </c>
    </row>
    <row r="62">
      <c r="B62" s="32">
        <f>'Historique ajusté'!B62</f>
        <v/>
      </c>
      <c r="C62" s="34">
        <f>IF(OR('Historique ajusté'!C62="",'Historique ajusté'!C61=""),"",IF(ABS(LN('Historique ajusté'!C62/'Historique ajusté'!C61))&gt;Seuil_aberrant,"",'Historique ajusté'!C62/'Historique ajusté'!C61-1))</f>
        <v/>
      </c>
      <c r="D62" s="34">
        <f>IF(OR('Historique ajusté'!D62="",'Historique ajusté'!D61=""),"",IF(ABS(LN('Historique ajusté'!D62/'Historique ajusté'!D61))&gt;Seuil_aberrant,"",'Historique ajusté'!D62/'Historique ajusté'!D61-1))</f>
        <v/>
      </c>
      <c r="E62" s="34">
        <f>IF(OR('Historique ajusté'!E62="",'Historique ajusté'!E61=""),"",IF(ABS(LN('Historique ajusté'!E62/'Historique ajusté'!E61))&gt;Seuil_aberrant,"",'Historique ajusté'!E62/'Historique ajusté'!E61-1))</f>
        <v/>
      </c>
      <c r="F62" s="34">
        <f>IF(OR('Historique ajusté'!F62="",'Historique ajusté'!F61=""),"",IF(ABS(LN('Historique ajusté'!F62/'Historique ajusté'!F61))&gt;Seuil_aberrant,"",'Historique ajusté'!F62/'Historique ajusté'!F61-1))</f>
        <v/>
      </c>
      <c r="G62" s="34">
        <f>IF(OR('Historique ajusté'!G62="",'Historique ajusté'!G61=""),"",IF(ABS(LN('Historique ajusté'!G62/'Historique ajusté'!G61))&gt;Seuil_aberrant,"",'Historique ajusté'!G62/'Historique ajusté'!G61-1))</f>
        <v/>
      </c>
      <c r="H62" s="34">
        <f>IF(OR('Historique ajusté'!H62="",'Historique ajusté'!H61=""),"",IF(ABS(LN('Historique ajusté'!H62/'Historique ajusté'!H61))&gt;Seuil_aberrant,"",'Historique ajusté'!H62/'Historique ajusté'!H61-1))</f>
        <v/>
      </c>
      <c r="I62" s="34">
        <f>IF(OR('Historique ajusté'!I62="",'Historique ajusté'!I61=""),"",IF(ABS(LN('Historique ajusté'!I62/'Historique ajusté'!I61))&gt;Seuil_aberrant,"",'Historique ajusté'!I62/'Historique ajusté'!I61-1))</f>
        <v/>
      </c>
      <c r="J62" s="34">
        <f>IF(OR('Historique ajusté'!J62="",'Historique ajusté'!J61=""),"",IF(ABS(LN('Historique ajusté'!J62/'Historique ajusté'!J61))&gt;Seuil_aberrant,"",'Historique ajusté'!J62/'Historique ajusté'!J61-1))</f>
        <v/>
      </c>
      <c r="K62" s="34">
        <f>IF(OR('Historique ajusté'!K62="",'Historique ajusté'!K61=""),"",IF(ABS(LN('Historique ajusté'!K62/'Historique ajusté'!K61))&gt;Seuil_aberrant,"",'Historique ajusté'!K62/'Historique ajusté'!K61-1))</f>
        <v/>
      </c>
      <c r="L62" s="34">
        <f>IF(OR('Historique ajusté'!L62="",'Historique ajusté'!L61=""),"",IF(ABS(LN('Historique ajusté'!L62/'Historique ajusté'!L61))&gt;Seuil_aberrant,"",'Historique ajusté'!L62/'Historique ajusté'!L61-1))</f>
        <v/>
      </c>
      <c r="M62" s="34">
        <f>IF(OR('Historique ajusté'!M62="",'Historique ajusté'!M61=""),"",IF(ABS(LN('Historique ajusté'!M62/'Historique ajusté'!M61))&gt;Seuil_aberrant,"",'Historique ajusté'!M62/'Historique ajusté'!M61-1))</f>
        <v/>
      </c>
      <c r="N62" s="34">
        <f>IF(OR('Historique ajusté'!N62="",'Historique ajusté'!N61=""),"",IF(ABS(LN('Historique ajusté'!N62/'Historique ajusté'!N61))&gt;Seuil_aberrant,"",'Historique ajusté'!N62/'Historique ajusté'!N61-1))</f>
        <v/>
      </c>
      <c r="O62" s="34">
        <f>IF(OR('Historique ajusté'!O62="",'Historique ajusté'!O61=""),"",IF(ABS(LN('Historique ajusté'!O62/'Historique ajusté'!O61))&gt;Seuil_aberrant,"",'Historique ajusté'!O62/'Historique ajusté'!O61-1))</f>
        <v/>
      </c>
      <c r="P62" s="34">
        <f>IF(OR('Historique ajusté'!P62="",'Historique ajusté'!P61=""),"",IF(ABS(LN('Historique ajusté'!P62/'Historique ajusté'!P61))&gt;Seuil_aberrant,"",'Historique ajusté'!P62/'Historique ajusté'!P61-1))</f>
        <v/>
      </c>
    </row>
    <row r="63">
      <c r="B63" s="32">
        <f>'Historique ajusté'!B63</f>
        <v/>
      </c>
      <c r="C63" s="34">
        <f>IF(OR('Historique ajusté'!C63="",'Historique ajusté'!C62=""),"",IF(ABS(LN('Historique ajusté'!C63/'Historique ajusté'!C62))&gt;Seuil_aberrant,"",'Historique ajusté'!C63/'Historique ajusté'!C62-1))</f>
        <v/>
      </c>
      <c r="D63" s="34">
        <f>IF(OR('Historique ajusté'!D63="",'Historique ajusté'!D62=""),"",IF(ABS(LN('Historique ajusté'!D63/'Historique ajusté'!D62))&gt;Seuil_aberrant,"",'Historique ajusté'!D63/'Historique ajusté'!D62-1))</f>
        <v/>
      </c>
      <c r="E63" s="34">
        <f>IF(OR('Historique ajusté'!E63="",'Historique ajusté'!E62=""),"",IF(ABS(LN('Historique ajusté'!E63/'Historique ajusté'!E62))&gt;Seuil_aberrant,"",'Historique ajusté'!E63/'Historique ajusté'!E62-1))</f>
        <v/>
      </c>
      <c r="F63" s="34">
        <f>IF(OR('Historique ajusté'!F63="",'Historique ajusté'!F62=""),"",IF(ABS(LN('Historique ajusté'!F63/'Historique ajusté'!F62))&gt;Seuil_aberrant,"",'Historique ajusté'!F63/'Historique ajusté'!F62-1))</f>
        <v/>
      </c>
      <c r="G63" s="34">
        <f>IF(OR('Historique ajusté'!G63="",'Historique ajusté'!G62=""),"",IF(ABS(LN('Historique ajusté'!G63/'Historique ajusté'!G62))&gt;Seuil_aberrant,"",'Historique ajusté'!G63/'Historique ajusté'!G62-1))</f>
        <v/>
      </c>
      <c r="H63" s="34">
        <f>IF(OR('Historique ajusté'!H63="",'Historique ajusté'!H62=""),"",IF(ABS(LN('Historique ajusté'!H63/'Historique ajusté'!H62))&gt;Seuil_aberrant,"",'Historique ajusté'!H63/'Historique ajusté'!H62-1))</f>
        <v/>
      </c>
      <c r="I63" s="34">
        <f>IF(OR('Historique ajusté'!I63="",'Historique ajusté'!I62=""),"",IF(ABS(LN('Historique ajusté'!I63/'Historique ajusté'!I62))&gt;Seuil_aberrant,"",'Historique ajusté'!I63/'Historique ajusté'!I62-1))</f>
        <v/>
      </c>
      <c r="J63" s="34">
        <f>IF(OR('Historique ajusté'!J63="",'Historique ajusté'!J62=""),"",IF(ABS(LN('Historique ajusté'!J63/'Historique ajusté'!J62))&gt;Seuil_aberrant,"",'Historique ajusté'!J63/'Historique ajusté'!J62-1))</f>
        <v/>
      </c>
      <c r="K63" s="34">
        <f>IF(OR('Historique ajusté'!K63="",'Historique ajusté'!K62=""),"",IF(ABS(LN('Historique ajusté'!K63/'Historique ajusté'!K62))&gt;Seuil_aberrant,"",'Historique ajusté'!K63/'Historique ajusté'!K62-1))</f>
        <v/>
      </c>
      <c r="L63" s="34">
        <f>IF(OR('Historique ajusté'!L63="",'Historique ajusté'!L62=""),"",IF(ABS(LN('Historique ajusté'!L63/'Historique ajusté'!L62))&gt;Seuil_aberrant,"",'Historique ajusté'!L63/'Historique ajusté'!L62-1))</f>
        <v/>
      </c>
      <c r="M63" s="34">
        <f>IF(OR('Historique ajusté'!M63="",'Historique ajusté'!M62=""),"",IF(ABS(LN('Historique ajusté'!M63/'Historique ajusté'!M62))&gt;Seuil_aberrant,"",'Historique ajusté'!M63/'Historique ajusté'!M62-1))</f>
        <v/>
      </c>
      <c r="N63" s="34">
        <f>IF(OR('Historique ajusté'!N63="",'Historique ajusté'!N62=""),"",IF(ABS(LN('Historique ajusté'!N63/'Historique ajusté'!N62))&gt;Seuil_aberrant,"",'Historique ajusté'!N63/'Historique ajusté'!N62-1))</f>
        <v/>
      </c>
      <c r="O63" s="34">
        <f>IF(OR('Historique ajusté'!O63="",'Historique ajusté'!O62=""),"",IF(ABS(LN('Historique ajusté'!O63/'Historique ajusté'!O62))&gt;Seuil_aberrant,"",'Historique ajusté'!O63/'Historique ajusté'!O62-1))</f>
        <v/>
      </c>
      <c r="P63" s="34">
        <f>IF(OR('Historique ajusté'!P63="",'Historique ajusté'!P62=""),"",IF(ABS(LN('Historique ajusté'!P63/'Historique ajusté'!P62))&gt;Seuil_aberrant,"",'Historique ajusté'!P63/'Historique ajusté'!P62-1))</f>
        <v/>
      </c>
    </row>
    <row r="64">
      <c r="B64" s="32">
        <f>'Historique ajusté'!B64</f>
        <v/>
      </c>
      <c r="C64" s="34">
        <f>IF(OR('Historique ajusté'!C64="",'Historique ajusté'!C63=""),"",IF(ABS(LN('Historique ajusté'!C64/'Historique ajusté'!C63))&gt;Seuil_aberrant,"",'Historique ajusté'!C64/'Historique ajusté'!C63-1))</f>
        <v/>
      </c>
      <c r="D64" s="34">
        <f>IF(OR('Historique ajusté'!D64="",'Historique ajusté'!D63=""),"",IF(ABS(LN('Historique ajusté'!D64/'Historique ajusté'!D63))&gt;Seuil_aberrant,"",'Historique ajusté'!D64/'Historique ajusté'!D63-1))</f>
        <v/>
      </c>
      <c r="E64" s="34">
        <f>IF(OR('Historique ajusté'!E64="",'Historique ajusté'!E63=""),"",IF(ABS(LN('Historique ajusté'!E64/'Historique ajusté'!E63))&gt;Seuil_aberrant,"",'Historique ajusté'!E64/'Historique ajusté'!E63-1))</f>
        <v/>
      </c>
      <c r="F64" s="34">
        <f>IF(OR('Historique ajusté'!F64="",'Historique ajusté'!F63=""),"",IF(ABS(LN('Historique ajusté'!F64/'Historique ajusté'!F63))&gt;Seuil_aberrant,"",'Historique ajusté'!F64/'Historique ajusté'!F63-1))</f>
        <v/>
      </c>
      <c r="G64" s="34">
        <f>IF(OR('Historique ajusté'!G64="",'Historique ajusté'!G63=""),"",IF(ABS(LN('Historique ajusté'!G64/'Historique ajusté'!G63))&gt;Seuil_aberrant,"",'Historique ajusté'!G64/'Historique ajusté'!G63-1))</f>
        <v/>
      </c>
      <c r="H64" s="34">
        <f>IF(OR('Historique ajusté'!H64="",'Historique ajusté'!H63=""),"",IF(ABS(LN('Historique ajusté'!H64/'Historique ajusté'!H63))&gt;Seuil_aberrant,"",'Historique ajusté'!H64/'Historique ajusté'!H63-1))</f>
        <v/>
      </c>
      <c r="I64" s="34">
        <f>IF(OR('Historique ajusté'!I64="",'Historique ajusté'!I63=""),"",IF(ABS(LN('Historique ajusté'!I64/'Historique ajusté'!I63))&gt;Seuil_aberrant,"",'Historique ajusté'!I64/'Historique ajusté'!I63-1))</f>
        <v/>
      </c>
      <c r="J64" s="34">
        <f>IF(OR('Historique ajusté'!J64="",'Historique ajusté'!J63=""),"",IF(ABS(LN('Historique ajusté'!J64/'Historique ajusté'!J63))&gt;Seuil_aberrant,"",'Historique ajusté'!J64/'Historique ajusté'!J63-1))</f>
        <v/>
      </c>
      <c r="K64" s="34">
        <f>IF(OR('Historique ajusté'!K64="",'Historique ajusté'!K63=""),"",IF(ABS(LN('Historique ajusté'!K64/'Historique ajusté'!K63))&gt;Seuil_aberrant,"",'Historique ajusté'!K64/'Historique ajusté'!K63-1))</f>
        <v/>
      </c>
      <c r="L64" s="34">
        <f>IF(OR('Historique ajusté'!L64="",'Historique ajusté'!L63=""),"",IF(ABS(LN('Historique ajusté'!L64/'Historique ajusté'!L63))&gt;Seuil_aberrant,"",'Historique ajusté'!L64/'Historique ajusté'!L63-1))</f>
        <v/>
      </c>
      <c r="M64" s="34">
        <f>IF(OR('Historique ajusté'!M64="",'Historique ajusté'!M63=""),"",IF(ABS(LN('Historique ajusté'!M64/'Historique ajusté'!M63))&gt;Seuil_aberrant,"",'Historique ajusté'!M64/'Historique ajusté'!M63-1))</f>
        <v/>
      </c>
      <c r="N64" s="34">
        <f>IF(OR('Historique ajusté'!N64="",'Historique ajusté'!N63=""),"",IF(ABS(LN('Historique ajusté'!N64/'Historique ajusté'!N63))&gt;Seuil_aberrant,"",'Historique ajusté'!N64/'Historique ajusté'!N63-1))</f>
        <v/>
      </c>
      <c r="O64" s="34">
        <f>IF(OR('Historique ajusté'!O64="",'Historique ajusté'!O63=""),"",IF(ABS(LN('Historique ajusté'!O64/'Historique ajusté'!O63))&gt;Seuil_aberrant,"",'Historique ajusté'!O64/'Historique ajusté'!O63-1))</f>
        <v/>
      </c>
      <c r="P64" s="34">
        <f>IF(OR('Historique ajusté'!P64="",'Historique ajusté'!P63=""),"",IF(ABS(LN('Historique ajusté'!P64/'Historique ajusté'!P63))&gt;Seuil_aberrant,"",'Historique ajusté'!P64/'Historique ajusté'!P63-1))</f>
        <v/>
      </c>
    </row>
    <row r="65">
      <c r="B65" s="32">
        <f>'Historique ajusté'!B65</f>
        <v/>
      </c>
      <c r="C65" s="34">
        <f>IF(OR('Historique ajusté'!C65="",'Historique ajusté'!C64=""),"",IF(ABS(LN('Historique ajusté'!C65/'Historique ajusté'!C64))&gt;Seuil_aberrant,"",'Historique ajusté'!C65/'Historique ajusté'!C64-1))</f>
        <v/>
      </c>
      <c r="D65" s="34">
        <f>IF(OR('Historique ajusté'!D65="",'Historique ajusté'!D64=""),"",IF(ABS(LN('Historique ajusté'!D65/'Historique ajusté'!D64))&gt;Seuil_aberrant,"",'Historique ajusté'!D65/'Historique ajusté'!D64-1))</f>
        <v/>
      </c>
      <c r="E65" s="34">
        <f>IF(OR('Historique ajusté'!E65="",'Historique ajusté'!E64=""),"",IF(ABS(LN('Historique ajusté'!E65/'Historique ajusté'!E64))&gt;Seuil_aberrant,"",'Historique ajusté'!E65/'Historique ajusté'!E64-1))</f>
        <v/>
      </c>
      <c r="F65" s="34">
        <f>IF(OR('Historique ajusté'!F65="",'Historique ajusté'!F64=""),"",IF(ABS(LN('Historique ajusté'!F65/'Historique ajusté'!F64))&gt;Seuil_aberrant,"",'Historique ajusté'!F65/'Historique ajusté'!F64-1))</f>
        <v/>
      </c>
      <c r="G65" s="34">
        <f>IF(OR('Historique ajusté'!G65="",'Historique ajusté'!G64=""),"",IF(ABS(LN('Historique ajusté'!G65/'Historique ajusté'!G64))&gt;Seuil_aberrant,"",'Historique ajusté'!G65/'Historique ajusté'!G64-1))</f>
        <v/>
      </c>
      <c r="H65" s="34">
        <f>IF(OR('Historique ajusté'!H65="",'Historique ajusté'!H64=""),"",IF(ABS(LN('Historique ajusté'!H65/'Historique ajusté'!H64))&gt;Seuil_aberrant,"",'Historique ajusté'!H65/'Historique ajusté'!H64-1))</f>
        <v/>
      </c>
      <c r="I65" s="34">
        <f>IF(OR('Historique ajusté'!I65="",'Historique ajusté'!I64=""),"",IF(ABS(LN('Historique ajusté'!I65/'Historique ajusté'!I64))&gt;Seuil_aberrant,"",'Historique ajusté'!I65/'Historique ajusté'!I64-1))</f>
        <v/>
      </c>
      <c r="J65" s="34">
        <f>IF(OR('Historique ajusté'!J65="",'Historique ajusté'!J64=""),"",IF(ABS(LN('Historique ajusté'!J65/'Historique ajusté'!J64))&gt;Seuil_aberrant,"",'Historique ajusté'!J65/'Historique ajusté'!J64-1))</f>
        <v/>
      </c>
      <c r="K65" s="34">
        <f>IF(OR('Historique ajusté'!K65="",'Historique ajusté'!K64=""),"",IF(ABS(LN('Historique ajusté'!K65/'Historique ajusté'!K64))&gt;Seuil_aberrant,"",'Historique ajusté'!K65/'Historique ajusté'!K64-1))</f>
        <v/>
      </c>
      <c r="L65" s="34">
        <f>IF(OR('Historique ajusté'!L65="",'Historique ajusté'!L64=""),"",IF(ABS(LN('Historique ajusté'!L65/'Historique ajusté'!L64))&gt;Seuil_aberrant,"",'Historique ajusté'!L65/'Historique ajusté'!L64-1))</f>
        <v/>
      </c>
      <c r="M65" s="34">
        <f>IF(OR('Historique ajusté'!M65="",'Historique ajusté'!M64=""),"",IF(ABS(LN('Historique ajusté'!M65/'Historique ajusté'!M64))&gt;Seuil_aberrant,"",'Historique ajusté'!M65/'Historique ajusté'!M64-1))</f>
        <v/>
      </c>
      <c r="N65" s="34">
        <f>IF(OR('Historique ajusté'!N65="",'Historique ajusté'!N64=""),"",IF(ABS(LN('Historique ajusté'!N65/'Historique ajusté'!N64))&gt;Seuil_aberrant,"",'Historique ajusté'!N65/'Historique ajusté'!N64-1))</f>
        <v/>
      </c>
      <c r="O65" s="34">
        <f>IF(OR('Historique ajusté'!O65="",'Historique ajusté'!O64=""),"",IF(ABS(LN('Historique ajusté'!O65/'Historique ajusté'!O64))&gt;Seuil_aberrant,"",'Historique ajusté'!O65/'Historique ajusté'!O64-1))</f>
        <v/>
      </c>
      <c r="P65" s="34">
        <f>IF(OR('Historique ajusté'!P65="",'Historique ajusté'!P64=""),"",IF(ABS(LN('Historique ajusté'!P65/'Historique ajusté'!P64))&gt;Seuil_aberrant,"",'Historique ajusté'!P65/'Historique ajusté'!P64-1))</f>
        <v/>
      </c>
    </row>
    <row r="66">
      <c r="B66" s="32">
        <f>'Historique ajusté'!B66</f>
        <v/>
      </c>
      <c r="C66" s="34">
        <f>IF(OR('Historique ajusté'!C66="",'Historique ajusté'!C65=""),"",IF(ABS(LN('Historique ajusté'!C66/'Historique ajusté'!C65))&gt;Seuil_aberrant,"",'Historique ajusté'!C66/'Historique ajusté'!C65-1))</f>
        <v/>
      </c>
      <c r="D66" s="34">
        <f>IF(OR('Historique ajusté'!D66="",'Historique ajusté'!D65=""),"",IF(ABS(LN('Historique ajusté'!D66/'Historique ajusté'!D65))&gt;Seuil_aberrant,"",'Historique ajusté'!D66/'Historique ajusté'!D65-1))</f>
        <v/>
      </c>
      <c r="E66" s="34">
        <f>IF(OR('Historique ajusté'!E66="",'Historique ajusté'!E65=""),"",IF(ABS(LN('Historique ajusté'!E66/'Historique ajusté'!E65))&gt;Seuil_aberrant,"",'Historique ajusté'!E66/'Historique ajusté'!E65-1))</f>
        <v/>
      </c>
      <c r="F66" s="34">
        <f>IF(OR('Historique ajusté'!F66="",'Historique ajusté'!F65=""),"",IF(ABS(LN('Historique ajusté'!F66/'Historique ajusté'!F65))&gt;Seuil_aberrant,"",'Historique ajusté'!F66/'Historique ajusté'!F65-1))</f>
        <v/>
      </c>
      <c r="G66" s="34">
        <f>IF(OR('Historique ajusté'!G66="",'Historique ajusté'!G65=""),"",IF(ABS(LN('Historique ajusté'!G66/'Historique ajusté'!G65))&gt;Seuil_aberrant,"",'Historique ajusté'!G66/'Historique ajusté'!G65-1))</f>
        <v/>
      </c>
      <c r="H66" s="34">
        <f>IF(OR('Historique ajusté'!H66="",'Historique ajusté'!H65=""),"",IF(ABS(LN('Historique ajusté'!H66/'Historique ajusté'!H65))&gt;Seuil_aberrant,"",'Historique ajusté'!H66/'Historique ajusté'!H65-1))</f>
        <v/>
      </c>
      <c r="I66" s="34">
        <f>IF(OR('Historique ajusté'!I66="",'Historique ajusté'!I65=""),"",IF(ABS(LN('Historique ajusté'!I66/'Historique ajusté'!I65))&gt;Seuil_aberrant,"",'Historique ajusté'!I66/'Historique ajusté'!I65-1))</f>
        <v/>
      </c>
      <c r="J66" s="34">
        <f>IF(OR('Historique ajusté'!J66="",'Historique ajusté'!J65=""),"",IF(ABS(LN('Historique ajusté'!J66/'Historique ajusté'!J65))&gt;Seuil_aberrant,"",'Historique ajusté'!J66/'Historique ajusté'!J65-1))</f>
        <v/>
      </c>
      <c r="K66" s="34">
        <f>IF(OR('Historique ajusté'!K66="",'Historique ajusté'!K65=""),"",IF(ABS(LN('Historique ajusté'!K66/'Historique ajusté'!K65))&gt;Seuil_aberrant,"",'Historique ajusté'!K66/'Historique ajusté'!K65-1))</f>
        <v/>
      </c>
      <c r="L66" s="34">
        <f>IF(OR('Historique ajusté'!L66="",'Historique ajusté'!L65=""),"",IF(ABS(LN('Historique ajusté'!L66/'Historique ajusté'!L65))&gt;Seuil_aberrant,"",'Historique ajusté'!L66/'Historique ajusté'!L65-1))</f>
        <v/>
      </c>
      <c r="M66" s="34">
        <f>IF(OR('Historique ajusté'!M66="",'Historique ajusté'!M65=""),"",IF(ABS(LN('Historique ajusté'!M66/'Historique ajusté'!M65))&gt;Seuil_aberrant,"",'Historique ajusté'!M66/'Historique ajusté'!M65-1))</f>
        <v/>
      </c>
      <c r="N66" s="34">
        <f>IF(OR('Historique ajusté'!N66="",'Historique ajusté'!N65=""),"",IF(ABS(LN('Historique ajusté'!N66/'Historique ajusté'!N65))&gt;Seuil_aberrant,"",'Historique ajusté'!N66/'Historique ajusté'!N65-1))</f>
        <v/>
      </c>
      <c r="O66" s="34">
        <f>IF(OR('Historique ajusté'!O66="",'Historique ajusté'!O65=""),"",IF(ABS(LN('Historique ajusté'!O66/'Historique ajusté'!O65))&gt;Seuil_aberrant,"",'Historique ajusté'!O66/'Historique ajusté'!O65-1))</f>
        <v/>
      </c>
      <c r="P66" s="34">
        <f>IF(OR('Historique ajusté'!P66="",'Historique ajusté'!P65=""),"",IF(ABS(LN('Historique ajusté'!P66/'Historique ajusté'!P65))&gt;Seuil_aberrant,"",'Historique ajusté'!P66/'Historique ajusté'!P65-1))</f>
        <v/>
      </c>
    </row>
    <row r="67">
      <c r="B67" s="32">
        <f>'Historique ajusté'!B67</f>
        <v/>
      </c>
      <c r="C67" s="34">
        <f>IF(OR('Historique ajusté'!C67="",'Historique ajusté'!C66=""),"",IF(ABS(LN('Historique ajusté'!C67/'Historique ajusté'!C66))&gt;Seuil_aberrant,"",'Historique ajusté'!C67/'Historique ajusté'!C66-1))</f>
        <v/>
      </c>
      <c r="D67" s="34">
        <f>IF(OR('Historique ajusté'!D67="",'Historique ajusté'!D66=""),"",IF(ABS(LN('Historique ajusté'!D67/'Historique ajusté'!D66))&gt;Seuil_aberrant,"",'Historique ajusté'!D67/'Historique ajusté'!D66-1))</f>
        <v/>
      </c>
      <c r="E67" s="34">
        <f>IF(OR('Historique ajusté'!E67="",'Historique ajusté'!E66=""),"",IF(ABS(LN('Historique ajusté'!E67/'Historique ajusté'!E66))&gt;Seuil_aberrant,"",'Historique ajusté'!E67/'Historique ajusté'!E66-1))</f>
        <v/>
      </c>
      <c r="F67" s="34">
        <f>IF(OR('Historique ajusté'!F67="",'Historique ajusté'!F66=""),"",IF(ABS(LN('Historique ajusté'!F67/'Historique ajusté'!F66))&gt;Seuil_aberrant,"",'Historique ajusté'!F67/'Historique ajusté'!F66-1))</f>
        <v/>
      </c>
      <c r="G67" s="34">
        <f>IF(OR('Historique ajusté'!G67="",'Historique ajusté'!G66=""),"",IF(ABS(LN('Historique ajusté'!G67/'Historique ajusté'!G66))&gt;Seuil_aberrant,"",'Historique ajusté'!G67/'Historique ajusté'!G66-1))</f>
        <v/>
      </c>
      <c r="H67" s="34">
        <f>IF(OR('Historique ajusté'!H67="",'Historique ajusté'!H66=""),"",IF(ABS(LN('Historique ajusté'!H67/'Historique ajusté'!H66))&gt;Seuil_aberrant,"",'Historique ajusté'!H67/'Historique ajusté'!H66-1))</f>
        <v/>
      </c>
      <c r="I67" s="34">
        <f>IF(OR('Historique ajusté'!I67="",'Historique ajusté'!I66=""),"",IF(ABS(LN('Historique ajusté'!I67/'Historique ajusté'!I66))&gt;Seuil_aberrant,"",'Historique ajusté'!I67/'Historique ajusté'!I66-1))</f>
        <v/>
      </c>
      <c r="J67" s="34">
        <f>IF(OR('Historique ajusté'!J67="",'Historique ajusté'!J66=""),"",IF(ABS(LN('Historique ajusté'!J67/'Historique ajusté'!J66))&gt;Seuil_aberrant,"",'Historique ajusté'!J67/'Historique ajusté'!J66-1))</f>
        <v/>
      </c>
      <c r="K67" s="34">
        <f>IF(OR('Historique ajusté'!K67="",'Historique ajusté'!K66=""),"",IF(ABS(LN('Historique ajusté'!K67/'Historique ajusté'!K66))&gt;Seuil_aberrant,"",'Historique ajusté'!K67/'Historique ajusté'!K66-1))</f>
        <v/>
      </c>
      <c r="L67" s="34">
        <f>IF(OR('Historique ajusté'!L67="",'Historique ajusté'!L66=""),"",IF(ABS(LN('Historique ajusté'!L67/'Historique ajusté'!L66))&gt;Seuil_aberrant,"",'Historique ajusté'!L67/'Historique ajusté'!L66-1))</f>
        <v/>
      </c>
      <c r="M67" s="34">
        <f>IF(OR('Historique ajusté'!M67="",'Historique ajusté'!M66=""),"",IF(ABS(LN('Historique ajusté'!M67/'Historique ajusté'!M66))&gt;Seuil_aberrant,"",'Historique ajusté'!M67/'Historique ajusté'!M66-1))</f>
        <v/>
      </c>
      <c r="N67" s="34">
        <f>IF(OR('Historique ajusté'!N67="",'Historique ajusté'!N66=""),"",IF(ABS(LN('Historique ajusté'!N67/'Historique ajusté'!N66))&gt;Seuil_aberrant,"",'Historique ajusté'!N67/'Historique ajusté'!N66-1))</f>
        <v/>
      </c>
      <c r="O67" s="34">
        <f>IF(OR('Historique ajusté'!O67="",'Historique ajusté'!O66=""),"",IF(ABS(LN('Historique ajusté'!O67/'Historique ajusté'!O66))&gt;Seuil_aberrant,"",'Historique ajusté'!O67/'Historique ajusté'!O66-1))</f>
        <v/>
      </c>
      <c r="P67" s="34">
        <f>IF(OR('Historique ajusté'!P67="",'Historique ajusté'!P66=""),"",IF(ABS(LN('Historique ajusté'!P67/'Historique ajusté'!P66))&gt;Seuil_aberrant,"",'Historique ajusté'!P67/'Historique ajusté'!P66-1))</f>
        <v/>
      </c>
    </row>
    <row r="68">
      <c r="B68" s="32">
        <f>'Historique ajusté'!B68</f>
        <v/>
      </c>
      <c r="C68" s="34">
        <f>IF(OR('Historique ajusté'!C68="",'Historique ajusté'!C67=""),"",IF(ABS(LN('Historique ajusté'!C68/'Historique ajusté'!C67))&gt;Seuil_aberrant,"",'Historique ajusté'!C68/'Historique ajusté'!C67-1))</f>
        <v/>
      </c>
      <c r="D68" s="34">
        <f>IF(OR('Historique ajusté'!D68="",'Historique ajusté'!D67=""),"",IF(ABS(LN('Historique ajusté'!D68/'Historique ajusté'!D67))&gt;Seuil_aberrant,"",'Historique ajusté'!D68/'Historique ajusté'!D67-1))</f>
        <v/>
      </c>
      <c r="E68" s="34">
        <f>IF(OR('Historique ajusté'!E68="",'Historique ajusté'!E67=""),"",IF(ABS(LN('Historique ajusté'!E68/'Historique ajusté'!E67))&gt;Seuil_aberrant,"",'Historique ajusté'!E68/'Historique ajusté'!E67-1))</f>
        <v/>
      </c>
      <c r="F68" s="34">
        <f>IF(OR('Historique ajusté'!F68="",'Historique ajusté'!F67=""),"",IF(ABS(LN('Historique ajusté'!F68/'Historique ajusté'!F67))&gt;Seuil_aberrant,"",'Historique ajusté'!F68/'Historique ajusté'!F67-1))</f>
        <v/>
      </c>
      <c r="G68" s="34">
        <f>IF(OR('Historique ajusté'!G68="",'Historique ajusté'!G67=""),"",IF(ABS(LN('Historique ajusté'!G68/'Historique ajusté'!G67))&gt;Seuil_aberrant,"",'Historique ajusté'!G68/'Historique ajusté'!G67-1))</f>
        <v/>
      </c>
      <c r="H68" s="34">
        <f>IF(OR('Historique ajusté'!H68="",'Historique ajusté'!H67=""),"",IF(ABS(LN('Historique ajusté'!H68/'Historique ajusté'!H67))&gt;Seuil_aberrant,"",'Historique ajusté'!H68/'Historique ajusté'!H67-1))</f>
        <v/>
      </c>
      <c r="I68" s="34">
        <f>IF(OR('Historique ajusté'!I68="",'Historique ajusté'!I67=""),"",IF(ABS(LN('Historique ajusté'!I68/'Historique ajusté'!I67))&gt;Seuil_aberrant,"",'Historique ajusté'!I68/'Historique ajusté'!I67-1))</f>
        <v/>
      </c>
      <c r="J68" s="34">
        <f>IF(OR('Historique ajusté'!J68="",'Historique ajusté'!J67=""),"",IF(ABS(LN('Historique ajusté'!J68/'Historique ajusté'!J67))&gt;Seuil_aberrant,"",'Historique ajusté'!J68/'Historique ajusté'!J67-1))</f>
        <v/>
      </c>
      <c r="K68" s="34">
        <f>IF(OR('Historique ajusté'!K68="",'Historique ajusté'!K67=""),"",IF(ABS(LN('Historique ajusté'!K68/'Historique ajusté'!K67))&gt;Seuil_aberrant,"",'Historique ajusté'!K68/'Historique ajusté'!K67-1))</f>
        <v/>
      </c>
      <c r="L68" s="34">
        <f>IF(OR('Historique ajusté'!L68="",'Historique ajusté'!L67=""),"",IF(ABS(LN('Historique ajusté'!L68/'Historique ajusté'!L67))&gt;Seuil_aberrant,"",'Historique ajusté'!L68/'Historique ajusté'!L67-1))</f>
        <v/>
      </c>
      <c r="M68" s="34">
        <f>IF(OR('Historique ajusté'!M68="",'Historique ajusté'!M67=""),"",IF(ABS(LN('Historique ajusté'!M68/'Historique ajusté'!M67))&gt;Seuil_aberrant,"",'Historique ajusté'!M68/'Historique ajusté'!M67-1))</f>
        <v/>
      </c>
      <c r="N68" s="34">
        <f>IF(OR('Historique ajusté'!N68="",'Historique ajusté'!N67=""),"",IF(ABS(LN('Historique ajusté'!N68/'Historique ajusté'!N67))&gt;Seuil_aberrant,"",'Historique ajusté'!N68/'Historique ajusté'!N67-1))</f>
        <v/>
      </c>
      <c r="O68" s="34">
        <f>IF(OR('Historique ajusté'!O68="",'Historique ajusté'!O67=""),"",IF(ABS(LN('Historique ajusté'!O68/'Historique ajusté'!O67))&gt;Seuil_aberrant,"",'Historique ajusté'!O68/'Historique ajusté'!O67-1))</f>
        <v/>
      </c>
      <c r="P68" s="34">
        <f>IF(OR('Historique ajusté'!P68="",'Historique ajusté'!P67=""),"",IF(ABS(LN('Historique ajusté'!P68/'Historique ajusté'!P67))&gt;Seuil_aberrant,"",'Historique ajusté'!P68/'Historique ajusté'!P67-1))</f>
        <v/>
      </c>
    </row>
    <row r="69">
      <c r="B69" s="32">
        <f>'Historique ajusté'!B69</f>
        <v/>
      </c>
      <c r="C69" s="34">
        <f>IF(OR('Historique ajusté'!C69="",'Historique ajusté'!C68=""),"",IF(ABS(LN('Historique ajusté'!C69/'Historique ajusté'!C68))&gt;Seuil_aberrant,"",'Historique ajusté'!C69/'Historique ajusté'!C68-1))</f>
        <v/>
      </c>
      <c r="D69" s="34">
        <f>IF(OR('Historique ajusté'!D69="",'Historique ajusté'!D68=""),"",IF(ABS(LN('Historique ajusté'!D69/'Historique ajusté'!D68))&gt;Seuil_aberrant,"",'Historique ajusté'!D69/'Historique ajusté'!D68-1))</f>
        <v/>
      </c>
      <c r="E69" s="34">
        <f>IF(OR('Historique ajusté'!E69="",'Historique ajusté'!E68=""),"",IF(ABS(LN('Historique ajusté'!E69/'Historique ajusté'!E68))&gt;Seuil_aberrant,"",'Historique ajusté'!E69/'Historique ajusté'!E68-1))</f>
        <v/>
      </c>
      <c r="F69" s="34">
        <f>IF(OR('Historique ajusté'!F69="",'Historique ajusté'!F68=""),"",IF(ABS(LN('Historique ajusté'!F69/'Historique ajusté'!F68))&gt;Seuil_aberrant,"",'Historique ajusté'!F69/'Historique ajusté'!F68-1))</f>
        <v/>
      </c>
      <c r="G69" s="34">
        <f>IF(OR('Historique ajusté'!G69="",'Historique ajusté'!G68=""),"",IF(ABS(LN('Historique ajusté'!G69/'Historique ajusté'!G68))&gt;Seuil_aberrant,"",'Historique ajusté'!G69/'Historique ajusté'!G68-1))</f>
        <v/>
      </c>
      <c r="H69" s="34">
        <f>IF(OR('Historique ajusté'!H69="",'Historique ajusté'!H68=""),"",IF(ABS(LN('Historique ajusté'!H69/'Historique ajusté'!H68))&gt;Seuil_aberrant,"",'Historique ajusté'!H69/'Historique ajusté'!H68-1))</f>
        <v/>
      </c>
      <c r="I69" s="34">
        <f>IF(OR('Historique ajusté'!I69="",'Historique ajusté'!I68=""),"",IF(ABS(LN('Historique ajusté'!I69/'Historique ajusté'!I68))&gt;Seuil_aberrant,"",'Historique ajusté'!I69/'Historique ajusté'!I68-1))</f>
        <v/>
      </c>
      <c r="J69" s="34">
        <f>IF(OR('Historique ajusté'!J69="",'Historique ajusté'!J68=""),"",IF(ABS(LN('Historique ajusté'!J69/'Historique ajusté'!J68))&gt;Seuil_aberrant,"",'Historique ajusté'!J69/'Historique ajusté'!J68-1))</f>
        <v/>
      </c>
      <c r="K69" s="34">
        <f>IF(OR('Historique ajusté'!K69="",'Historique ajusté'!K68=""),"",IF(ABS(LN('Historique ajusté'!K69/'Historique ajusté'!K68))&gt;Seuil_aberrant,"",'Historique ajusté'!K69/'Historique ajusté'!K68-1))</f>
        <v/>
      </c>
      <c r="L69" s="34">
        <f>IF(OR('Historique ajusté'!L69="",'Historique ajusté'!L68=""),"",IF(ABS(LN('Historique ajusté'!L69/'Historique ajusté'!L68))&gt;Seuil_aberrant,"",'Historique ajusté'!L69/'Historique ajusté'!L68-1))</f>
        <v/>
      </c>
      <c r="M69" s="34">
        <f>IF(OR('Historique ajusté'!M69="",'Historique ajusté'!M68=""),"",IF(ABS(LN('Historique ajusté'!M69/'Historique ajusté'!M68))&gt;Seuil_aberrant,"",'Historique ajusté'!M69/'Historique ajusté'!M68-1))</f>
        <v/>
      </c>
      <c r="N69" s="34">
        <f>IF(OR('Historique ajusté'!N69="",'Historique ajusté'!N68=""),"",IF(ABS(LN('Historique ajusté'!N69/'Historique ajusté'!N68))&gt;Seuil_aberrant,"",'Historique ajusté'!N69/'Historique ajusté'!N68-1))</f>
        <v/>
      </c>
      <c r="O69" s="34">
        <f>IF(OR('Historique ajusté'!O69="",'Historique ajusté'!O68=""),"",IF(ABS(LN('Historique ajusté'!O69/'Historique ajusté'!O68))&gt;Seuil_aberrant,"",'Historique ajusté'!O69/'Historique ajusté'!O68-1))</f>
        <v/>
      </c>
      <c r="P69" s="34">
        <f>IF(OR('Historique ajusté'!P69="",'Historique ajusté'!P68=""),"",IF(ABS(LN('Historique ajusté'!P69/'Historique ajusté'!P68))&gt;Seuil_aberrant,"",'Historique ajusté'!P69/'Historique ajusté'!P68-1))</f>
        <v/>
      </c>
    </row>
    <row r="70">
      <c r="B70" s="32">
        <f>'Historique ajusté'!B70</f>
        <v/>
      </c>
      <c r="C70" s="34">
        <f>IF(OR('Historique ajusté'!C70="",'Historique ajusté'!C69=""),"",IF(ABS(LN('Historique ajusté'!C70/'Historique ajusté'!C69))&gt;Seuil_aberrant,"",'Historique ajusté'!C70/'Historique ajusté'!C69-1))</f>
        <v/>
      </c>
      <c r="D70" s="34">
        <f>IF(OR('Historique ajusté'!D70="",'Historique ajusté'!D69=""),"",IF(ABS(LN('Historique ajusté'!D70/'Historique ajusté'!D69))&gt;Seuil_aberrant,"",'Historique ajusté'!D70/'Historique ajusté'!D69-1))</f>
        <v/>
      </c>
      <c r="E70" s="34">
        <f>IF(OR('Historique ajusté'!E70="",'Historique ajusté'!E69=""),"",IF(ABS(LN('Historique ajusté'!E70/'Historique ajusté'!E69))&gt;Seuil_aberrant,"",'Historique ajusté'!E70/'Historique ajusté'!E69-1))</f>
        <v/>
      </c>
      <c r="F70" s="34">
        <f>IF(OR('Historique ajusté'!F70="",'Historique ajusté'!F69=""),"",IF(ABS(LN('Historique ajusté'!F70/'Historique ajusté'!F69))&gt;Seuil_aberrant,"",'Historique ajusté'!F70/'Historique ajusté'!F69-1))</f>
        <v/>
      </c>
      <c r="G70" s="34">
        <f>IF(OR('Historique ajusté'!G70="",'Historique ajusté'!G69=""),"",IF(ABS(LN('Historique ajusté'!G70/'Historique ajusté'!G69))&gt;Seuil_aberrant,"",'Historique ajusté'!G70/'Historique ajusté'!G69-1))</f>
        <v/>
      </c>
      <c r="H70" s="34">
        <f>IF(OR('Historique ajusté'!H70="",'Historique ajusté'!H69=""),"",IF(ABS(LN('Historique ajusté'!H70/'Historique ajusté'!H69))&gt;Seuil_aberrant,"",'Historique ajusté'!H70/'Historique ajusté'!H69-1))</f>
        <v/>
      </c>
      <c r="I70" s="34">
        <f>IF(OR('Historique ajusté'!I70="",'Historique ajusté'!I69=""),"",IF(ABS(LN('Historique ajusté'!I70/'Historique ajusté'!I69))&gt;Seuil_aberrant,"",'Historique ajusté'!I70/'Historique ajusté'!I69-1))</f>
        <v/>
      </c>
      <c r="J70" s="34">
        <f>IF(OR('Historique ajusté'!J70="",'Historique ajusté'!J69=""),"",IF(ABS(LN('Historique ajusté'!J70/'Historique ajusté'!J69))&gt;Seuil_aberrant,"",'Historique ajusté'!J70/'Historique ajusté'!J69-1))</f>
        <v/>
      </c>
      <c r="K70" s="34">
        <f>IF(OR('Historique ajusté'!K70="",'Historique ajusté'!K69=""),"",IF(ABS(LN('Historique ajusté'!K70/'Historique ajusté'!K69))&gt;Seuil_aberrant,"",'Historique ajusté'!K70/'Historique ajusté'!K69-1))</f>
        <v/>
      </c>
      <c r="L70" s="34">
        <f>IF(OR('Historique ajusté'!L70="",'Historique ajusté'!L69=""),"",IF(ABS(LN('Historique ajusté'!L70/'Historique ajusté'!L69))&gt;Seuil_aberrant,"",'Historique ajusté'!L70/'Historique ajusté'!L69-1))</f>
        <v/>
      </c>
      <c r="M70" s="34">
        <f>IF(OR('Historique ajusté'!M70="",'Historique ajusté'!M69=""),"",IF(ABS(LN('Historique ajusté'!M70/'Historique ajusté'!M69))&gt;Seuil_aberrant,"",'Historique ajusté'!M70/'Historique ajusté'!M69-1))</f>
        <v/>
      </c>
      <c r="N70" s="34">
        <f>IF(OR('Historique ajusté'!N70="",'Historique ajusté'!N69=""),"",IF(ABS(LN('Historique ajusté'!N70/'Historique ajusté'!N69))&gt;Seuil_aberrant,"",'Historique ajusté'!N70/'Historique ajusté'!N69-1))</f>
        <v/>
      </c>
      <c r="O70" s="34">
        <f>IF(OR('Historique ajusté'!O70="",'Historique ajusté'!O69=""),"",IF(ABS(LN('Historique ajusté'!O70/'Historique ajusté'!O69))&gt;Seuil_aberrant,"",'Historique ajusté'!O70/'Historique ajusté'!O69-1))</f>
        <v/>
      </c>
      <c r="P70" s="34">
        <f>IF(OR('Historique ajusté'!P70="",'Historique ajusté'!P69=""),"",IF(ABS(LN('Historique ajusté'!P70/'Historique ajusté'!P69))&gt;Seuil_aberrant,"",'Historique ajusté'!P70/'Historique ajusté'!P69-1))</f>
        <v/>
      </c>
    </row>
    <row r="71">
      <c r="B71" s="32">
        <f>'Historique ajusté'!B71</f>
        <v/>
      </c>
      <c r="C71" s="34">
        <f>IF(OR('Historique ajusté'!C71="",'Historique ajusté'!C70=""),"",IF(ABS(LN('Historique ajusté'!C71/'Historique ajusté'!C70))&gt;Seuil_aberrant,"",'Historique ajusté'!C71/'Historique ajusté'!C70-1))</f>
        <v/>
      </c>
      <c r="D71" s="34">
        <f>IF(OR('Historique ajusté'!D71="",'Historique ajusté'!D70=""),"",IF(ABS(LN('Historique ajusté'!D71/'Historique ajusté'!D70))&gt;Seuil_aberrant,"",'Historique ajusté'!D71/'Historique ajusté'!D70-1))</f>
        <v/>
      </c>
      <c r="E71" s="34">
        <f>IF(OR('Historique ajusté'!E71="",'Historique ajusté'!E70=""),"",IF(ABS(LN('Historique ajusté'!E71/'Historique ajusté'!E70))&gt;Seuil_aberrant,"",'Historique ajusté'!E71/'Historique ajusté'!E70-1))</f>
        <v/>
      </c>
      <c r="F71" s="34">
        <f>IF(OR('Historique ajusté'!F71="",'Historique ajusté'!F70=""),"",IF(ABS(LN('Historique ajusté'!F71/'Historique ajusté'!F70))&gt;Seuil_aberrant,"",'Historique ajusté'!F71/'Historique ajusté'!F70-1))</f>
        <v/>
      </c>
      <c r="G71" s="34">
        <f>IF(OR('Historique ajusté'!G71="",'Historique ajusté'!G70=""),"",IF(ABS(LN('Historique ajusté'!G71/'Historique ajusté'!G70))&gt;Seuil_aberrant,"",'Historique ajusté'!G71/'Historique ajusté'!G70-1))</f>
        <v/>
      </c>
      <c r="H71" s="34">
        <f>IF(OR('Historique ajusté'!H71="",'Historique ajusté'!H70=""),"",IF(ABS(LN('Historique ajusté'!H71/'Historique ajusté'!H70))&gt;Seuil_aberrant,"",'Historique ajusté'!H71/'Historique ajusté'!H70-1))</f>
        <v/>
      </c>
      <c r="I71" s="34">
        <f>IF(OR('Historique ajusté'!I71="",'Historique ajusté'!I70=""),"",IF(ABS(LN('Historique ajusté'!I71/'Historique ajusté'!I70))&gt;Seuil_aberrant,"",'Historique ajusté'!I71/'Historique ajusté'!I70-1))</f>
        <v/>
      </c>
      <c r="J71" s="34">
        <f>IF(OR('Historique ajusté'!J71="",'Historique ajusté'!J70=""),"",IF(ABS(LN('Historique ajusté'!J71/'Historique ajusté'!J70))&gt;Seuil_aberrant,"",'Historique ajusté'!J71/'Historique ajusté'!J70-1))</f>
        <v/>
      </c>
      <c r="K71" s="34">
        <f>IF(OR('Historique ajusté'!K71="",'Historique ajusté'!K70=""),"",IF(ABS(LN('Historique ajusté'!K71/'Historique ajusté'!K70))&gt;Seuil_aberrant,"",'Historique ajusté'!K71/'Historique ajusté'!K70-1))</f>
        <v/>
      </c>
      <c r="L71" s="34">
        <f>IF(OR('Historique ajusté'!L71="",'Historique ajusté'!L70=""),"",IF(ABS(LN('Historique ajusté'!L71/'Historique ajusté'!L70))&gt;Seuil_aberrant,"",'Historique ajusté'!L71/'Historique ajusté'!L70-1))</f>
        <v/>
      </c>
      <c r="M71" s="34">
        <f>IF(OR('Historique ajusté'!M71="",'Historique ajusté'!M70=""),"",IF(ABS(LN('Historique ajusté'!M71/'Historique ajusté'!M70))&gt;Seuil_aberrant,"",'Historique ajusté'!M71/'Historique ajusté'!M70-1))</f>
        <v/>
      </c>
      <c r="N71" s="34">
        <f>IF(OR('Historique ajusté'!N71="",'Historique ajusté'!N70=""),"",IF(ABS(LN('Historique ajusté'!N71/'Historique ajusté'!N70))&gt;Seuil_aberrant,"",'Historique ajusté'!N71/'Historique ajusté'!N70-1))</f>
        <v/>
      </c>
      <c r="O71" s="34">
        <f>IF(OR('Historique ajusté'!O71="",'Historique ajusté'!O70=""),"",IF(ABS(LN('Historique ajusté'!O71/'Historique ajusté'!O70))&gt;Seuil_aberrant,"",'Historique ajusté'!O71/'Historique ajusté'!O70-1))</f>
        <v/>
      </c>
      <c r="P71" s="34">
        <f>IF(OR('Historique ajusté'!P71="",'Historique ajusté'!P70=""),"",IF(ABS(LN('Historique ajusté'!P71/'Historique ajusté'!P70))&gt;Seuil_aberrant,"",'Historique ajusté'!P71/'Historique ajusté'!P70-1))</f>
        <v/>
      </c>
    </row>
    <row r="72">
      <c r="B72" s="32">
        <f>'Historique ajusté'!B72</f>
        <v/>
      </c>
      <c r="C72" s="34">
        <f>IF(OR('Historique ajusté'!C72="",'Historique ajusté'!C71=""),"",IF(ABS(LN('Historique ajusté'!C72/'Historique ajusté'!C71))&gt;Seuil_aberrant,"",'Historique ajusté'!C72/'Historique ajusté'!C71-1))</f>
        <v/>
      </c>
      <c r="D72" s="34">
        <f>IF(OR('Historique ajusté'!D72="",'Historique ajusté'!D71=""),"",IF(ABS(LN('Historique ajusté'!D72/'Historique ajusté'!D71))&gt;Seuil_aberrant,"",'Historique ajusté'!D72/'Historique ajusté'!D71-1))</f>
        <v/>
      </c>
      <c r="E72" s="34">
        <f>IF(OR('Historique ajusté'!E72="",'Historique ajusté'!E71=""),"",IF(ABS(LN('Historique ajusté'!E72/'Historique ajusté'!E71))&gt;Seuil_aberrant,"",'Historique ajusté'!E72/'Historique ajusté'!E71-1))</f>
        <v/>
      </c>
      <c r="F72" s="34">
        <f>IF(OR('Historique ajusté'!F72="",'Historique ajusté'!F71=""),"",IF(ABS(LN('Historique ajusté'!F72/'Historique ajusté'!F71))&gt;Seuil_aberrant,"",'Historique ajusté'!F72/'Historique ajusté'!F71-1))</f>
        <v/>
      </c>
      <c r="G72" s="34">
        <f>IF(OR('Historique ajusté'!G72="",'Historique ajusté'!G71=""),"",IF(ABS(LN('Historique ajusté'!G72/'Historique ajusté'!G71))&gt;Seuil_aberrant,"",'Historique ajusté'!G72/'Historique ajusté'!G71-1))</f>
        <v/>
      </c>
      <c r="H72" s="34">
        <f>IF(OR('Historique ajusté'!H72="",'Historique ajusté'!H71=""),"",IF(ABS(LN('Historique ajusté'!H72/'Historique ajusté'!H71))&gt;Seuil_aberrant,"",'Historique ajusté'!H72/'Historique ajusté'!H71-1))</f>
        <v/>
      </c>
      <c r="I72" s="34">
        <f>IF(OR('Historique ajusté'!I72="",'Historique ajusté'!I71=""),"",IF(ABS(LN('Historique ajusté'!I72/'Historique ajusté'!I71))&gt;Seuil_aberrant,"",'Historique ajusté'!I72/'Historique ajusté'!I71-1))</f>
        <v/>
      </c>
      <c r="J72" s="34">
        <f>IF(OR('Historique ajusté'!J72="",'Historique ajusté'!J71=""),"",IF(ABS(LN('Historique ajusté'!J72/'Historique ajusté'!J71))&gt;Seuil_aberrant,"",'Historique ajusté'!J72/'Historique ajusté'!J71-1))</f>
        <v/>
      </c>
      <c r="K72" s="34">
        <f>IF(OR('Historique ajusté'!K72="",'Historique ajusté'!K71=""),"",IF(ABS(LN('Historique ajusté'!K72/'Historique ajusté'!K71))&gt;Seuil_aberrant,"",'Historique ajusté'!K72/'Historique ajusté'!K71-1))</f>
        <v/>
      </c>
      <c r="L72" s="34">
        <f>IF(OR('Historique ajusté'!L72="",'Historique ajusté'!L71=""),"",IF(ABS(LN('Historique ajusté'!L72/'Historique ajusté'!L71))&gt;Seuil_aberrant,"",'Historique ajusté'!L72/'Historique ajusté'!L71-1))</f>
        <v/>
      </c>
      <c r="M72" s="34">
        <f>IF(OR('Historique ajusté'!M72="",'Historique ajusté'!M71=""),"",IF(ABS(LN('Historique ajusté'!M72/'Historique ajusté'!M71))&gt;Seuil_aberrant,"",'Historique ajusté'!M72/'Historique ajusté'!M71-1))</f>
        <v/>
      </c>
      <c r="N72" s="34">
        <f>IF(OR('Historique ajusté'!N72="",'Historique ajusté'!N71=""),"",IF(ABS(LN('Historique ajusté'!N72/'Historique ajusté'!N71))&gt;Seuil_aberrant,"",'Historique ajusté'!N72/'Historique ajusté'!N71-1))</f>
        <v/>
      </c>
      <c r="O72" s="34">
        <f>IF(OR('Historique ajusté'!O72="",'Historique ajusté'!O71=""),"",IF(ABS(LN('Historique ajusté'!O72/'Historique ajusté'!O71))&gt;Seuil_aberrant,"",'Historique ajusté'!O72/'Historique ajusté'!O71-1))</f>
        <v/>
      </c>
      <c r="P72" s="34">
        <f>IF(OR('Historique ajusté'!P72="",'Historique ajusté'!P71=""),"",IF(ABS(LN('Historique ajusté'!P72/'Historique ajusté'!P71))&gt;Seuil_aberrant,"",'Historique ajusté'!P72/'Historique ajusté'!P71-1))</f>
        <v/>
      </c>
    </row>
    <row r="73">
      <c r="B73" s="32">
        <f>'Historique ajusté'!B73</f>
        <v/>
      </c>
      <c r="C73" s="34">
        <f>IF(OR('Historique ajusté'!C73="",'Historique ajusté'!C72=""),"",IF(ABS(LN('Historique ajusté'!C73/'Historique ajusté'!C72))&gt;Seuil_aberrant,"",'Historique ajusté'!C73/'Historique ajusté'!C72-1))</f>
        <v/>
      </c>
      <c r="D73" s="34">
        <f>IF(OR('Historique ajusté'!D73="",'Historique ajusté'!D72=""),"",IF(ABS(LN('Historique ajusté'!D73/'Historique ajusté'!D72))&gt;Seuil_aberrant,"",'Historique ajusté'!D73/'Historique ajusté'!D72-1))</f>
        <v/>
      </c>
      <c r="E73" s="34">
        <f>IF(OR('Historique ajusté'!E73="",'Historique ajusté'!E72=""),"",IF(ABS(LN('Historique ajusté'!E73/'Historique ajusté'!E72))&gt;Seuil_aberrant,"",'Historique ajusté'!E73/'Historique ajusté'!E72-1))</f>
        <v/>
      </c>
      <c r="F73" s="34">
        <f>IF(OR('Historique ajusté'!F73="",'Historique ajusté'!F72=""),"",IF(ABS(LN('Historique ajusté'!F73/'Historique ajusté'!F72))&gt;Seuil_aberrant,"",'Historique ajusté'!F73/'Historique ajusté'!F72-1))</f>
        <v/>
      </c>
      <c r="G73" s="34">
        <f>IF(OR('Historique ajusté'!G73="",'Historique ajusté'!G72=""),"",IF(ABS(LN('Historique ajusté'!G73/'Historique ajusté'!G72))&gt;Seuil_aberrant,"",'Historique ajusté'!G73/'Historique ajusté'!G72-1))</f>
        <v/>
      </c>
      <c r="H73" s="34">
        <f>IF(OR('Historique ajusté'!H73="",'Historique ajusté'!H72=""),"",IF(ABS(LN('Historique ajusté'!H73/'Historique ajusté'!H72))&gt;Seuil_aberrant,"",'Historique ajusté'!H73/'Historique ajusté'!H72-1))</f>
        <v/>
      </c>
      <c r="I73" s="34">
        <f>IF(OR('Historique ajusté'!I73="",'Historique ajusté'!I72=""),"",IF(ABS(LN('Historique ajusté'!I73/'Historique ajusté'!I72))&gt;Seuil_aberrant,"",'Historique ajusté'!I73/'Historique ajusté'!I72-1))</f>
        <v/>
      </c>
      <c r="J73" s="34">
        <f>IF(OR('Historique ajusté'!J73="",'Historique ajusté'!J72=""),"",IF(ABS(LN('Historique ajusté'!J73/'Historique ajusté'!J72))&gt;Seuil_aberrant,"",'Historique ajusté'!J73/'Historique ajusté'!J72-1))</f>
        <v/>
      </c>
      <c r="K73" s="34">
        <f>IF(OR('Historique ajusté'!K73="",'Historique ajusté'!K72=""),"",IF(ABS(LN('Historique ajusté'!K73/'Historique ajusté'!K72))&gt;Seuil_aberrant,"",'Historique ajusté'!K73/'Historique ajusté'!K72-1))</f>
        <v/>
      </c>
      <c r="L73" s="34">
        <f>IF(OR('Historique ajusté'!L73="",'Historique ajusté'!L72=""),"",IF(ABS(LN('Historique ajusté'!L73/'Historique ajusté'!L72))&gt;Seuil_aberrant,"",'Historique ajusté'!L73/'Historique ajusté'!L72-1))</f>
        <v/>
      </c>
      <c r="M73" s="34">
        <f>IF(OR('Historique ajusté'!M73="",'Historique ajusté'!M72=""),"",IF(ABS(LN('Historique ajusté'!M73/'Historique ajusté'!M72))&gt;Seuil_aberrant,"",'Historique ajusté'!M73/'Historique ajusté'!M72-1))</f>
        <v/>
      </c>
      <c r="N73" s="34">
        <f>IF(OR('Historique ajusté'!N73="",'Historique ajusté'!N72=""),"",IF(ABS(LN('Historique ajusté'!N73/'Historique ajusté'!N72))&gt;Seuil_aberrant,"",'Historique ajusté'!N73/'Historique ajusté'!N72-1))</f>
        <v/>
      </c>
      <c r="O73" s="34">
        <f>IF(OR('Historique ajusté'!O73="",'Historique ajusté'!O72=""),"",IF(ABS(LN('Historique ajusté'!O73/'Historique ajusté'!O72))&gt;Seuil_aberrant,"",'Historique ajusté'!O73/'Historique ajusté'!O72-1))</f>
        <v/>
      </c>
      <c r="P73" s="34">
        <f>IF(OR('Historique ajusté'!P73="",'Historique ajusté'!P72=""),"",IF(ABS(LN('Historique ajusté'!P73/'Historique ajusté'!P72))&gt;Seuil_aberrant,"",'Historique ajusté'!P73/'Historique ajusté'!P72-1))</f>
        <v/>
      </c>
    </row>
    <row r="74">
      <c r="B74" s="32">
        <f>'Historique ajusté'!B74</f>
        <v/>
      </c>
      <c r="C74" s="34">
        <f>IF(OR('Historique ajusté'!C74="",'Historique ajusté'!C73=""),"",IF(ABS(LN('Historique ajusté'!C74/'Historique ajusté'!C73))&gt;Seuil_aberrant,"",'Historique ajusté'!C74/'Historique ajusté'!C73-1))</f>
        <v/>
      </c>
      <c r="D74" s="34">
        <f>IF(OR('Historique ajusté'!D74="",'Historique ajusté'!D73=""),"",IF(ABS(LN('Historique ajusté'!D74/'Historique ajusté'!D73))&gt;Seuil_aberrant,"",'Historique ajusté'!D74/'Historique ajusté'!D73-1))</f>
        <v/>
      </c>
      <c r="E74" s="34">
        <f>IF(OR('Historique ajusté'!E74="",'Historique ajusté'!E73=""),"",IF(ABS(LN('Historique ajusté'!E74/'Historique ajusté'!E73))&gt;Seuil_aberrant,"",'Historique ajusté'!E74/'Historique ajusté'!E73-1))</f>
        <v/>
      </c>
      <c r="F74" s="34">
        <f>IF(OR('Historique ajusté'!F74="",'Historique ajusté'!F73=""),"",IF(ABS(LN('Historique ajusté'!F74/'Historique ajusté'!F73))&gt;Seuil_aberrant,"",'Historique ajusté'!F74/'Historique ajusté'!F73-1))</f>
        <v/>
      </c>
      <c r="G74" s="34">
        <f>IF(OR('Historique ajusté'!G74="",'Historique ajusté'!G73=""),"",IF(ABS(LN('Historique ajusté'!G74/'Historique ajusté'!G73))&gt;Seuil_aberrant,"",'Historique ajusté'!G74/'Historique ajusté'!G73-1))</f>
        <v/>
      </c>
      <c r="H74" s="34">
        <f>IF(OR('Historique ajusté'!H74="",'Historique ajusté'!H73=""),"",IF(ABS(LN('Historique ajusté'!H74/'Historique ajusté'!H73))&gt;Seuil_aberrant,"",'Historique ajusté'!H74/'Historique ajusté'!H73-1))</f>
        <v/>
      </c>
      <c r="I74" s="34">
        <f>IF(OR('Historique ajusté'!I74="",'Historique ajusté'!I73=""),"",IF(ABS(LN('Historique ajusté'!I74/'Historique ajusté'!I73))&gt;Seuil_aberrant,"",'Historique ajusté'!I74/'Historique ajusté'!I73-1))</f>
        <v/>
      </c>
      <c r="J74" s="34">
        <f>IF(OR('Historique ajusté'!J74="",'Historique ajusté'!J73=""),"",IF(ABS(LN('Historique ajusté'!J74/'Historique ajusté'!J73))&gt;Seuil_aberrant,"",'Historique ajusté'!J74/'Historique ajusté'!J73-1))</f>
        <v/>
      </c>
      <c r="K74" s="34">
        <f>IF(OR('Historique ajusté'!K74="",'Historique ajusté'!K73=""),"",IF(ABS(LN('Historique ajusté'!K74/'Historique ajusté'!K73))&gt;Seuil_aberrant,"",'Historique ajusté'!K74/'Historique ajusté'!K73-1))</f>
        <v/>
      </c>
      <c r="L74" s="34">
        <f>IF(OR('Historique ajusté'!L74="",'Historique ajusté'!L73=""),"",IF(ABS(LN('Historique ajusté'!L74/'Historique ajusté'!L73))&gt;Seuil_aberrant,"",'Historique ajusté'!L74/'Historique ajusté'!L73-1))</f>
        <v/>
      </c>
      <c r="M74" s="34">
        <f>IF(OR('Historique ajusté'!M74="",'Historique ajusté'!M73=""),"",IF(ABS(LN('Historique ajusté'!M74/'Historique ajusté'!M73))&gt;Seuil_aberrant,"",'Historique ajusté'!M74/'Historique ajusté'!M73-1))</f>
        <v/>
      </c>
      <c r="N74" s="34">
        <f>IF(OR('Historique ajusté'!N74="",'Historique ajusté'!N73=""),"",IF(ABS(LN('Historique ajusté'!N74/'Historique ajusté'!N73))&gt;Seuil_aberrant,"",'Historique ajusté'!N74/'Historique ajusté'!N73-1))</f>
        <v/>
      </c>
      <c r="O74" s="34">
        <f>IF(OR('Historique ajusté'!O74="",'Historique ajusté'!O73=""),"",IF(ABS(LN('Historique ajusté'!O74/'Historique ajusté'!O73))&gt;Seuil_aberrant,"",'Historique ajusté'!O74/'Historique ajusté'!O73-1))</f>
        <v/>
      </c>
      <c r="P74" s="34">
        <f>IF(OR('Historique ajusté'!P74="",'Historique ajusté'!P73=""),"",IF(ABS(LN('Historique ajusté'!P74/'Historique ajusté'!P73))&gt;Seuil_aberrant,"",'Historique ajusté'!P74/'Historique ajusté'!P73-1))</f>
        <v/>
      </c>
    </row>
    <row r="75">
      <c r="B75" s="32">
        <f>'Historique ajusté'!B75</f>
        <v/>
      </c>
      <c r="C75" s="34">
        <f>IF(OR('Historique ajusté'!C75="",'Historique ajusté'!C74=""),"",IF(ABS(LN('Historique ajusté'!C75/'Historique ajusté'!C74))&gt;Seuil_aberrant,"",'Historique ajusté'!C75/'Historique ajusté'!C74-1))</f>
        <v/>
      </c>
      <c r="D75" s="34">
        <f>IF(OR('Historique ajusté'!D75="",'Historique ajusté'!D74=""),"",IF(ABS(LN('Historique ajusté'!D75/'Historique ajusté'!D74))&gt;Seuil_aberrant,"",'Historique ajusté'!D75/'Historique ajusté'!D74-1))</f>
        <v/>
      </c>
      <c r="E75" s="34">
        <f>IF(OR('Historique ajusté'!E75="",'Historique ajusté'!E74=""),"",IF(ABS(LN('Historique ajusté'!E75/'Historique ajusté'!E74))&gt;Seuil_aberrant,"",'Historique ajusté'!E75/'Historique ajusté'!E74-1))</f>
        <v/>
      </c>
      <c r="F75" s="34">
        <f>IF(OR('Historique ajusté'!F75="",'Historique ajusté'!F74=""),"",IF(ABS(LN('Historique ajusté'!F75/'Historique ajusté'!F74))&gt;Seuil_aberrant,"",'Historique ajusté'!F75/'Historique ajusté'!F74-1))</f>
        <v/>
      </c>
      <c r="G75" s="34">
        <f>IF(OR('Historique ajusté'!G75="",'Historique ajusté'!G74=""),"",IF(ABS(LN('Historique ajusté'!G75/'Historique ajusté'!G74))&gt;Seuil_aberrant,"",'Historique ajusté'!G75/'Historique ajusté'!G74-1))</f>
        <v/>
      </c>
      <c r="H75" s="34">
        <f>IF(OR('Historique ajusté'!H75="",'Historique ajusté'!H74=""),"",IF(ABS(LN('Historique ajusté'!H75/'Historique ajusté'!H74))&gt;Seuil_aberrant,"",'Historique ajusté'!H75/'Historique ajusté'!H74-1))</f>
        <v/>
      </c>
      <c r="I75" s="34">
        <f>IF(OR('Historique ajusté'!I75="",'Historique ajusté'!I74=""),"",IF(ABS(LN('Historique ajusté'!I75/'Historique ajusté'!I74))&gt;Seuil_aberrant,"",'Historique ajusté'!I75/'Historique ajusté'!I74-1))</f>
        <v/>
      </c>
      <c r="J75" s="34">
        <f>IF(OR('Historique ajusté'!J75="",'Historique ajusté'!J74=""),"",IF(ABS(LN('Historique ajusté'!J75/'Historique ajusté'!J74))&gt;Seuil_aberrant,"",'Historique ajusté'!J75/'Historique ajusté'!J74-1))</f>
        <v/>
      </c>
      <c r="K75" s="34">
        <f>IF(OR('Historique ajusté'!K75="",'Historique ajusté'!K74=""),"",IF(ABS(LN('Historique ajusté'!K75/'Historique ajusté'!K74))&gt;Seuil_aberrant,"",'Historique ajusté'!K75/'Historique ajusté'!K74-1))</f>
        <v/>
      </c>
      <c r="L75" s="34">
        <f>IF(OR('Historique ajusté'!L75="",'Historique ajusté'!L74=""),"",IF(ABS(LN('Historique ajusté'!L75/'Historique ajusté'!L74))&gt;Seuil_aberrant,"",'Historique ajusté'!L75/'Historique ajusté'!L74-1))</f>
        <v/>
      </c>
      <c r="M75" s="34">
        <f>IF(OR('Historique ajusté'!M75="",'Historique ajusté'!M74=""),"",IF(ABS(LN('Historique ajusté'!M75/'Historique ajusté'!M74))&gt;Seuil_aberrant,"",'Historique ajusté'!M75/'Historique ajusté'!M74-1))</f>
        <v/>
      </c>
      <c r="N75" s="34">
        <f>IF(OR('Historique ajusté'!N75="",'Historique ajusté'!N74=""),"",IF(ABS(LN('Historique ajusté'!N75/'Historique ajusté'!N74))&gt;Seuil_aberrant,"",'Historique ajusté'!N75/'Historique ajusté'!N74-1))</f>
        <v/>
      </c>
      <c r="O75" s="34">
        <f>IF(OR('Historique ajusté'!O75="",'Historique ajusté'!O74=""),"",IF(ABS(LN('Historique ajusté'!O75/'Historique ajusté'!O74))&gt;Seuil_aberrant,"",'Historique ajusté'!O75/'Historique ajusté'!O74-1))</f>
        <v/>
      </c>
      <c r="P75" s="34">
        <f>IF(OR('Historique ajusté'!P75="",'Historique ajusté'!P74=""),"",IF(ABS(LN('Historique ajusté'!P75/'Historique ajusté'!P74))&gt;Seuil_aberrant,"",'Historique ajusté'!P75/'Historique ajusté'!P74-1))</f>
        <v/>
      </c>
    </row>
    <row r="76">
      <c r="B76" s="32">
        <f>'Historique ajusté'!B76</f>
        <v/>
      </c>
      <c r="C76" s="34">
        <f>IF(OR('Historique ajusté'!C76="",'Historique ajusté'!C75=""),"",IF(ABS(LN('Historique ajusté'!C76/'Historique ajusté'!C75))&gt;Seuil_aberrant,"",'Historique ajusté'!C76/'Historique ajusté'!C75-1))</f>
        <v/>
      </c>
      <c r="D76" s="34">
        <f>IF(OR('Historique ajusté'!D76="",'Historique ajusté'!D75=""),"",IF(ABS(LN('Historique ajusté'!D76/'Historique ajusté'!D75))&gt;Seuil_aberrant,"",'Historique ajusté'!D76/'Historique ajusté'!D75-1))</f>
        <v/>
      </c>
      <c r="E76" s="34">
        <f>IF(OR('Historique ajusté'!E76="",'Historique ajusté'!E75=""),"",IF(ABS(LN('Historique ajusté'!E76/'Historique ajusté'!E75))&gt;Seuil_aberrant,"",'Historique ajusté'!E76/'Historique ajusté'!E75-1))</f>
        <v/>
      </c>
      <c r="F76" s="34">
        <f>IF(OR('Historique ajusté'!F76="",'Historique ajusté'!F75=""),"",IF(ABS(LN('Historique ajusté'!F76/'Historique ajusté'!F75))&gt;Seuil_aberrant,"",'Historique ajusté'!F76/'Historique ajusté'!F75-1))</f>
        <v/>
      </c>
      <c r="G76" s="34">
        <f>IF(OR('Historique ajusté'!G76="",'Historique ajusté'!G75=""),"",IF(ABS(LN('Historique ajusté'!G76/'Historique ajusté'!G75))&gt;Seuil_aberrant,"",'Historique ajusté'!G76/'Historique ajusté'!G75-1))</f>
        <v/>
      </c>
      <c r="H76" s="34">
        <f>IF(OR('Historique ajusté'!H76="",'Historique ajusté'!H75=""),"",IF(ABS(LN('Historique ajusté'!H76/'Historique ajusté'!H75))&gt;Seuil_aberrant,"",'Historique ajusté'!H76/'Historique ajusté'!H75-1))</f>
        <v/>
      </c>
      <c r="I76" s="34">
        <f>IF(OR('Historique ajusté'!I76="",'Historique ajusté'!I75=""),"",IF(ABS(LN('Historique ajusté'!I76/'Historique ajusté'!I75))&gt;Seuil_aberrant,"",'Historique ajusté'!I76/'Historique ajusté'!I75-1))</f>
        <v/>
      </c>
      <c r="J76" s="34">
        <f>IF(OR('Historique ajusté'!J76="",'Historique ajusté'!J75=""),"",IF(ABS(LN('Historique ajusté'!J76/'Historique ajusté'!J75))&gt;Seuil_aberrant,"",'Historique ajusté'!J76/'Historique ajusté'!J75-1))</f>
        <v/>
      </c>
      <c r="K76" s="34">
        <f>IF(OR('Historique ajusté'!K76="",'Historique ajusté'!K75=""),"",IF(ABS(LN('Historique ajusté'!K76/'Historique ajusté'!K75))&gt;Seuil_aberrant,"",'Historique ajusté'!K76/'Historique ajusté'!K75-1))</f>
        <v/>
      </c>
      <c r="L76" s="34">
        <f>IF(OR('Historique ajusté'!L76="",'Historique ajusté'!L75=""),"",IF(ABS(LN('Historique ajusté'!L76/'Historique ajusté'!L75))&gt;Seuil_aberrant,"",'Historique ajusté'!L76/'Historique ajusté'!L75-1))</f>
        <v/>
      </c>
      <c r="M76" s="34">
        <f>IF(OR('Historique ajusté'!M76="",'Historique ajusté'!M75=""),"",IF(ABS(LN('Historique ajusté'!M76/'Historique ajusté'!M75))&gt;Seuil_aberrant,"",'Historique ajusté'!M76/'Historique ajusté'!M75-1))</f>
        <v/>
      </c>
      <c r="N76" s="34">
        <f>IF(OR('Historique ajusté'!N76="",'Historique ajusté'!N75=""),"",IF(ABS(LN('Historique ajusté'!N76/'Historique ajusté'!N75))&gt;Seuil_aberrant,"",'Historique ajusté'!N76/'Historique ajusté'!N75-1))</f>
        <v/>
      </c>
      <c r="O76" s="34">
        <f>IF(OR('Historique ajusté'!O76="",'Historique ajusté'!O75=""),"",IF(ABS(LN('Historique ajusté'!O76/'Historique ajusté'!O75))&gt;Seuil_aberrant,"",'Historique ajusté'!O76/'Historique ajusté'!O75-1))</f>
        <v/>
      </c>
      <c r="P76" s="34">
        <f>IF(OR('Historique ajusté'!P76="",'Historique ajusté'!P75=""),"",IF(ABS(LN('Historique ajusté'!P76/'Historique ajusté'!P75))&gt;Seuil_aberrant,"",'Historique ajusté'!P76/'Historique ajusté'!P75-1))</f>
        <v/>
      </c>
    </row>
    <row r="77">
      <c r="B77" s="32">
        <f>'Historique ajusté'!B77</f>
        <v/>
      </c>
      <c r="C77" s="34">
        <f>IF(OR('Historique ajusté'!C77="",'Historique ajusté'!C76=""),"",IF(ABS(LN('Historique ajusté'!C77/'Historique ajusté'!C76))&gt;Seuil_aberrant,"",'Historique ajusté'!C77/'Historique ajusté'!C76-1))</f>
        <v/>
      </c>
      <c r="D77" s="34">
        <f>IF(OR('Historique ajusté'!D77="",'Historique ajusté'!D76=""),"",IF(ABS(LN('Historique ajusté'!D77/'Historique ajusté'!D76))&gt;Seuil_aberrant,"",'Historique ajusté'!D77/'Historique ajusté'!D76-1))</f>
        <v/>
      </c>
      <c r="E77" s="34">
        <f>IF(OR('Historique ajusté'!E77="",'Historique ajusté'!E76=""),"",IF(ABS(LN('Historique ajusté'!E77/'Historique ajusté'!E76))&gt;Seuil_aberrant,"",'Historique ajusté'!E77/'Historique ajusté'!E76-1))</f>
        <v/>
      </c>
      <c r="F77" s="34">
        <f>IF(OR('Historique ajusté'!F77="",'Historique ajusté'!F76=""),"",IF(ABS(LN('Historique ajusté'!F77/'Historique ajusté'!F76))&gt;Seuil_aberrant,"",'Historique ajusté'!F77/'Historique ajusté'!F76-1))</f>
        <v/>
      </c>
      <c r="G77" s="34">
        <f>IF(OR('Historique ajusté'!G77="",'Historique ajusté'!G76=""),"",IF(ABS(LN('Historique ajusté'!G77/'Historique ajusté'!G76))&gt;Seuil_aberrant,"",'Historique ajusté'!G77/'Historique ajusté'!G76-1))</f>
        <v/>
      </c>
      <c r="H77" s="34">
        <f>IF(OR('Historique ajusté'!H77="",'Historique ajusté'!H76=""),"",IF(ABS(LN('Historique ajusté'!H77/'Historique ajusté'!H76))&gt;Seuil_aberrant,"",'Historique ajusté'!H77/'Historique ajusté'!H76-1))</f>
        <v/>
      </c>
      <c r="I77" s="34">
        <f>IF(OR('Historique ajusté'!I77="",'Historique ajusté'!I76=""),"",IF(ABS(LN('Historique ajusté'!I77/'Historique ajusté'!I76))&gt;Seuil_aberrant,"",'Historique ajusté'!I77/'Historique ajusté'!I76-1))</f>
        <v/>
      </c>
      <c r="J77" s="34">
        <f>IF(OR('Historique ajusté'!J77="",'Historique ajusté'!J76=""),"",IF(ABS(LN('Historique ajusté'!J77/'Historique ajusté'!J76))&gt;Seuil_aberrant,"",'Historique ajusté'!J77/'Historique ajusté'!J76-1))</f>
        <v/>
      </c>
      <c r="K77" s="34">
        <f>IF(OR('Historique ajusté'!K77="",'Historique ajusté'!K76=""),"",IF(ABS(LN('Historique ajusté'!K77/'Historique ajusté'!K76))&gt;Seuil_aberrant,"",'Historique ajusté'!K77/'Historique ajusté'!K76-1))</f>
        <v/>
      </c>
      <c r="L77" s="34">
        <f>IF(OR('Historique ajusté'!L77="",'Historique ajusté'!L76=""),"",IF(ABS(LN('Historique ajusté'!L77/'Historique ajusté'!L76))&gt;Seuil_aberrant,"",'Historique ajusté'!L77/'Historique ajusté'!L76-1))</f>
        <v/>
      </c>
      <c r="M77" s="34">
        <f>IF(OR('Historique ajusté'!M77="",'Historique ajusté'!M76=""),"",IF(ABS(LN('Historique ajusté'!M77/'Historique ajusté'!M76))&gt;Seuil_aberrant,"",'Historique ajusté'!M77/'Historique ajusté'!M76-1))</f>
        <v/>
      </c>
      <c r="N77" s="34">
        <f>IF(OR('Historique ajusté'!N77="",'Historique ajusté'!N76=""),"",IF(ABS(LN('Historique ajusté'!N77/'Historique ajusté'!N76))&gt;Seuil_aberrant,"",'Historique ajusté'!N77/'Historique ajusté'!N76-1))</f>
        <v/>
      </c>
      <c r="O77" s="34">
        <f>IF(OR('Historique ajusté'!O77="",'Historique ajusté'!O76=""),"",IF(ABS(LN('Historique ajusté'!O77/'Historique ajusté'!O76))&gt;Seuil_aberrant,"",'Historique ajusté'!O77/'Historique ajusté'!O76-1))</f>
        <v/>
      </c>
      <c r="P77" s="34">
        <f>IF(OR('Historique ajusté'!P77="",'Historique ajusté'!P76=""),"",IF(ABS(LN('Historique ajusté'!P77/'Historique ajusté'!P76))&gt;Seuil_aberrant,"",'Historique ajusté'!P77/'Historique ajusté'!P76-1))</f>
        <v/>
      </c>
    </row>
    <row r="78">
      <c r="B78" s="32">
        <f>'Historique ajusté'!B78</f>
        <v/>
      </c>
      <c r="C78" s="34">
        <f>IF(OR('Historique ajusté'!C78="",'Historique ajusté'!C77=""),"",IF(ABS(LN('Historique ajusté'!C78/'Historique ajusté'!C77))&gt;Seuil_aberrant,"",'Historique ajusté'!C78/'Historique ajusté'!C77-1))</f>
        <v/>
      </c>
      <c r="D78" s="34">
        <f>IF(OR('Historique ajusté'!D78="",'Historique ajusté'!D77=""),"",IF(ABS(LN('Historique ajusté'!D78/'Historique ajusté'!D77))&gt;Seuil_aberrant,"",'Historique ajusté'!D78/'Historique ajusté'!D77-1))</f>
        <v/>
      </c>
      <c r="E78" s="34">
        <f>IF(OR('Historique ajusté'!E78="",'Historique ajusté'!E77=""),"",IF(ABS(LN('Historique ajusté'!E78/'Historique ajusté'!E77))&gt;Seuil_aberrant,"",'Historique ajusté'!E78/'Historique ajusté'!E77-1))</f>
        <v/>
      </c>
      <c r="F78" s="34">
        <f>IF(OR('Historique ajusté'!F78="",'Historique ajusté'!F77=""),"",IF(ABS(LN('Historique ajusté'!F78/'Historique ajusté'!F77))&gt;Seuil_aberrant,"",'Historique ajusté'!F78/'Historique ajusté'!F77-1))</f>
        <v/>
      </c>
      <c r="G78" s="34">
        <f>IF(OR('Historique ajusté'!G78="",'Historique ajusté'!G77=""),"",IF(ABS(LN('Historique ajusté'!G78/'Historique ajusté'!G77))&gt;Seuil_aberrant,"",'Historique ajusté'!G78/'Historique ajusté'!G77-1))</f>
        <v/>
      </c>
      <c r="H78" s="34">
        <f>IF(OR('Historique ajusté'!H78="",'Historique ajusté'!H77=""),"",IF(ABS(LN('Historique ajusté'!H78/'Historique ajusté'!H77))&gt;Seuil_aberrant,"",'Historique ajusté'!H78/'Historique ajusté'!H77-1))</f>
        <v/>
      </c>
      <c r="I78" s="34">
        <f>IF(OR('Historique ajusté'!I78="",'Historique ajusté'!I77=""),"",IF(ABS(LN('Historique ajusté'!I78/'Historique ajusté'!I77))&gt;Seuil_aberrant,"",'Historique ajusté'!I78/'Historique ajusté'!I77-1))</f>
        <v/>
      </c>
      <c r="J78" s="34">
        <f>IF(OR('Historique ajusté'!J78="",'Historique ajusté'!J77=""),"",IF(ABS(LN('Historique ajusté'!J78/'Historique ajusté'!J77))&gt;Seuil_aberrant,"",'Historique ajusté'!J78/'Historique ajusté'!J77-1))</f>
        <v/>
      </c>
      <c r="K78" s="34">
        <f>IF(OR('Historique ajusté'!K78="",'Historique ajusté'!K77=""),"",IF(ABS(LN('Historique ajusté'!K78/'Historique ajusté'!K77))&gt;Seuil_aberrant,"",'Historique ajusté'!K78/'Historique ajusté'!K77-1))</f>
        <v/>
      </c>
      <c r="L78" s="34">
        <f>IF(OR('Historique ajusté'!L78="",'Historique ajusté'!L77=""),"",IF(ABS(LN('Historique ajusté'!L78/'Historique ajusté'!L77))&gt;Seuil_aberrant,"",'Historique ajusté'!L78/'Historique ajusté'!L77-1))</f>
        <v/>
      </c>
      <c r="M78" s="34">
        <f>IF(OR('Historique ajusté'!M78="",'Historique ajusté'!M77=""),"",IF(ABS(LN('Historique ajusté'!M78/'Historique ajusté'!M77))&gt;Seuil_aberrant,"",'Historique ajusté'!M78/'Historique ajusté'!M77-1))</f>
        <v/>
      </c>
      <c r="N78" s="34">
        <f>IF(OR('Historique ajusté'!N78="",'Historique ajusté'!N77=""),"",IF(ABS(LN('Historique ajusté'!N78/'Historique ajusté'!N77))&gt;Seuil_aberrant,"",'Historique ajusté'!N78/'Historique ajusté'!N77-1))</f>
        <v/>
      </c>
      <c r="O78" s="34">
        <f>IF(OR('Historique ajusté'!O78="",'Historique ajusté'!O77=""),"",IF(ABS(LN('Historique ajusté'!O78/'Historique ajusté'!O77))&gt;Seuil_aberrant,"",'Historique ajusté'!O78/'Historique ajusté'!O77-1))</f>
        <v/>
      </c>
      <c r="P78" s="34">
        <f>IF(OR('Historique ajusté'!P78="",'Historique ajusté'!P77=""),"",IF(ABS(LN('Historique ajusté'!P78/'Historique ajusté'!P77))&gt;Seuil_aberrant,"",'Historique ajusté'!P78/'Historique ajusté'!P77-1))</f>
        <v/>
      </c>
    </row>
    <row r="79">
      <c r="B79" s="32">
        <f>'Historique ajusté'!B79</f>
        <v/>
      </c>
      <c r="C79" s="34">
        <f>IF(OR('Historique ajusté'!C79="",'Historique ajusté'!C78=""),"",IF(ABS(LN('Historique ajusté'!C79/'Historique ajusté'!C78))&gt;Seuil_aberrant,"",'Historique ajusté'!C79/'Historique ajusté'!C78-1))</f>
        <v/>
      </c>
      <c r="D79" s="34">
        <f>IF(OR('Historique ajusté'!D79="",'Historique ajusté'!D78=""),"",IF(ABS(LN('Historique ajusté'!D79/'Historique ajusté'!D78))&gt;Seuil_aberrant,"",'Historique ajusté'!D79/'Historique ajusté'!D78-1))</f>
        <v/>
      </c>
      <c r="E79" s="34">
        <f>IF(OR('Historique ajusté'!E79="",'Historique ajusté'!E78=""),"",IF(ABS(LN('Historique ajusté'!E79/'Historique ajusté'!E78))&gt;Seuil_aberrant,"",'Historique ajusté'!E79/'Historique ajusté'!E78-1))</f>
        <v/>
      </c>
      <c r="F79" s="34">
        <f>IF(OR('Historique ajusté'!F79="",'Historique ajusté'!F78=""),"",IF(ABS(LN('Historique ajusté'!F79/'Historique ajusté'!F78))&gt;Seuil_aberrant,"",'Historique ajusté'!F79/'Historique ajusté'!F78-1))</f>
        <v/>
      </c>
      <c r="G79" s="34">
        <f>IF(OR('Historique ajusté'!G79="",'Historique ajusté'!G78=""),"",IF(ABS(LN('Historique ajusté'!G79/'Historique ajusté'!G78))&gt;Seuil_aberrant,"",'Historique ajusté'!G79/'Historique ajusté'!G78-1))</f>
        <v/>
      </c>
      <c r="H79" s="34">
        <f>IF(OR('Historique ajusté'!H79="",'Historique ajusté'!H78=""),"",IF(ABS(LN('Historique ajusté'!H79/'Historique ajusté'!H78))&gt;Seuil_aberrant,"",'Historique ajusté'!H79/'Historique ajusté'!H78-1))</f>
        <v/>
      </c>
      <c r="I79" s="34">
        <f>IF(OR('Historique ajusté'!I79="",'Historique ajusté'!I78=""),"",IF(ABS(LN('Historique ajusté'!I79/'Historique ajusté'!I78))&gt;Seuil_aberrant,"",'Historique ajusté'!I79/'Historique ajusté'!I78-1))</f>
        <v/>
      </c>
      <c r="J79" s="34">
        <f>IF(OR('Historique ajusté'!J79="",'Historique ajusté'!J78=""),"",IF(ABS(LN('Historique ajusté'!J79/'Historique ajusté'!J78))&gt;Seuil_aberrant,"",'Historique ajusté'!J79/'Historique ajusté'!J78-1))</f>
        <v/>
      </c>
      <c r="K79" s="34">
        <f>IF(OR('Historique ajusté'!K79="",'Historique ajusté'!K78=""),"",IF(ABS(LN('Historique ajusté'!K79/'Historique ajusté'!K78))&gt;Seuil_aberrant,"",'Historique ajusté'!K79/'Historique ajusté'!K78-1))</f>
        <v/>
      </c>
      <c r="L79" s="34">
        <f>IF(OR('Historique ajusté'!L79="",'Historique ajusté'!L78=""),"",IF(ABS(LN('Historique ajusté'!L79/'Historique ajusté'!L78))&gt;Seuil_aberrant,"",'Historique ajusté'!L79/'Historique ajusté'!L78-1))</f>
        <v/>
      </c>
      <c r="M79" s="34">
        <f>IF(OR('Historique ajusté'!M79="",'Historique ajusté'!M78=""),"",IF(ABS(LN('Historique ajusté'!M79/'Historique ajusté'!M78))&gt;Seuil_aberrant,"",'Historique ajusté'!M79/'Historique ajusté'!M78-1))</f>
        <v/>
      </c>
      <c r="N79" s="34">
        <f>IF(OR('Historique ajusté'!N79="",'Historique ajusté'!N78=""),"",IF(ABS(LN('Historique ajusté'!N79/'Historique ajusté'!N78))&gt;Seuil_aberrant,"",'Historique ajusté'!N79/'Historique ajusté'!N78-1))</f>
        <v/>
      </c>
      <c r="O79" s="34">
        <f>IF(OR('Historique ajusté'!O79="",'Historique ajusté'!O78=""),"",IF(ABS(LN('Historique ajusté'!O79/'Historique ajusté'!O78))&gt;Seuil_aberrant,"",'Historique ajusté'!O79/'Historique ajusté'!O78-1))</f>
        <v/>
      </c>
      <c r="P79" s="34">
        <f>IF(OR('Historique ajusté'!P79="",'Historique ajusté'!P78=""),"",IF(ABS(LN('Historique ajusté'!P79/'Historique ajusté'!P78))&gt;Seuil_aberrant,"",'Historique ajusté'!P79/'Historique ajusté'!P78-1))</f>
        <v/>
      </c>
    </row>
    <row r="80">
      <c r="B80" s="32">
        <f>'Historique ajusté'!B80</f>
        <v/>
      </c>
      <c r="C80" s="34">
        <f>IF(OR('Historique ajusté'!C80="",'Historique ajusté'!C79=""),"",IF(ABS(LN('Historique ajusté'!C80/'Historique ajusté'!C79))&gt;Seuil_aberrant,"",'Historique ajusté'!C80/'Historique ajusté'!C79-1))</f>
        <v/>
      </c>
      <c r="D80" s="34">
        <f>IF(OR('Historique ajusté'!D80="",'Historique ajusté'!D79=""),"",IF(ABS(LN('Historique ajusté'!D80/'Historique ajusté'!D79))&gt;Seuil_aberrant,"",'Historique ajusté'!D80/'Historique ajusté'!D79-1))</f>
        <v/>
      </c>
      <c r="E80" s="34">
        <f>IF(OR('Historique ajusté'!E80="",'Historique ajusté'!E79=""),"",IF(ABS(LN('Historique ajusté'!E80/'Historique ajusté'!E79))&gt;Seuil_aberrant,"",'Historique ajusté'!E80/'Historique ajusté'!E79-1))</f>
        <v/>
      </c>
      <c r="F80" s="34">
        <f>IF(OR('Historique ajusté'!F80="",'Historique ajusté'!F79=""),"",IF(ABS(LN('Historique ajusté'!F80/'Historique ajusté'!F79))&gt;Seuil_aberrant,"",'Historique ajusté'!F80/'Historique ajusté'!F79-1))</f>
        <v/>
      </c>
      <c r="G80" s="34">
        <f>IF(OR('Historique ajusté'!G80="",'Historique ajusté'!G79=""),"",IF(ABS(LN('Historique ajusté'!G80/'Historique ajusté'!G79))&gt;Seuil_aberrant,"",'Historique ajusté'!G80/'Historique ajusté'!G79-1))</f>
        <v/>
      </c>
      <c r="H80" s="34">
        <f>IF(OR('Historique ajusté'!H80="",'Historique ajusté'!H79=""),"",IF(ABS(LN('Historique ajusté'!H80/'Historique ajusté'!H79))&gt;Seuil_aberrant,"",'Historique ajusté'!H80/'Historique ajusté'!H79-1))</f>
        <v/>
      </c>
      <c r="I80" s="34">
        <f>IF(OR('Historique ajusté'!I80="",'Historique ajusté'!I79=""),"",IF(ABS(LN('Historique ajusté'!I80/'Historique ajusté'!I79))&gt;Seuil_aberrant,"",'Historique ajusté'!I80/'Historique ajusté'!I79-1))</f>
        <v/>
      </c>
      <c r="J80" s="34">
        <f>IF(OR('Historique ajusté'!J80="",'Historique ajusté'!J79=""),"",IF(ABS(LN('Historique ajusté'!J80/'Historique ajusté'!J79))&gt;Seuil_aberrant,"",'Historique ajusté'!J80/'Historique ajusté'!J79-1))</f>
        <v/>
      </c>
      <c r="K80" s="34">
        <f>IF(OR('Historique ajusté'!K80="",'Historique ajusté'!K79=""),"",IF(ABS(LN('Historique ajusté'!K80/'Historique ajusté'!K79))&gt;Seuil_aberrant,"",'Historique ajusté'!K80/'Historique ajusté'!K79-1))</f>
        <v/>
      </c>
      <c r="L80" s="34">
        <f>IF(OR('Historique ajusté'!L80="",'Historique ajusté'!L79=""),"",IF(ABS(LN('Historique ajusté'!L80/'Historique ajusté'!L79))&gt;Seuil_aberrant,"",'Historique ajusté'!L80/'Historique ajusté'!L79-1))</f>
        <v/>
      </c>
      <c r="M80" s="34">
        <f>IF(OR('Historique ajusté'!M80="",'Historique ajusté'!M79=""),"",IF(ABS(LN('Historique ajusté'!M80/'Historique ajusté'!M79))&gt;Seuil_aberrant,"",'Historique ajusté'!M80/'Historique ajusté'!M79-1))</f>
        <v/>
      </c>
      <c r="N80" s="34">
        <f>IF(OR('Historique ajusté'!N80="",'Historique ajusté'!N79=""),"",IF(ABS(LN('Historique ajusté'!N80/'Historique ajusté'!N79))&gt;Seuil_aberrant,"",'Historique ajusté'!N80/'Historique ajusté'!N79-1))</f>
        <v/>
      </c>
      <c r="O80" s="34">
        <f>IF(OR('Historique ajusté'!O80="",'Historique ajusté'!O79=""),"",IF(ABS(LN('Historique ajusté'!O80/'Historique ajusté'!O79))&gt;Seuil_aberrant,"",'Historique ajusté'!O80/'Historique ajusté'!O79-1))</f>
        <v/>
      </c>
      <c r="P80" s="34">
        <f>IF(OR('Historique ajusté'!P80="",'Historique ajusté'!P79=""),"",IF(ABS(LN('Historique ajusté'!P80/'Historique ajusté'!P79))&gt;Seuil_aberrant,"",'Historique ajusté'!P80/'Historique ajusté'!P79-1))</f>
        <v/>
      </c>
    </row>
    <row r="81">
      <c r="B81" s="32">
        <f>'Historique ajusté'!B81</f>
        <v/>
      </c>
      <c r="C81" s="34">
        <f>IF(OR('Historique ajusté'!C81="",'Historique ajusté'!C80=""),"",IF(ABS(LN('Historique ajusté'!C81/'Historique ajusté'!C80))&gt;Seuil_aberrant,"",'Historique ajusté'!C81/'Historique ajusté'!C80-1))</f>
        <v/>
      </c>
      <c r="D81" s="34">
        <f>IF(OR('Historique ajusté'!D81="",'Historique ajusté'!D80=""),"",IF(ABS(LN('Historique ajusté'!D81/'Historique ajusté'!D80))&gt;Seuil_aberrant,"",'Historique ajusté'!D81/'Historique ajusté'!D80-1))</f>
        <v/>
      </c>
      <c r="E81" s="34">
        <f>IF(OR('Historique ajusté'!E81="",'Historique ajusté'!E80=""),"",IF(ABS(LN('Historique ajusté'!E81/'Historique ajusté'!E80))&gt;Seuil_aberrant,"",'Historique ajusté'!E81/'Historique ajusté'!E80-1))</f>
        <v/>
      </c>
      <c r="F81" s="34">
        <f>IF(OR('Historique ajusté'!F81="",'Historique ajusté'!F80=""),"",IF(ABS(LN('Historique ajusté'!F81/'Historique ajusté'!F80))&gt;Seuil_aberrant,"",'Historique ajusté'!F81/'Historique ajusté'!F80-1))</f>
        <v/>
      </c>
      <c r="G81" s="34">
        <f>IF(OR('Historique ajusté'!G81="",'Historique ajusté'!G80=""),"",IF(ABS(LN('Historique ajusté'!G81/'Historique ajusté'!G80))&gt;Seuil_aberrant,"",'Historique ajusté'!G81/'Historique ajusté'!G80-1))</f>
        <v/>
      </c>
      <c r="H81" s="34">
        <f>IF(OR('Historique ajusté'!H81="",'Historique ajusté'!H80=""),"",IF(ABS(LN('Historique ajusté'!H81/'Historique ajusté'!H80))&gt;Seuil_aberrant,"",'Historique ajusté'!H81/'Historique ajusté'!H80-1))</f>
        <v/>
      </c>
      <c r="I81" s="34">
        <f>IF(OR('Historique ajusté'!I81="",'Historique ajusté'!I80=""),"",IF(ABS(LN('Historique ajusté'!I81/'Historique ajusté'!I80))&gt;Seuil_aberrant,"",'Historique ajusté'!I81/'Historique ajusté'!I80-1))</f>
        <v/>
      </c>
      <c r="J81" s="34">
        <f>IF(OR('Historique ajusté'!J81="",'Historique ajusté'!J80=""),"",IF(ABS(LN('Historique ajusté'!J81/'Historique ajusté'!J80))&gt;Seuil_aberrant,"",'Historique ajusté'!J81/'Historique ajusté'!J80-1))</f>
        <v/>
      </c>
      <c r="K81" s="34">
        <f>IF(OR('Historique ajusté'!K81="",'Historique ajusté'!K80=""),"",IF(ABS(LN('Historique ajusté'!K81/'Historique ajusté'!K80))&gt;Seuil_aberrant,"",'Historique ajusté'!K81/'Historique ajusté'!K80-1))</f>
        <v/>
      </c>
      <c r="L81" s="34">
        <f>IF(OR('Historique ajusté'!L81="",'Historique ajusté'!L80=""),"",IF(ABS(LN('Historique ajusté'!L81/'Historique ajusté'!L80))&gt;Seuil_aberrant,"",'Historique ajusté'!L81/'Historique ajusté'!L80-1))</f>
        <v/>
      </c>
      <c r="M81" s="34">
        <f>IF(OR('Historique ajusté'!M81="",'Historique ajusté'!M80=""),"",IF(ABS(LN('Historique ajusté'!M81/'Historique ajusté'!M80))&gt;Seuil_aberrant,"",'Historique ajusté'!M81/'Historique ajusté'!M80-1))</f>
        <v/>
      </c>
      <c r="N81" s="34">
        <f>IF(OR('Historique ajusté'!N81="",'Historique ajusté'!N80=""),"",IF(ABS(LN('Historique ajusté'!N81/'Historique ajusté'!N80))&gt;Seuil_aberrant,"",'Historique ajusté'!N81/'Historique ajusté'!N80-1))</f>
        <v/>
      </c>
      <c r="O81" s="34">
        <f>IF(OR('Historique ajusté'!O81="",'Historique ajusté'!O80=""),"",IF(ABS(LN('Historique ajusté'!O81/'Historique ajusté'!O80))&gt;Seuil_aberrant,"",'Historique ajusté'!O81/'Historique ajusté'!O80-1))</f>
        <v/>
      </c>
      <c r="P81" s="34">
        <f>IF(OR('Historique ajusté'!P81="",'Historique ajusté'!P80=""),"",IF(ABS(LN('Historique ajusté'!P81/'Historique ajusté'!P80))&gt;Seuil_aberrant,"",'Historique ajusté'!P81/'Historique ajusté'!P80-1))</f>
        <v/>
      </c>
    </row>
    <row r="82">
      <c r="B82" s="32">
        <f>'Historique ajusté'!B82</f>
        <v/>
      </c>
      <c r="C82" s="34">
        <f>IF(OR('Historique ajusté'!C82="",'Historique ajusté'!C81=""),"",IF(ABS(LN('Historique ajusté'!C82/'Historique ajusté'!C81))&gt;Seuil_aberrant,"",'Historique ajusté'!C82/'Historique ajusté'!C81-1))</f>
        <v/>
      </c>
      <c r="D82" s="34">
        <f>IF(OR('Historique ajusté'!D82="",'Historique ajusté'!D81=""),"",IF(ABS(LN('Historique ajusté'!D82/'Historique ajusté'!D81))&gt;Seuil_aberrant,"",'Historique ajusté'!D82/'Historique ajusté'!D81-1))</f>
        <v/>
      </c>
      <c r="E82" s="34">
        <f>IF(OR('Historique ajusté'!E82="",'Historique ajusté'!E81=""),"",IF(ABS(LN('Historique ajusté'!E82/'Historique ajusté'!E81))&gt;Seuil_aberrant,"",'Historique ajusté'!E82/'Historique ajusté'!E81-1))</f>
        <v/>
      </c>
      <c r="F82" s="34">
        <f>IF(OR('Historique ajusté'!F82="",'Historique ajusté'!F81=""),"",IF(ABS(LN('Historique ajusté'!F82/'Historique ajusté'!F81))&gt;Seuil_aberrant,"",'Historique ajusté'!F82/'Historique ajusté'!F81-1))</f>
        <v/>
      </c>
      <c r="G82" s="34">
        <f>IF(OR('Historique ajusté'!G82="",'Historique ajusté'!G81=""),"",IF(ABS(LN('Historique ajusté'!G82/'Historique ajusté'!G81))&gt;Seuil_aberrant,"",'Historique ajusté'!G82/'Historique ajusté'!G81-1))</f>
        <v/>
      </c>
      <c r="H82" s="34">
        <f>IF(OR('Historique ajusté'!H82="",'Historique ajusté'!H81=""),"",IF(ABS(LN('Historique ajusté'!H82/'Historique ajusté'!H81))&gt;Seuil_aberrant,"",'Historique ajusté'!H82/'Historique ajusté'!H81-1))</f>
        <v/>
      </c>
      <c r="I82" s="34">
        <f>IF(OR('Historique ajusté'!I82="",'Historique ajusté'!I81=""),"",IF(ABS(LN('Historique ajusté'!I82/'Historique ajusté'!I81))&gt;Seuil_aberrant,"",'Historique ajusté'!I82/'Historique ajusté'!I81-1))</f>
        <v/>
      </c>
      <c r="J82" s="34">
        <f>IF(OR('Historique ajusté'!J82="",'Historique ajusté'!J81=""),"",IF(ABS(LN('Historique ajusté'!J82/'Historique ajusté'!J81))&gt;Seuil_aberrant,"",'Historique ajusté'!J82/'Historique ajusté'!J81-1))</f>
        <v/>
      </c>
      <c r="K82" s="34">
        <f>IF(OR('Historique ajusté'!K82="",'Historique ajusté'!K81=""),"",IF(ABS(LN('Historique ajusté'!K82/'Historique ajusté'!K81))&gt;Seuil_aberrant,"",'Historique ajusté'!K82/'Historique ajusté'!K81-1))</f>
        <v/>
      </c>
      <c r="L82" s="34">
        <f>IF(OR('Historique ajusté'!L82="",'Historique ajusté'!L81=""),"",IF(ABS(LN('Historique ajusté'!L82/'Historique ajusté'!L81))&gt;Seuil_aberrant,"",'Historique ajusté'!L82/'Historique ajusté'!L81-1))</f>
        <v/>
      </c>
      <c r="M82" s="34">
        <f>IF(OR('Historique ajusté'!M82="",'Historique ajusté'!M81=""),"",IF(ABS(LN('Historique ajusté'!M82/'Historique ajusté'!M81))&gt;Seuil_aberrant,"",'Historique ajusté'!M82/'Historique ajusté'!M81-1))</f>
        <v/>
      </c>
      <c r="N82" s="34">
        <f>IF(OR('Historique ajusté'!N82="",'Historique ajusté'!N81=""),"",IF(ABS(LN('Historique ajusté'!N82/'Historique ajusté'!N81))&gt;Seuil_aberrant,"",'Historique ajusté'!N82/'Historique ajusté'!N81-1))</f>
        <v/>
      </c>
      <c r="O82" s="34">
        <f>IF(OR('Historique ajusté'!O82="",'Historique ajusté'!O81=""),"",IF(ABS(LN('Historique ajusté'!O82/'Historique ajusté'!O81))&gt;Seuil_aberrant,"",'Historique ajusté'!O82/'Historique ajusté'!O81-1))</f>
        <v/>
      </c>
      <c r="P82" s="34">
        <f>IF(OR('Historique ajusté'!P82="",'Historique ajusté'!P81=""),"",IF(ABS(LN('Historique ajusté'!P82/'Historique ajusté'!P81))&gt;Seuil_aberrant,"",'Historique ajusté'!P82/'Historique ajusté'!P81-1))</f>
        <v/>
      </c>
    </row>
    <row r="83">
      <c r="B83" s="32">
        <f>'Historique ajusté'!B83</f>
        <v/>
      </c>
      <c r="C83" s="34">
        <f>IF(OR('Historique ajusté'!C83="",'Historique ajusté'!C82=""),"",IF(ABS(LN('Historique ajusté'!C83/'Historique ajusté'!C82))&gt;Seuil_aberrant,"",'Historique ajusté'!C83/'Historique ajusté'!C82-1))</f>
        <v/>
      </c>
      <c r="D83" s="34">
        <f>IF(OR('Historique ajusté'!D83="",'Historique ajusté'!D82=""),"",IF(ABS(LN('Historique ajusté'!D83/'Historique ajusté'!D82))&gt;Seuil_aberrant,"",'Historique ajusté'!D83/'Historique ajusté'!D82-1))</f>
        <v/>
      </c>
      <c r="E83" s="34">
        <f>IF(OR('Historique ajusté'!E83="",'Historique ajusté'!E82=""),"",IF(ABS(LN('Historique ajusté'!E83/'Historique ajusté'!E82))&gt;Seuil_aberrant,"",'Historique ajusté'!E83/'Historique ajusté'!E82-1))</f>
        <v/>
      </c>
      <c r="F83" s="34">
        <f>IF(OR('Historique ajusté'!F83="",'Historique ajusté'!F82=""),"",IF(ABS(LN('Historique ajusté'!F83/'Historique ajusté'!F82))&gt;Seuil_aberrant,"",'Historique ajusté'!F83/'Historique ajusté'!F82-1))</f>
        <v/>
      </c>
      <c r="G83" s="34">
        <f>IF(OR('Historique ajusté'!G83="",'Historique ajusté'!G82=""),"",IF(ABS(LN('Historique ajusté'!G83/'Historique ajusté'!G82))&gt;Seuil_aberrant,"",'Historique ajusté'!G83/'Historique ajusté'!G82-1))</f>
        <v/>
      </c>
      <c r="H83" s="34">
        <f>IF(OR('Historique ajusté'!H83="",'Historique ajusté'!H82=""),"",IF(ABS(LN('Historique ajusté'!H83/'Historique ajusté'!H82))&gt;Seuil_aberrant,"",'Historique ajusté'!H83/'Historique ajusté'!H82-1))</f>
        <v/>
      </c>
      <c r="I83" s="34">
        <f>IF(OR('Historique ajusté'!I83="",'Historique ajusté'!I82=""),"",IF(ABS(LN('Historique ajusté'!I83/'Historique ajusté'!I82))&gt;Seuil_aberrant,"",'Historique ajusté'!I83/'Historique ajusté'!I82-1))</f>
        <v/>
      </c>
      <c r="J83" s="34">
        <f>IF(OR('Historique ajusté'!J83="",'Historique ajusté'!J82=""),"",IF(ABS(LN('Historique ajusté'!J83/'Historique ajusté'!J82))&gt;Seuil_aberrant,"",'Historique ajusté'!J83/'Historique ajusté'!J82-1))</f>
        <v/>
      </c>
      <c r="K83" s="34">
        <f>IF(OR('Historique ajusté'!K83="",'Historique ajusté'!K82=""),"",IF(ABS(LN('Historique ajusté'!K83/'Historique ajusté'!K82))&gt;Seuil_aberrant,"",'Historique ajusté'!K83/'Historique ajusté'!K82-1))</f>
        <v/>
      </c>
      <c r="L83" s="34">
        <f>IF(OR('Historique ajusté'!L83="",'Historique ajusté'!L82=""),"",IF(ABS(LN('Historique ajusté'!L83/'Historique ajusté'!L82))&gt;Seuil_aberrant,"",'Historique ajusté'!L83/'Historique ajusté'!L82-1))</f>
        <v/>
      </c>
      <c r="M83" s="34">
        <f>IF(OR('Historique ajusté'!M83="",'Historique ajusté'!M82=""),"",IF(ABS(LN('Historique ajusté'!M83/'Historique ajusté'!M82))&gt;Seuil_aberrant,"",'Historique ajusté'!M83/'Historique ajusté'!M82-1))</f>
        <v/>
      </c>
      <c r="N83" s="34">
        <f>IF(OR('Historique ajusté'!N83="",'Historique ajusté'!N82=""),"",IF(ABS(LN('Historique ajusté'!N83/'Historique ajusté'!N82))&gt;Seuil_aberrant,"",'Historique ajusté'!N83/'Historique ajusté'!N82-1))</f>
        <v/>
      </c>
      <c r="O83" s="34">
        <f>IF(OR('Historique ajusté'!O83="",'Historique ajusté'!O82=""),"",IF(ABS(LN('Historique ajusté'!O83/'Historique ajusté'!O82))&gt;Seuil_aberrant,"",'Historique ajusté'!O83/'Historique ajusté'!O82-1))</f>
        <v/>
      </c>
      <c r="P83" s="34">
        <f>IF(OR('Historique ajusté'!P83="",'Historique ajusté'!P82=""),"",IF(ABS(LN('Historique ajusté'!P83/'Historique ajusté'!P82))&gt;Seuil_aberrant,"",'Historique ajusté'!P83/'Historique ajusté'!P82-1))</f>
        <v/>
      </c>
    </row>
    <row r="84">
      <c r="B84" s="32">
        <f>'Historique ajusté'!B84</f>
        <v/>
      </c>
      <c r="C84" s="34">
        <f>IF(OR('Historique ajusté'!C84="",'Historique ajusté'!C83=""),"",IF(ABS(LN('Historique ajusté'!C84/'Historique ajusté'!C83))&gt;Seuil_aberrant,"",'Historique ajusté'!C84/'Historique ajusté'!C83-1))</f>
        <v/>
      </c>
      <c r="D84" s="34">
        <f>IF(OR('Historique ajusté'!D84="",'Historique ajusté'!D83=""),"",IF(ABS(LN('Historique ajusté'!D84/'Historique ajusté'!D83))&gt;Seuil_aberrant,"",'Historique ajusté'!D84/'Historique ajusté'!D83-1))</f>
        <v/>
      </c>
      <c r="E84" s="34">
        <f>IF(OR('Historique ajusté'!E84="",'Historique ajusté'!E83=""),"",IF(ABS(LN('Historique ajusté'!E84/'Historique ajusté'!E83))&gt;Seuil_aberrant,"",'Historique ajusté'!E84/'Historique ajusté'!E83-1))</f>
        <v/>
      </c>
      <c r="F84" s="34">
        <f>IF(OR('Historique ajusté'!F84="",'Historique ajusté'!F83=""),"",IF(ABS(LN('Historique ajusté'!F84/'Historique ajusté'!F83))&gt;Seuil_aberrant,"",'Historique ajusté'!F84/'Historique ajusté'!F83-1))</f>
        <v/>
      </c>
      <c r="G84" s="34">
        <f>IF(OR('Historique ajusté'!G84="",'Historique ajusté'!G83=""),"",IF(ABS(LN('Historique ajusté'!G84/'Historique ajusté'!G83))&gt;Seuil_aberrant,"",'Historique ajusté'!G84/'Historique ajusté'!G83-1))</f>
        <v/>
      </c>
      <c r="H84" s="34">
        <f>IF(OR('Historique ajusté'!H84="",'Historique ajusté'!H83=""),"",IF(ABS(LN('Historique ajusté'!H84/'Historique ajusté'!H83))&gt;Seuil_aberrant,"",'Historique ajusté'!H84/'Historique ajusté'!H83-1))</f>
        <v/>
      </c>
      <c r="I84" s="34">
        <f>IF(OR('Historique ajusté'!I84="",'Historique ajusté'!I83=""),"",IF(ABS(LN('Historique ajusté'!I84/'Historique ajusté'!I83))&gt;Seuil_aberrant,"",'Historique ajusté'!I84/'Historique ajusté'!I83-1))</f>
        <v/>
      </c>
      <c r="J84" s="34">
        <f>IF(OR('Historique ajusté'!J84="",'Historique ajusté'!J83=""),"",IF(ABS(LN('Historique ajusté'!J84/'Historique ajusté'!J83))&gt;Seuil_aberrant,"",'Historique ajusté'!J84/'Historique ajusté'!J83-1))</f>
        <v/>
      </c>
      <c r="K84" s="34">
        <f>IF(OR('Historique ajusté'!K84="",'Historique ajusté'!K83=""),"",IF(ABS(LN('Historique ajusté'!K84/'Historique ajusté'!K83))&gt;Seuil_aberrant,"",'Historique ajusté'!K84/'Historique ajusté'!K83-1))</f>
        <v/>
      </c>
      <c r="L84" s="34">
        <f>IF(OR('Historique ajusté'!L84="",'Historique ajusté'!L83=""),"",IF(ABS(LN('Historique ajusté'!L84/'Historique ajusté'!L83))&gt;Seuil_aberrant,"",'Historique ajusté'!L84/'Historique ajusté'!L83-1))</f>
        <v/>
      </c>
      <c r="M84" s="34">
        <f>IF(OR('Historique ajusté'!M84="",'Historique ajusté'!M83=""),"",IF(ABS(LN('Historique ajusté'!M84/'Historique ajusté'!M83))&gt;Seuil_aberrant,"",'Historique ajusté'!M84/'Historique ajusté'!M83-1))</f>
        <v/>
      </c>
      <c r="N84" s="34">
        <f>IF(OR('Historique ajusté'!N84="",'Historique ajusté'!N83=""),"",IF(ABS(LN('Historique ajusté'!N84/'Historique ajusté'!N83))&gt;Seuil_aberrant,"",'Historique ajusté'!N84/'Historique ajusté'!N83-1))</f>
        <v/>
      </c>
      <c r="O84" s="34">
        <f>IF(OR('Historique ajusté'!O84="",'Historique ajusté'!O83=""),"",IF(ABS(LN('Historique ajusté'!O84/'Historique ajusté'!O83))&gt;Seuil_aberrant,"",'Historique ajusté'!O84/'Historique ajusté'!O83-1))</f>
        <v/>
      </c>
      <c r="P84" s="34">
        <f>IF(OR('Historique ajusté'!P84="",'Historique ajusté'!P83=""),"",IF(ABS(LN('Historique ajusté'!P84/'Historique ajusté'!P83))&gt;Seuil_aberrant,"",'Historique ajusté'!P84/'Historique ajusté'!P83-1))</f>
        <v/>
      </c>
    </row>
    <row r="85">
      <c r="B85" s="32">
        <f>'Historique ajusté'!B85</f>
        <v/>
      </c>
      <c r="C85" s="34">
        <f>IF(OR('Historique ajusté'!C85="",'Historique ajusté'!C84=""),"",IF(ABS(LN('Historique ajusté'!C85/'Historique ajusté'!C84))&gt;Seuil_aberrant,"",'Historique ajusté'!C85/'Historique ajusté'!C84-1))</f>
        <v/>
      </c>
      <c r="D85" s="34">
        <f>IF(OR('Historique ajusté'!D85="",'Historique ajusté'!D84=""),"",IF(ABS(LN('Historique ajusté'!D85/'Historique ajusté'!D84))&gt;Seuil_aberrant,"",'Historique ajusté'!D85/'Historique ajusté'!D84-1))</f>
        <v/>
      </c>
      <c r="E85" s="34">
        <f>IF(OR('Historique ajusté'!E85="",'Historique ajusté'!E84=""),"",IF(ABS(LN('Historique ajusté'!E85/'Historique ajusté'!E84))&gt;Seuil_aberrant,"",'Historique ajusté'!E85/'Historique ajusté'!E84-1))</f>
        <v/>
      </c>
      <c r="F85" s="34">
        <f>IF(OR('Historique ajusté'!F85="",'Historique ajusté'!F84=""),"",IF(ABS(LN('Historique ajusté'!F85/'Historique ajusté'!F84))&gt;Seuil_aberrant,"",'Historique ajusté'!F85/'Historique ajusté'!F84-1))</f>
        <v/>
      </c>
      <c r="G85" s="34">
        <f>IF(OR('Historique ajusté'!G85="",'Historique ajusté'!G84=""),"",IF(ABS(LN('Historique ajusté'!G85/'Historique ajusté'!G84))&gt;Seuil_aberrant,"",'Historique ajusté'!G85/'Historique ajusté'!G84-1))</f>
        <v/>
      </c>
      <c r="H85" s="34">
        <f>IF(OR('Historique ajusté'!H85="",'Historique ajusté'!H84=""),"",IF(ABS(LN('Historique ajusté'!H85/'Historique ajusté'!H84))&gt;Seuil_aberrant,"",'Historique ajusté'!H85/'Historique ajusté'!H84-1))</f>
        <v/>
      </c>
      <c r="I85" s="34">
        <f>IF(OR('Historique ajusté'!I85="",'Historique ajusté'!I84=""),"",IF(ABS(LN('Historique ajusté'!I85/'Historique ajusté'!I84))&gt;Seuil_aberrant,"",'Historique ajusté'!I85/'Historique ajusté'!I84-1))</f>
        <v/>
      </c>
      <c r="J85" s="34">
        <f>IF(OR('Historique ajusté'!J85="",'Historique ajusté'!J84=""),"",IF(ABS(LN('Historique ajusté'!J85/'Historique ajusté'!J84))&gt;Seuil_aberrant,"",'Historique ajusté'!J85/'Historique ajusté'!J84-1))</f>
        <v/>
      </c>
      <c r="K85" s="34">
        <f>IF(OR('Historique ajusté'!K85="",'Historique ajusté'!K84=""),"",IF(ABS(LN('Historique ajusté'!K85/'Historique ajusté'!K84))&gt;Seuil_aberrant,"",'Historique ajusté'!K85/'Historique ajusté'!K84-1))</f>
        <v/>
      </c>
      <c r="L85" s="34">
        <f>IF(OR('Historique ajusté'!L85="",'Historique ajusté'!L84=""),"",IF(ABS(LN('Historique ajusté'!L85/'Historique ajusté'!L84))&gt;Seuil_aberrant,"",'Historique ajusté'!L85/'Historique ajusté'!L84-1))</f>
        <v/>
      </c>
      <c r="M85" s="34">
        <f>IF(OR('Historique ajusté'!M85="",'Historique ajusté'!M84=""),"",IF(ABS(LN('Historique ajusté'!M85/'Historique ajusté'!M84))&gt;Seuil_aberrant,"",'Historique ajusté'!M85/'Historique ajusté'!M84-1))</f>
        <v/>
      </c>
      <c r="N85" s="34">
        <f>IF(OR('Historique ajusté'!N85="",'Historique ajusté'!N84=""),"",IF(ABS(LN('Historique ajusté'!N85/'Historique ajusté'!N84))&gt;Seuil_aberrant,"",'Historique ajusté'!N85/'Historique ajusté'!N84-1))</f>
        <v/>
      </c>
      <c r="O85" s="34">
        <f>IF(OR('Historique ajusté'!O85="",'Historique ajusté'!O84=""),"",IF(ABS(LN('Historique ajusté'!O85/'Historique ajusté'!O84))&gt;Seuil_aberrant,"",'Historique ajusté'!O85/'Historique ajusté'!O84-1))</f>
        <v/>
      </c>
      <c r="P85" s="34">
        <f>IF(OR('Historique ajusté'!P85="",'Historique ajusté'!P84=""),"",IF(ABS(LN('Historique ajusté'!P85/'Historique ajusté'!P84))&gt;Seuil_aberrant,"",'Historique ajusté'!P85/'Historique ajusté'!P84-1))</f>
        <v/>
      </c>
    </row>
    <row r="86">
      <c r="B86" s="32">
        <f>'Historique ajusté'!B86</f>
        <v/>
      </c>
      <c r="C86" s="34">
        <f>IF(OR('Historique ajusté'!C86="",'Historique ajusté'!C85=""),"",IF(ABS(LN('Historique ajusté'!C86/'Historique ajusté'!C85))&gt;Seuil_aberrant,"",'Historique ajusté'!C86/'Historique ajusté'!C85-1))</f>
        <v/>
      </c>
      <c r="D86" s="34">
        <f>IF(OR('Historique ajusté'!D86="",'Historique ajusté'!D85=""),"",IF(ABS(LN('Historique ajusté'!D86/'Historique ajusté'!D85))&gt;Seuil_aberrant,"",'Historique ajusté'!D86/'Historique ajusté'!D85-1))</f>
        <v/>
      </c>
      <c r="E86" s="34">
        <f>IF(OR('Historique ajusté'!E86="",'Historique ajusté'!E85=""),"",IF(ABS(LN('Historique ajusté'!E86/'Historique ajusté'!E85))&gt;Seuil_aberrant,"",'Historique ajusté'!E86/'Historique ajusté'!E85-1))</f>
        <v/>
      </c>
      <c r="F86" s="34">
        <f>IF(OR('Historique ajusté'!F86="",'Historique ajusté'!F85=""),"",IF(ABS(LN('Historique ajusté'!F86/'Historique ajusté'!F85))&gt;Seuil_aberrant,"",'Historique ajusté'!F86/'Historique ajusté'!F85-1))</f>
        <v/>
      </c>
      <c r="G86" s="34">
        <f>IF(OR('Historique ajusté'!G86="",'Historique ajusté'!G85=""),"",IF(ABS(LN('Historique ajusté'!G86/'Historique ajusté'!G85))&gt;Seuil_aberrant,"",'Historique ajusté'!G86/'Historique ajusté'!G85-1))</f>
        <v/>
      </c>
      <c r="H86" s="34">
        <f>IF(OR('Historique ajusté'!H86="",'Historique ajusté'!H85=""),"",IF(ABS(LN('Historique ajusté'!H86/'Historique ajusté'!H85))&gt;Seuil_aberrant,"",'Historique ajusté'!H86/'Historique ajusté'!H85-1))</f>
        <v/>
      </c>
      <c r="I86" s="34">
        <f>IF(OR('Historique ajusté'!I86="",'Historique ajusté'!I85=""),"",IF(ABS(LN('Historique ajusté'!I86/'Historique ajusté'!I85))&gt;Seuil_aberrant,"",'Historique ajusté'!I86/'Historique ajusté'!I85-1))</f>
        <v/>
      </c>
      <c r="J86" s="34">
        <f>IF(OR('Historique ajusté'!J86="",'Historique ajusté'!J85=""),"",IF(ABS(LN('Historique ajusté'!J86/'Historique ajusté'!J85))&gt;Seuil_aberrant,"",'Historique ajusté'!J86/'Historique ajusté'!J85-1))</f>
        <v/>
      </c>
      <c r="K86" s="34">
        <f>IF(OR('Historique ajusté'!K86="",'Historique ajusté'!K85=""),"",IF(ABS(LN('Historique ajusté'!K86/'Historique ajusté'!K85))&gt;Seuil_aberrant,"",'Historique ajusté'!K86/'Historique ajusté'!K85-1))</f>
        <v/>
      </c>
      <c r="L86" s="34">
        <f>IF(OR('Historique ajusté'!L86="",'Historique ajusté'!L85=""),"",IF(ABS(LN('Historique ajusté'!L86/'Historique ajusté'!L85))&gt;Seuil_aberrant,"",'Historique ajusté'!L86/'Historique ajusté'!L85-1))</f>
        <v/>
      </c>
      <c r="M86" s="34">
        <f>IF(OR('Historique ajusté'!M86="",'Historique ajusté'!M85=""),"",IF(ABS(LN('Historique ajusté'!M86/'Historique ajusté'!M85))&gt;Seuil_aberrant,"",'Historique ajusté'!M86/'Historique ajusté'!M85-1))</f>
        <v/>
      </c>
      <c r="N86" s="34">
        <f>IF(OR('Historique ajusté'!N86="",'Historique ajusté'!N85=""),"",IF(ABS(LN('Historique ajusté'!N86/'Historique ajusté'!N85))&gt;Seuil_aberrant,"",'Historique ajusté'!N86/'Historique ajusté'!N85-1))</f>
        <v/>
      </c>
      <c r="O86" s="34">
        <f>IF(OR('Historique ajusté'!O86="",'Historique ajusté'!O85=""),"",IF(ABS(LN('Historique ajusté'!O86/'Historique ajusté'!O85))&gt;Seuil_aberrant,"",'Historique ajusté'!O86/'Historique ajusté'!O85-1))</f>
        <v/>
      </c>
      <c r="P86" s="34">
        <f>IF(OR('Historique ajusté'!P86="",'Historique ajusté'!P85=""),"",IF(ABS(LN('Historique ajusté'!P86/'Historique ajusté'!P85))&gt;Seuil_aberrant,"",'Historique ajusté'!P86/'Historique ajusté'!P85-1))</f>
        <v/>
      </c>
    </row>
    <row r="87">
      <c r="B87" s="32">
        <f>'Historique ajusté'!B87</f>
        <v/>
      </c>
      <c r="C87" s="34">
        <f>IF(OR('Historique ajusté'!C87="",'Historique ajusté'!C86=""),"",IF(ABS(LN('Historique ajusté'!C87/'Historique ajusté'!C86))&gt;Seuil_aberrant,"",'Historique ajusté'!C87/'Historique ajusté'!C86-1))</f>
        <v/>
      </c>
      <c r="D87" s="34">
        <f>IF(OR('Historique ajusté'!D87="",'Historique ajusté'!D86=""),"",IF(ABS(LN('Historique ajusté'!D87/'Historique ajusté'!D86))&gt;Seuil_aberrant,"",'Historique ajusté'!D87/'Historique ajusté'!D86-1))</f>
        <v/>
      </c>
      <c r="E87" s="34">
        <f>IF(OR('Historique ajusté'!E87="",'Historique ajusté'!E86=""),"",IF(ABS(LN('Historique ajusté'!E87/'Historique ajusté'!E86))&gt;Seuil_aberrant,"",'Historique ajusté'!E87/'Historique ajusté'!E86-1))</f>
        <v/>
      </c>
      <c r="F87" s="34">
        <f>IF(OR('Historique ajusté'!F87="",'Historique ajusté'!F86=""),"",IF(ABS(LN('Historique ajusté'!F87/'Historique ajusté'!F86))&gt;Seuil_aberrant,"",'Historique ajusté'!F87/'Historique ajusté'!F86-1))</f>
        <v/>
      </c>
      <c r="G87" s="34">
        <f>IF(OR('Historique ajusté'!G87="",'Historique ajusté'!G86=""),"",IF(ABS(LN('Historique ajusté'!G87/'Historique ajusté'!G86))&gt;Seuil_aberrant,"",'Historique ajusté'!G87/'Historique ajusté'!G86-1))</f>
        <v/>
      </c>
      <c r="H87" s="34">
        <f>IF(OR('Historique ajusté'!H87="",'Historique ajusté'!H86=""),"",IF(ABS(LN('Historique ajusté'!H87/'Historique ajusté'!H86))&gt;Seuil_aberrant,"",'Historique ajusté'!H87/'Historique ajusté'!H86-1))</f>
        <v/>
      </c>
      <c r="I87" s="34">
        <f>IF(OR('Historique ajusté'!I87="",'Historique ajusté'!I86=""),"",IF(ABS(LN('Historique ajusté'!I87/'Historique ajusté'!I86))&gt;Seuil_aberrant,"",'Historique ajusté'!I87/'Historique ajusté'!I86-1))</f>
        <v/>
      </c>
      <c r="J87" s="34">
        <f>IF(OR('Historique ajusté'!J87="",'Historique ajusté'!J86=""),"",IF(ABS(LN('Historique ajusté'!J87/'Historique ajusté'!J86))&gt;Seuil_aberrant,"",'Historique ajusté'!J87/'Historique ajusté'!J86-1))</f>
        <v/>
      </c>
      <c r="K87" s="34">
        <f>IF(OR('Historique ajusté'!K87="",'Historique ajusté'!K86=""),"",IF(ABS(LN('Historique ajusté'!K87/'Historique ajusté'!K86))&gt;Seuil_aberrant,"",'Historique ajusté'!K87/'Historique ajusté'!K86-1))</f>
        <v/>
      </c>
      <c r="L87" s="34">
        <f>IF(OR('Historique ajusté'!L87="",'Historique ajusté'!L86=""),"",IF(ABS(LN('Historique ajusté'!L87/'Historique ajusté'!L86))&gt;Seuil_aberrant,"",'Historique ajusté'!L87/'Historique ajusté'!L86-1))</f>
        <v/>
      </c>
      <c r="M87" s="34">
        <f>IF(OR('Historique ajusté'!M87="",'Historique ajusté'!M86=""),"",IF(ABS(LN('Historique ajusté'!M87/'Historique ajusté'!M86))&gt;Seuil_aberrant,"",'Historique ajusté'!M87/'Historique ajusté'!M86-1))</f>
        <v/>
      </c>
      <c r="N87" s="34">
        <f>IF(OR('Historique ajusté'!N87="",'Historique ajusté'!N86=""),"",IF(ABS(LN('Historique ajusté'!N87/'Historique ajusté'!N86))&gt;Seuil_aberrant,"",'Historique ajusté'!N87/'Historique ajusté'!N86-1))</f>
        <v/>
      </c>
      <c r="O87" s="34">
        <f>IF(OR('Historique ajusté'!O87="",'Historique ajusté'!O86=""),"",IF(ABS(LN('Historique ajusté'!O87/'Historique ajusté'!O86))&gt;Seuil_aberrant,"",'Historique ajusté'!O87/'Historique ajusté'!O86-1))</f>
        <v/>
      </c>
      <c r="P87" s="34">
        <f>IF(OR('Historique ajusté'!P87="",'Historique ajusté'!P86=""),"",IF(ABS(LN('Historique ajusté'!P87/'Historique ajusté'!P86))&gt;Seuil_aberrant,"",'Historique ajusté'!P87/'Historique ajusté'!P86-1))</f>
        <v/>
      </c>
    </row>
    <row r="88">
      <c r="B88" s="32">
        <f>'Historique ajusté'!B88</f>
        <v/>
      </c>
      <c r="C88" s="34">
        <f>IF(OR('Historique ajusté'!C88="",'Historique ajusté'!C87=""),"",IF(ABS(LN('Historique ajusté'!C88/'Historique ajusté'!C87))&gt;Seuil_aberrant,"",'Historique ajusté'!C88/'Historique ajusté'!C87-1))</f>
        <v/>
      </c>
      <c r="D88" s="34">
        <f>IF(OR('Historique ajusté'!D88="",'Historique ajusté'!D87=""),"",IF(ABS(LN('Historique ajusté'!D88/'Historique ajusté'!D87))&gt;Seuil_aberrant,"",'Historique ajusté'!D88/'Historique ajusté'!D87-1))</f>
        <v/>
      </c>
      <c r="E88" s="34">
        <f>IF(OR('Historique ajusté'!E88="",'Historique ajusté'!E87=""),"",IF(ABS(LN('Historique ajusté'!E88/'Historique ajusté'!E87))&gt;Seuil_aberrant,"",'Historique ajusté'!E88/'Historique ajusté'!E87-1))</f>
        <v/>
      </c>
      <c r="F88" s="34">
        <f>IF(OR('Historique ajusté'!F88="",'Historique ajusté'!F87=""),"",IF(ABS(LN('Historique ajusté'!F88/'Historique ajusté'!F87))&gt;Seuil_aberrant,"",'Historique ajusté'!F88/'Historique ajusté'!F87-1))</f>
        <v/>
      </c>
      <c r="G88" s="34">
        <f>IF(OR('Historique ajusté'!G88="",'Historique ajusté'!G87=""),"",IF(ABS(LN('Historique ajusté'!G88/'Historique ajusté'!G87))&gt;Seuil_aberrant,"",'Historique ajusté'!G88/'Historique ajusté'!G87-1))</f>
        <v/>
      </c>
      <c r="H88" s="34">
        <f>IF(OR('Historique ajusté'!H88="",'Historique ajusté'!H87=""),"",IF(ABS(LN('Historique ajusté'!H88/'Historique ajusté'!H87))&gt;Seuil_aberrant,"",'Historique ajusté'!H88/'Historique ajusté'!H87-1))</f>
        <v/>
      </c>
      <c r="I88" s="34">
        <f>IF(OR('Historique ajusté'!I88="",'Historique ajusté'!I87=""),"",IF(ABS(LN('Historique ajusté'!I88/'Historique ajusté'!I87))&gt;Seuil_aberrant,"",'Historique ajusté'!I88/'Historique ajusté'!I87-1))</f>
        <v/>
      </c>
      <c r="J88" s="34">
        <f>IF(OR('Historique ajusté'!J88="",'Historique ajusté'!J87=""),"",IF(ABS(LN('Historique ajusté'!J88/'Historique ajusté'!J87))&gt;Seuil_aberrant,"",'Historique ajusté'!J88/'Historique ajusté'!J87-1))</f>
        <v/>
      </c>
      <c r="K88" s="34">
        <f>IF(OR('Historique ajusté'!K88="",'Historique ajusté'!K87=""),"",IF(ABS(LN('Historique ajusté'!K88/'Historique ajusté'!K87))&gt;Seuil_aberrant,"",'Historique ajusté'!K88/'Historique ajusté'!K87-1))</f>
        <v/>
      </c>
      <c r="L88" s="34">
        <f>IF(OR('Historique ajusté'!L88="",'Historique ajusté'!L87=""),"",IF(ABS(LN('Historique ajusté'!L88/'Historique ajusté'!L87))&gt;Seuil_aberrant,"",'Historique ajusté'!L88/'Historique ajusté'!L87-1))</f>
        <v/>
      </c>
      <c r="M88" s="34">
        <f>IF(OR('Historique ajusté'!M88="",'Historique ajusté'!M87=""),"",IF(ABS(LN('Historique ajusté'!M88/'Historique ajusté'!M87))&gt;Seuil_aberrant,"",'Historique ajusté'!M88/'Historique ajusté'!M87-1))</f>
        <v/>
      </c>
      <c r="N88" s="34">
        <f>IF(OR('Historique ajusté'!N88="",'Historique ajusté'!N87=""),"",IF(ABS(LN('Historique ajusté'!N88/'Historique ajusté'!N87))&gt;Seuil_aberrant,"",'Historique ajusté'!N88/'Historique ajusté'!N87-1))</f>
        <v/>
      </c>
      <c r="O88" s="34">
        <f>IF(OR('Historique ajusté'!O88="",'Historique ajusté'!O87=""),"",IF(ABS(LN('Historique ajusté'!O88/'Historique ajusté'!O87))&gt;Seuil_aberrant,"",'Historique ajusté'!O88/'Historique ajusté'!O87-1))</f>
        <v/>
      </c>
      <c r="P88" s="34">
        <f>IF(OR('Historique ajusté'!P88="",'Historique ajusté'!P87=""),"",IF(ABS(LN('Historique ajusté'!P88/'Historique ajusté'!P87))&gt;Seuil_aberrant,"",'Historique ajusté'!P88/'Historique ajusté'!P87-1))</f>
        <v/>
      </c>
    </row>
    <row r="89">
      <c r="B89" s="32">
        <f>'Historique ajusté'!B89</f>
        <v/>
      </c>
      <c r="C89" s="34">
        <f>IF(OR('Historique ajusté'!C89="",'Historique ajusté'!C88=""),"",IF(ABS(LN('Historique ajusté'!C89/'Historique ajusté'!C88))&gt;Seuil_aberrant,"",'Historique ajusté'!C89/'Historique ajusté'!C88-1))</f>
        <v/>
      </c>
      <c r="D89" s="34">
        <f>IF(OR('Historique ajusté'!D89="",'Historique ajusté'!D88=""),"",IF(ABS(LN('Historique ajusté'!D89/'Historique ajusté'!D88))&gt;Seuil_aberrant,"",'Historique ajusté'!D89/'Historique ajusté'!D88-1))</f>
        <v/>
      </c>
      <c r="E89" s="34">
        <f>IF(OR('Historique ajusté'!E89="",'Historique ajusté'!E88=""),"",IF(ABS(LN('Historique ajusté'!E89/'Historique ajusté'!E88))&gt;Seuil_aberrant,"",'Historique ajusté'!E89/'Historique ajusté'!E88-1))</f>
        <v/>
      </c>
      <c r="F89" s="34">
        <f>IF(OR('Historique ajusté'!F89="",'Historique ajusté'!F88=""),"",IF(ABS(LN('Historique ajusté'!F89/'Historique ajusté'!F88))&gt;Seuil_aberrant,"",'Historique ajusté'!F89/'Historique ajusté'!F88-1))</f>
        <v/>
      </c>
      <c r="G89" s="34">
        <f>IF(OR('Historique ajusté'!G89="",'Historique ajusté'!G88=""),"",IF(ABS(LN('Historique ajusté'!G89/'Historique ajusté'!G88))&gt;Seuil_aberrant,"",'Historique ajusté'!G89/'Historique ajusté'!G88-1))</f>
        <v/>
      </c>
      <c r="H89" s="34">
        <f>IF(OR('Historique ajusté'!H89="",'Historique ajusté'!H88=""),"",IF(ABS(LN('Historique ajusté'!H89/'Historique ajusté'!H88))&gt;Seuil_aberrant,"",'Historique ajusté'!H89/'Historique ajusté'!H88-1))</f>
        <v/>
      </c>
      <c r="I89" s="34">
        <f>IF(OR('Historique ajusté'!I89="",'Historique ajusté'!I88=""),"",IF(ABS(LN('Historique ajusté'!I89/'Historique ajusté'!I88))&gt;Seuil_aberrant,"",'Historique ajusté'!I89/'Historique ajusté'!I88-1))</f>
        <v/>
      </c>
      <c r="J89" s="34">
        <f>IF(OR('Historique ajusté'!J89="",'Historique ajusté'!J88=""),"",IF(ABS(LN('Historique ajusté'!J89/'Historique ajusté'!J88))&gt;Seuil_aberrant,"",'Historique ajusté'!J89/'Historique ajusté'!J88-1))</f>
        <v/>
      </c>
      <c r="K89" s="34">
        <f>IF(OR('Historique ajusté'!K89="",'Historique ajusté'!K88=""),"",IF(ABS(LN('Historique ajusté'!K89/'Historique ajusté'!K88))&gt;Seuil_aberrant,"",'Historique ajusté'!K89/'Historique ajusté'!K88-1))</f>
        <v/>
      </c>
      <c r="L89" s="34">
        <f>IF(OR('Historique ajusté'!L89="",'Historique ajusté'!L88=""),"",IF(ABS(LN('Historique ajusté'!L89/'Historique ajusté'!L88))&gt;Seuil_aberrant,"",'Historique ajusté'!L89/'Historique ajusté'!L88-1))</f>
        <v/>
      </c>
      <c r="M89" s="34">
        <f>IF(OR('Historique ajusté'!M89="",'Historique ajusté'!M88=""),"",IF(ABS(LN('Historique ajusté'!M89/'Historique ajusté'!M88))&gt;Seuil_aberrant,"",'Historique ajusté'!M89/'Historique ajusté'!M88-1))</f>
        <v/>
      </c>
      <c r="N89" s="34">
        <f>IF(OR('Historique ajusté'!N89="",'Historique ajusté'!N88=""),"",IF(ABS(LN('Historique ajusté'!N89/'Historique ajusté'!N88))&gt;Seuil_aberrant,"",'Historique ajusté'!N89/'Historique ajusté'!N88-1))</f>
        <v/>
      </c>
      <c r="O89" s="34">
        <f>IF(OR('Historique ajusté'!O89="",'Historique ajusté'!O88=""),"",IF(ABS(LN('Historique ajusté'!O89/'Historique ajusté'!O88))&gt;Seuil_aberrant,"",'Historique ajusté'!O89/'Historique ajusté'!O88-1))</f>
        <v/>
      </c>
      <c r="P89" s="34">
        <f>IF(OR('Historique ajusté'!P89="",'Historique ajusté'!P88=""),"",IF(ABS(LN('Historique ajusté'!P89/'Historique ajusté'!P88))&gt;Seuil_aberrant,"",'Historique ajusté'!P89/'Historique ajusté'!P88-1))</f>
        <v/>
      </c>
    </row>
    <row r="90">
      <c r="B90" s="32">
        <f>'Historique ajusté'!B90</f>
        <v/>
      </c>
      <c r="C90" s="34">
        <f>IF(OR('Historique ajusté'!C90="",'Historique ajusté'!C89=""),"",IF(ABS(LN('Historique ajusté'!C90/'Historique ajusté'!C89))&gt;Seuil_aberrant,"",'Historique ajusté'!C90/'Historique ajusté'!C89-1))</f>
        <v/>
      </c>
      <c r="D90" s="34">
        <f>IF(OR('Historique ajusté'!D90="",'Historique ajusté'!D89=""),"",IF(ABS(LN('Historique ajusté'!D90/'Historique ajusté'!D89))&gt;Seuil_aberrant,"",'Historique ajusté'!D90/'Historique ajusté'!D89-1))</f>
        <v/>
      </c>
      <c r="E90" s="34">
        <f>IF(OR('Historique ajusté'!E90="",'Historique ajusté'!E89=""),"",IF(ABS(LN('Historique ajusté'!E90/'Historique ajusté'!E89))&gt;Seuil_aberrant,"",'Historique ajusté'!E90/'Historique ajusté'!E89-1))</f>
        <v/>
      </c>
      <c r="F90" s="34">
        <f>IF(OR('Historique ajusté'!F90="",'Historique ajusté'!F89=""),"",IF(ABS(LN('Historique ajusté'!F90/'Historique ajusté'!F89))&gt;Seuil_aberrant,"",'Historique ajusté'!F90/'Historique ajusté'!F89-1))</f>
        <v/>
      </c>
      <c r="G90" s="34">
        <f>IF(OR('Historique ajusté'!G90="",'Historique ajusté'!G89=""),"",IF(ABS(LN('Historique ajusté'!G90/'Historique ajusté'!G89))&gt;Seuil_aberrant,"",'Historique ajusté'!G90/'Historique ajusté'!G89-1))</f>
        <v/>
      </c>
      <c r="H90" s="34">
        <f>IF(OR('Historique ajusté'!H90="",'Historique ajusté'!H89=""),"",IF(ABS(LN('Historique ajusté'!H90/'Historique ajusté'!H89))&gt;Seuil_aberrant,"",'Historique ajusté'!H90/'Historique ajusté'!H89-1))</f>
        <v/>
      </c>
      <c r="I90" s="34">
        <f>IF(OR('Historique ajusté'!I90="",'Historique ajusté'!I89=""),"",IF(ABS(LN('Historique ajusté'!I90/'Historique ajusté'!I89))&gt;Seuil_aberrant,"",'Historique ajusté'!I90/'Historique ajusté'!I89-1))</f>
        <v/>
      </c>
      <c r="J90" s="34">
        <f>IF(OR('Historique ajusté'!J90="",'Historique ajusté'!J89=""),"",IF(ABS(LN('Historique ajusté'!J90/'Historique ajusté'!J89))&gt;Seuil_aberrant,"",'Historique ajusté'!J90/'Historique ajusté'!J89-1))</f>
        <v/>
      </c>
      <c r="K90" s="34">
        <f>IF(OR('Historique ajusté'!K90="",'Historique ajusté'!K89=""),"",IF(ABS(LN('Historique ajusté'!K90/'Historique ajusté'!K89))&gt;Seuil_aberrant,"",'Historique ajusté'!K90/'Historique ajusté'!K89-1))</f>
        <v/>
      </c>
      <c r="L90" s="34">
        <f>IF(OR('Historique ajusté'!L90="",'Historique ajusté'!L89=""),"",IF(ABS(LN('Historique ajusté'!L90/'Historique ajusté'!L89))&gt;Seuil_aberrant,"",'Historique ajusté'!L90/'Historique ajusté'!L89-1))</f>
        <v/>
      </c>
      <c r="M90" s="34">
        <f>IF(OR('Historique ajusté'!M90="",'Historique ajusté'!M89=""),"",IF(ABS(LN('Historique ajusté'!M90/'Historique ajusté'!M89))&gt;Seuil_aberrant,"",'Historique ajusté'!M90/'Historique ajusté'!M89-1))</f>
        <v/>
      </c>
      <c r="N90" s="34">
        <f>IF(OR('Historique ajusté'!N90="",'Historique ajusté'!N89=""),"",IF(ABS(LN('Historique ajusté'!N90/'Historique ajusté'!N89))&gt;Seuil_aberrant,"",'Historique ajusté'!N90/'Historique ajusté'!N89-1))</f>
        <v/>
      </c>
      <c r="O90" s="34">
        <f>IF(OR('Historique ajusté'!O90="",'Historique ajusté'!O89=""),"",IF(ABS(LN('Historique ajusté'!O90/'Historique ajusté'!O89))&gt;Seuil_aberrant,"",'Historique ajusté'!O90/'Historique ajusté'!O89-1))</f>
        <v/>
      </c>
      <c r="P90" s="34">
        <f>IF(OR('Historique ajusté'!P90="",'Historique ajusté'!P89=""),"",IF(ABS(LN('Historique ajusté'!P90/'Historique ajusté'!P89))&gt;Seuil_aberrant,"",'Historique ajusté'!P90/'Historique ajusté'!P89-1))</f>
        <v/>
      </c>
    </row>
    <row r="91">
      <c r="B91" s="32">
        <f>'Historique ajusté'!B91</f>
        <v/>
      </c>
      <c r="C91" s="34">
        <f>IF(OR('Historique ajusté'!C91="",'Historique ajusté'!C90=""),"",IF(ABS(LN('Historique ajusté'!C91/'Historique ajusté'!C90))&gt;Seuil_aberrant,"",'Historique ajusté'!C91/'Historique ajusté'!C90-1))</f>
        <v/>
      </c>
      <c r="D91" s="34">
        <f>IF(OR('Historique ajusté'!D91="",'Historique ajusté'!D90=""),"",IF(ABS(LN('Historique ajusté'!D91/'Historique ajusté'!D90))&gt;Seuil_aberrant,"",'Historique ajusté'!D91/'Historique ajusté'!D90-1))</f>
        <v/>
      </c>
      <c r="E91" s="34">
        <f>IF(OR('Historique ajusté'!E91="",'Historique ajusté'!E90=""),"",IF(ABS(LN('Historique ajusté'!E91/'Historique ajusté'!E90))&gt;Seuil_aberrant,"",'Historique ajusté'!E91/'Historique ajusté'!E90-1))</f>
        <v/>
      </c>
      <c r="F91" s="34">
        <f>IF(OR('Historique ajusté'!F91="",'Historique ajusté'!F90=""),"",IF(ABS(LN('Historique ajusté'!F91/'Historique ajusté'!F90))&gt;Seuil_aberrant,"",'Historique ajusté'!F91/'Historique ajusté'!F90-1))</f>
        <v/>
      </c>
      <c r="G91" s="34">
        <f>IF(OR('Historique ajusté'!G91="",'Historique ajusté'!G90=""),"",IF(ABS(LN('Historique ajusté'!G91/'Historique ajusté'!G90))&gt;Seuil_aberrant,"",'Historique ajusté'!G91/'Historique ajusté'!G90-1))</f>
        <v/>
      </c>
      <c r="H91" s="34">
        <f>IF(OR('Historique ajusté'!H91="",'Historique ajusté'!H90=""),"",IF(ABS(LN('Historique ajusté'!H91/'Historique ajusté'!H90))&gt;Seuil_aberrant,"",'Historique ajusté'!H91/'Historique ajusté'!H90-1))</f>
        <v/>
      </c>
      <c r="I91" s="34">
        <f>IF(OR('Historique ajusté'!I91="",'Historique ajusté'!I90=""),"",IF(ABS(LN('Historique ajusté'!I91/'Historique ajusté'!I90))&gt;Seuil_aberrant,"",'Historique ajusté'!I91/'Historique ajusté'!I90-1))</f>
        <v/>
      </c>
      <c r="J91" s="34">
        <f>IF(OR('Historique ajusté'!J91="",'Historique ajusté'!J90=""),"",IF(ABS(LN('Historique ajusté'!J91/'Historique ajusté'!J90))&gt;Seuil_aberrant,"",'Historique ajusté'!J91/'Historique ajusté'!J90-1))</f>
        <v/>
      </c>
      <c r="K91" s="34">
        <f>IF(OR('Historique ajusté'!K91="",'Historique ajusté'!K90=""),"",IF(ABS(LN('Historique ajusté'!K91/'Historique ajusté'!K90))&gt;Seuil_aberrant,"",'Historique ajusté'!K91/'Historique ajusté'!K90-1))</f>
        <v/>
      </c>
      <c r="L91" s="34">
        <f>IF(OR('Historique ajusté'!L91="",'Historique ajusté'!L90=""),"",IF(ABS(LN('Historique ajusté'!L91/'Historique ajusté'!L90))&gt;Seuil_aberrant,"",'Historique ajusté'!L91/'Historique ajusté'!L90-1))</f>
        <v/>
      </c>
      <c r="M91" s="34">
        <f>IF(OR('Historique ajusté'!M91="",'Historique ajusté'!M90=""),"",IF(ABS(LN('Historique ajusté'!M91/'Historique ajusté'!M90))&gt;Seuil_aberrant,"",'Historique ajusté'!M91/'Historique ajusté'!M90-1))</f>
        <v/>
      </c>
      <c r="N91" s="34">
        <f>IF(OR('Historique ajusté'!N91="",'Historique ajusté'!N90=""),"",IF(ABS(LN('Historique ajusté'!N91/'Historique ajusté'!N90))&gt;Seuil_aberrant,"",'Historique ajusté'!N91/'Historique ajusté'!N90-1))</f>
        <v/>
      </c>
      <c r="O91" s="34">
        <f>IF(OR('Historique ajusté'!O91="",'Historique ajusté'!O90=""),"",IF(ABS(LN('Historique ajusté'!O91/'Historique ajusté'!O90))&gt;Seuil_aberrant,"",'Historique ajusté'!O91/'Historique ajusté'!O90-1))</f>
        <v/>
      </c>
      <c r="P91" s="34">
        <f>IF(OR('Historique ajusté'!P91="",'Historique ajusté'!P90=""),"",IF(ABS(LN('Historique ajusté'!P91/'Historique ajusté'!P90))&gt;Seuil_aberrant,"",'Historique ajusté'!P91/'Historique ajusté'!P90-1))</f>
        <v/>
      </c>
    </row>
    <row r="92">
      <c r="B92" s="32">
        <f>'Historique ajusté'!B92</f>
        <v/>
      </c>
      <c r="C92" s="34">
        <f>IF(OR('Historique ajusté'!C92="",'Historique ajusté'!C91=""),"",IF(ABS(LN('Historique ajusté'!C92/'Historique ajusté'!C91))&gt;Seuil_aberrant,"",'Historique ajusté'!C92/'Historique ajusté'!C91-1))</f>
        <v/>
      </c>
      <c r="D92" s="34">
        <f>IF(OR('Historique ajusté'!D92="",'Historique ajusté'!D91=""),"",IF(ABS(LN('Historique ajusté'!D92/'Historique ajusté'!D91))&gt;Seuil_aberrant,"",'Historique ajusté'!D92/'Historique ajusté'!D91-1))</f>
        <v/>
      </c>
      <c r="E92" s="34">
        <f>IF(OR('Historique ajusté'!E92="",'Historique ajusté'!E91=""),"",IF(ABS(LN('Historique ajusté'!E92/'Historique ajusté'!E91))&gt;Seuil_aberrant,"",'Historique ajusté'!E92/'Historique ajusté'!E91-1))</f>
        <v/>
      </c>
      <c r="F92" s="34">
        <f>IF(OR('Historique ajusté'!F92="",'Historique ajusté'!F91=""),"",IF(ABS(LN('Historique ajusté'!F92/'Historique ajusté'!F91))&gt;Seuil_aberrant,"",'Historique ajusté'!F92/'Historique ajusté'!F91-1))</f>
        <v/>
      </c>
      <c r="G92" s="34">
        <f>IF(OR('Historique ajusté'!G92="",'Historique ajusté'!G91=""),"",IF(ABS(LN('Historique ajusté'!G92/'Historique ajusté'!G91))&gt;Seuil_aberrant,"",'Historique ajusté'!G92/'Historique ajusté'!G91-1))</f>
        <v/>
      </c>
      <c r="H92" s="34">
        <f>IF(OR('Historique ajusté'!H92="",'Historique ajusté'!H91=""),"",IF(ABS(LN('Historique ajusté'!H92/'Historique ajusté'!H91))&gt;Seuil_aberrant,"",'Historique ajusté'!H92/'Historique ajusté'!H91-1))</f>
        <v/>
      </c>
      <c r="I92" s="34">
        <f>IF(OR('Historique ajusté'!I92="",'Historique ajusté'!I91=""),"",IF(ABS(LN('Historique ajusté'!I92/'Historique ajusté'!I91))&gt;Seuil_aberrant,"",'Historique ajusté'!I92/'Historique ajusté'!I91-1))</f>
        <v/>
      </c>
      <c r="J92" s="34">
        <f>IF(OR('Historique ajusté'!J92="",'Historique ajusté'!J91=""),"",IF(ABS(LN('Historique ajusté'!J92/'Historique ajusté'!J91))&gt;Seuil_aberrant,"",'Historique ajusté'!J92/'Historique ajusté'!J91-1))</f>
        <v/>
      </c>
      <c r="K92" s="34">
        <f>IF(OR('Historique ajusté'!K92="",'Historique ajusté'!K91=""),"",IF(ABS(LN('Historique ajusté'!K92/'Historique ajusté'!K91))&gt;Seuil_aberrant,"",'Historique ajusté'!K92/'Historique ajusté'!K91-1))</f>
        <v/>
      </c>
      <c r="L92" s="34">
        <f>IF(OR('Historique ajusté'!L92="",'Historique ajusté'!L91=""),"",IF(ABS(LN('Historique ajusté'!L92/'Historique ajusté'!L91))&gt;Seuil_aberrant,"",'Historique ajusté'!L92/'Historique ajusté'!L91-1))</f>
        <v/>
      </c>
      <c r="M92" s="34">
        <f>IF(OR('Historique ajusté'!M92="",'Historique ajusté'!M91=""),"",IF(ABS(LN('Historique ajusté'!M92/'Historique ajusté'!M91))&gt;Seuil_aberrant,"",'Historique ajusté'!M92/'Historique ajusté'!M91-1))</f>
        <v/>
      </c>
      <c r="N92" s="34">
        <f>IF(OR('Historique ajusté'!N92="",'Historique ajusté'!N91=""),"",IF(ABS(LN('Historique ajusté'!N92/'Historique ajusté'!N91))&gt;Seuil_aberrant,"",'Historique ajusté'!N92/'Historique ajusté'!N91-1))</f>
        <v/>
      </c>
      <c r="O92" s="34">
        <f>IF(OR('Historique ajusté'!O92="",'Historique ajusté'!O91=""),"",IF(ABS(LN('Historique ajusté'!O92/'Historique ajusté'!O91))&gt;Seuil_aberrant,"",'Historique ajusté'!O92/'Historique ajusté'!O91-1))</f>
        <v/>
      </c>
      <c r="P92" s="34">
        <f>IF(OR('Historique ajusté'!P92="",'Historique ajusté'!P91=""),"",IF(ABS(LN('Historique ajusté'!P92/'Historique ajusté'!P91))&gt;Seuil_aberrant,"",'Historique ajusté'!P92/'Historique ajusté'!P91-1))</f>
        <v/>
      </c>
    </row>
    <row r="93">
      <c r="B93" s="32">
        <f>'Historique ajusté'!B93</f>
        <v/>
      </c>
      <c r="C93" s="34">
        <f>IF(OR('Historique ajusté'!C93="",'Historique ajusté'!C92=""),"",IF(ABS(LN('Historique ajusté'!C93/'Historique ajusté'!C92))&gt;Seuil_aberrant,"",'Historique ajusté'!C93/'Historique ajusté'!C92-1))</f>
        <v/>
      </c>
      <c r="D93" s="34">
        <f>IF(OR('Historique ajusté'!D93="",'Historique ajusté'!D92=""),"",IF(ABS(LN('Historique ajusté'!D93/'Historique ajusté'!D92))&gt;Seuil_aberrant,"",'Historique ajusté'!D93/'Historique ajusté'!D92-1))</f>
        <v/>
      </c>
      <c r="E93" s="34">
        <f>IF(OR('Historique ajusté'!E93="",'Historique ajusté'!E92=""),"",IF(ABS(LN('Historique ajusté'!E93/'Historique ajusté'!E92))&gt;Seuil_aberrant,"",'Historique ajusté'!E93/'Historique ajusté'!E92-1))</f>
        <v/>
      </c>
      <c r="F93" s="34">
        <f>IF(OR('Historique ajusté'!F93="",'Historique ajusté'!F92=""),"",IF(ABS(LN('Historique ajusté'!F93/'Historique ajusté'!F92))&gt;Seuil_aberrant,"",'Historique ajusté'!F93/'Historique ajusté'!F92-1))</f>
        <v/>
      </c>
      <c r="G93" s="34">
        <f>IF(OR('Historique ajusté'!G93="",'Historique ajusté'!G92=""),"",IF(ABS(LN('Historique ajusté'!G93/'Historique ajusté'!G92))&gt;Seuil_aberrant,"",'Historique ajusté'!G93/'Historique ajusté'!G92-1))</f>
        <v/>
      </c>
      <c r="H93" s="34">
        <f>IF(OR('Historique ajusté'!H93="",'Historique ajusté'!H92=""),"",IF(ABS(LN('Historique ajusté'!H93/'Historique ajusté'!H92))&gt;Seuil_aberrant,"",'Historique ajusté'!H93/'Historique ajusté'!H92-1))</f>
        <v/>
      </c>
      <c r="I93" s="34">
        <f>IF(OR('Historique ajusté'!I93="",'Historique ajusté'!I92=""),"",IF(ABS(LN('Historique ajusté'!I93/'Historique ajusté'!I92))&gt;Seuil_aberrant,"",'Historique ajusté'!I93/'Historique ajusté'!I92-1))</f>
        <v/>
      </c>
      <c r="J93" s="34">
        <f>IF(OR('Historique ajusté'!J93="",'Historique ajusté'!J92=""),"",IF(ABS(LN('Historique ajusté'!J93/'Historique ajusté'!J92))&gt;Seuil_aberrant,"",'Historique ajusté'!J93/'Historique ajusté'!J92-1))</f>
        <v/>
      </c>
      <c r="K93" s="34">
        <f>IF(OR('Historique ajusté'!K93="",'Historique ajusté'!K92=""),"",IF(ABS(LN('Historique ajusté'!K93/'Historique ajusté'!K92))&gt;Seuil_aberrant,"",'Historique ajusté'!K93/'Historique ajusté'!K92-1))</f>
        <v/>
      </c>
      <c r="L93" s="34">
        <f>IF(OR('Historique ajusté'!L93="",'Historique ajusté'!L92=""),"",IF(ABS(LN('Historique ajusté'!L93/'Historique ajusté'!L92))&gt;Seuil_aberrant,"",'Historique ajusté'!L93/'Historique ajusté'!L92-1))</f>
        <v/>
      </c>
      <c r="M93" s="34">
        <f>IF(OR('Historique ajusté'!M93="",'Historique ajusté'!M92=""),"",IF(ABS(LN('Historique ajusté'!M93/'Historique ajusté'!M92))&gt;Seuil_aberrant,"",'Historique ajusté'!M93/'Historique ajusté'!M92-1))</f>
        <v/>
      </c>
      <c r="N93" s="34">
        <f>IF(OR('Historique ajusté'!N93="",'Historique ajusté'!N92=""),"",IF(ABS(LN('Historique ajusté'!N93/'Historique ajusté'!N92))&gt;Seuil_aberrant,"",'Historique ajusté'!N93/'Historique ajusté'!N92-1))</f>
        <v/>
      </c>
      <c r="O93" s="34">
        <f>IF(OR('Historique ajusté'!O93="",'Historique ajusté'!O92=""),"",IF(ABS(LN('Historique ajusté'!O93/'Historique ajusté'!O92))&gt;Seuil_aberrant,"",'Historique ajusté'!O93/'Historique ajusté'!O92-1))</f>
        <v/>
      </c>
      <c r="P93" s="34">
        <f>IF(OR('Historique ajusté'!P93="",'Historique ajusté'!P92=""),"",IF(ABS(LN('Historique ajusté'!P93/'Historique ajusté'!P92))&gt;Seuil_aberrant,"",'Historique ajusté'!P93/'Historique ajusté'!P92-1))</f>
        <v/>
      </c>
    </row>
    <row r="94">
      <c r="B94" s="32">
        <f>'Historique ajusté'!B94</f>
        <v/>
      </c>
      <c r="C94" s="34">
        <f>IF(OR('Historique ajusté'!C94="",'Historique ajusté'!C93=""),"",IF(ABS(LN('Historique ajusté'!C94/'Historique ajusté'!C93))&gt;Seuil_aberrant,"",'Historique ajusté'!C94/'Historique ajusté'!C93-1))</f>
        <v/>
      </c>
      <c r="D94" s="34">
        <f>IF(OR('Historique ajusté'!D94="",'Historique ajusté'!D93=""),"",IF(ABS(LN('Historique ajusté'!D94/'Historique ajusté'!D93))&gt;Seuil_aberrant,"",'Historique ajusté'!D94/'Historique ajusté'!D93-1))</f>
        <v/>
      </c>
      <c r="E94" s="34">
        <f>IF(OR('Historique ajusté'!E94="",'Historique ajusté'!E93=""),"",IF(ABS(LN('Historique ajusté'!E94/'Historique ajusté'!E93))&gt;Seuil_aberrant,"",'Historique ajusté'!E94/'Historique ajusté'!E93-1))</f>
        <v/>
      </c>
      <c r="F94" s="34">
        <f>IF(OR('Historique ajusté'!F94="",'Historique ajusté'!F93=""),"",IF(ABS(LN('Historique ajusté'!F94/'Historique ajusté'!F93))&gt;Seuil_aberrant,"",'Historique ajusté'!F94/'Historique ajusté'!F93-1))</f>
        <v/>
      </c>
      <c r="G94" s="34">
        <f>IF(OR('Historique ajusté'!G94="",'Historique ajusté'!G93=""),"",IF(ABS(LN('Historique ajusté'!G94/'Historique ajusté'!G93))&gt;Seuil_aberrant,"",'Historique ajusté'!G94/'Historique ajusté'!G93-1))</f>
        <v/>
      </c>
      <c r="H94" s="34">
        <f>IF(OR('Historique ajusté'!H94="",'Historique ajusté'!H93=""),"",IF(ABS(LN('Historique ajusté'!H94/'Historique ajusté'!H93))&gt;Seuil_aberrant,"",'Historique ajusté'!H94/'Historique ajusté'!H93-1))</f>
        <v/>
      </c>
      <c r="I94" s="34">
        <f>IF(OR('Historique ajusté'!I94="",'Historique ajusté'!I93=""),"",IF(ABS(LN('Historique ajusté'!I94/'Historique ajusté'!I93))&gt;Seuil_aberrant,"",'Historique ajusté'!I94/'Historique ajusté'!I93-1))</f>
        <v/>
      </c>
      <c r="J94" s="34">
        <f>IF(OR('Historique ajusté'!J94="",'Historique ajusté'!J93=""),"",IF(ABS(LN('Historique ajusté'!J94/'Historique ajusté'!J93))&gt;Seuil_aberrant,"",'Historique ajusté'!J94/'Historique ajusté'!J93-1))</f>
        <v/>
      </c>
      <c r="K94" s="34">
        <f>IF(OR('Historique ajusté'!K94="",'Historique ajusté'!K93=""),"",IF(ABS(LN('Historique ajusté'!K94/'Historique ajusté'!K93))&gt;Seuil_aberrant,"",'Historique ajusté'!K94/'Historique ajusté'!K93-1))</f>
        <v/>
      </c>
      <c r="L94" s="34">
        <f>IF(OR('Historique ajusté'!L94="",'Historique ajusté'!L93=""),"",IF(ABS(LN('Historique ajusté'!L94/'Historique ajusté'!L93))&gt;Seuil_aberrant,"",'Historique ajusté'!L94/'Historique ajusté'!L93-1))</f>
        <v/>
      </c>
      <c r="M94" s="34">
        <f>IF(OR('Historique ajusté'!M94="",'Historique ajusté'!M93=""),"",IF(ABS(LN('Historique ajusté'!M94/'Historique ajusté'!M93))&gt;Seuil_aberrant,"",'Historique ajusté'!M94/'Historique ajusté'!M93-1))</f>
        <v/>
      </c>
      <c r="N94" s="34">
        <f>IF(OR('Historique ajusté'!N94="",'Historique ajusté'!N93=""),"",IF(ABS(LN('Historique ajusté'!N94/'Historique ajusté'!N93))&gt;Seuil_aberrant,"",'Historique ajusté'!N94/'Historique ajusté'!N93-1))</f>
        <v/>
      </c>
      <c r="O94" s="34">
        <f>IF(OR('Historique ajusté'!O94="",'Historique ajusté'!O93=""),"",IF(ABS(LN('Historique ajusté'!O94/'Historique ajusté'!O93))&gt;Seuil_aberrant,"",'Historique ajusté'!O94/'Historique ajusté'!O93-1))</f>
        <v/>
      </c>
      <c r="P94" s="34">
        <f>IF(OR('Historique ajusté'!P94="",'Historique ajusté'!P93=""),"",IF(ABS(LN('Historique ajusté'!P94/'Historique ajusté'!P93))&gt;Seuil_aberrant,"",'Historique ajusté'!P94/'Historique ajusté'!P93-1))</f>
        <v/>
      </c>
    </row>
    <row r="95">
      <c r="B95" s="32">
        <f>'Historique ajusté'!B95</f>
        <v/>
      </c>
      <c r="C95" s="34">
        <f>IF(OR('Historique ajusté'!C95="",'Historique ajusté'!C94=""),"",IF(ABS(LN('Historique ajusté'!C95/'Historique ajusté'!C94))&gt;Seuil_aberrant,"",'Historique ajusté'!C95/'Historique ajusté'!C94-1))</f>
        <v/>
      </c>
      <c r="D95" s="34">
        <f>IF(OR('Historique ajusté'!D95="",'Historique ajusté'!D94=""),"",IF(ABS(LN('Historique ajusté'!D95/'Historique ajusté'!D94))&gt;Seuil_aberrant,"",'Historique ajusté'!D95/'Historique ajusté'!D94-1))</f>
        <v/>
      </c>
      <c r="E95" s="34">
        <f>IF(OR('Historique ajusté'!E95="",'Historique ajusté'!E94=""),"",IF(ABS(LN('Historique ajusté'!E95/'Historique ajusté'!E94))&gt;Seuil_aberrant,"",'Historique ajusté'!E95/'Historique ajusté'!E94-1))</f>
        <v/>
      </c>
      <c r="F95" s="34">
        <f>IF(OR('Historique ajusté'!F95="",'Historique ajusté'!F94=""),"",IF(ABS(LN('Historique ajusté'!F95/'Historique ajusté'!F94))&gt;Seuil_aberrant,"",'Historique ajusté'!F95/'Historique ajusté'!F94-1))</f>
        <v/>
      </c>
      <c r="G95" s="34">
        <f>IF(OR('Historique ajusté'!G95="",'Historique ajusté'!G94=""),"",IF(ABS(LN('Historique ajusté'!G95/'Historique ajusté'!G94))&gt;Seuil_aberrant,"",'Historique ajusté'!G95/'Historique ajusté'!G94-1))</f>
        <v/>
      </c>
      <c r="H95" s="34">
        <f>IF(OR('Historique ajusté'!H95="",'Historique ajusté'!H94=""),"",IF(ABS(LN('Historique ajusté'!H95/'Historique ajusté'!H94))&gt;Seuil_aberrant,"",'Historique ajusté'!H95/'Historique ajusté'!H94-1))</f>
        <v/>
      </c>
      <c r="I95" s="34">
        <f>IF(OR('Historique ajusté'!I95="",'Historique ajusté'!I94=""),"",IF(ABS(LN('Historique ajusté'!I95/'Historique ajusté'!I94))&gt;Seuil_aberrant,"",'Historique ajusté'!I95/'Historique ajusté'!I94-1))</f>
        <v/>
      </c>
      <c r="J95" s="34">
        <f>IF(OR('Historique ajusté'!J95="",'Historique ajusté'!J94=""),"",IF(ABS(LN('Historique ajusté'!J95/'Historique ajusté'!J94))&gt;Seuil_aberrant,"",'Historique ajusté'!J95/'Historique ajusté'!J94-1))</f>
        <v/>
      </c>
      <c r="K95" s="34">
        <f>IF(OR('Historique ajusté'!K95="",'Historique ajusté'!K94=""),"",IF(ABS(LN('Historique ajusté'!K95/'Historique ajusté'!K94))&gt;Seuil_aberrant,"",'Historique ajusté'!K95/'Historique ajusté'!K94-1))</f>
        <v/>
      </c>
      <c r="L95" s="34">
        <f>IF(OR('Historique ajusté'!L95="",'Historique ajusté'!L94=""),"",IF(ABS(LN('Historique ajusté'!L95/'Historique ajusté'!L94))&gt;Seuil_aberrant,"",'Historique ajusté'!L95/'Historique ajusté'!L94-1))</f>
        <v/>
      </c>
      <c r="M95" s="34">
        <f>IF(OR('Historique ajusté'!M95="",'Historique ajusté'!M94=""),"",IF(ABS(LN('Historique ajusté'!M95/'Historique ajusté'!M94))&gt;Seuil_aberrant,"",'Historique ajusté'!M95/'Historique ajusté'!M94-1))</f>
        <v/>
      </c>
      <c r="N95" s="34">
        <f>IF(OR('Historique ajusté'!N95="",'Historique ajusté'!N94=""),"",IF(ABS(LN('Historique ajusté'!N95/'Historique ajusté'!N94))&gt;Seuil_aberrant,"",'Historique ajusté'!N95/'Historique ajusté'!N94-1))</f>
        <v/>
      </c>
      <c r="O95" s="34">
        <f>IF(OR('Historique ajusté'!O95="",'Historique ajusté'!O94=""),"",IF(ABS(LN('Historique ajusté'!O95/'Historique ajusté'!O94))&gt;Seuil_aberrant,"",'Historique ajusté'!O95/'Historique ajusté'!O94-1))</f>
        <v/>
      </c>
      <c r="P95" s="34">
        <f>IF(OR('Historique ajusté'!P95="",'Historique ajusté'!P94=""),"",IF(ABS(LN('Historique ajusté'!P95/'Historique ajusté'!P94))&gt;Seuil_aberrant,"",'Historique ajusté'!P95/'Historique ajusté'!P94-1))</f>
        <v/>
      </c>
    </row>
    <row r="96">
      <c r="B96" s="32">
        <f>'Historique ajusté'!B96</f>
        <v/>
      </c>
      <c r="C96" s="34">
        <f>IF(OR('Historique ajusté'!C96="",'Historique ajusté'!C95=""),"",IF(ABS(LN('Historique ajusté'!C96/'Historique ajusté'!C95))&gt;Seuil_aberrant,"",'Historique ajusté'!C96/'Historique ajusté'!C95-1))</f>
        <v/>
      </c>
      <c r="D96" s="34">
        <f>IF(OR('Historique ajusté'!D96="",'Historique ajusté'!D95=""),"",IF(ABS(LN('Historique ajusté'!D96/'Historique ajusté'!D95))&gt;Seuil_aberrant,"",'Historique ajusté'!D96/'Historique ajusté'!D95-1))</f>
        <v/>
      </c>
      <c r="E96" s="34">
        <f>IF(OR('Historique ajusté'!E96="",'Historique ajusté'!E95=""),"",IF(ABS(LN('Historique ajusté'!E96/'Historique ajusté'!E95))&gt;Seuil_aberrant,"",'Historique ajusté'!E96/'Historique ajusté'!E95-1))</f>
        <v/>
      </c>
      <c r="F96" s="34">
        <f>IF(OR('Historique ajusté'!F96="",'Historique ajusté'!F95=""),"",IF(ABS(LN('Historique ajusté'!F96/'Historique ajusté'!F95))&gt;Seuil_aberrant,"",'Historique ajusté'!F96/'Historique ajusté'!F95-1))</f>
        <v/>
      </c>
      <c r="G96" s="34">
        <f>IF(OR('Historique ajusté'!G96="",'Historique ajusté'!G95=""),"",IF(ABS(LN('Historique ajusté'!G96/'Historique ajusté'!G95))&gt;Seuil_aberrant,"",'Historique ajusté'!G96/'Historique ajusté'!G95-1))</f>
        <v/>
      </c>
      <c r="H96" s="34">
        <f>IF(OR('Historique ajusté'!H96="",'Historique ajusté'!H95=""),"",IF(ABS(LN('Historique ajusté'!H96/'Historique ajusté'!H95))&gt;Seuil_aberrant,"",'Historique ajusté'!H96/'Historique ajusté'!H95-1))</f>
        <v/>
      </c>
      <c r="I96" s="34">
        <f>IF(OR('Historique ajusté'!I96="",'Historique ajusté'!I95=""),"",IF(ABS(LN('Historique ajusté'!I96/'Historique ajusté'!I95))&gt;Seuil_aberrant,"",'Historique ajusté'!I96/'Historique ajusté'!I95-1))</f>
        <v/>
      </c>
      <c r="J96" s="34">
        <f>IF(OR('Historique ajusté'!J96="",'Historique ajusté'!J95=""),"",IF(ABS(LN('Historique ajusté'!J96/'Historique ajusté'!J95))&gt;Seuil_aberrant,"",'Historique ajusté'!J96/'Historique ajusté'!J95-1))</f>
        <v/>
      </c>
      <c r="K96" s="34">
        <f>IF(OR('Historique ajusté'!K96="",'Historique ajusté'!K95=""),"",IF(ABS(LN('Historique ajusté'!K96/'Historique ajusté'!K95))&gt;Seuil_aberrant,"",'Historique ajusté'!K96/'Historique ajusté'!K95-1))</f>
        <v/>
      </c>
      <c r="L96" s="34">
        <f>IF(OR('Historique ajusté'!L96="",'Historique ajusté'!L95=""),"",IF(ABS(LN('Historique ajusté'!L96/'Historique ajusté'!L95))&gt;Seuil_aberrant,"",'Historique ajusté'!L96/'Historique ajusté'!L95-1))</f>
        <v/>
      </c>
      <c r="M96" s="34">
        <f>IF(OR('Historique ajusté'!M96="",'Historique ajusté'!M95=""),"",IF(ABS(LN('Historique ajusté'!M96/'Historique ajusté'!M95))&gt;Seuil_aberrant,"",'Historique ajusté'!M96/'Historique ajusté'!M95-1))</f>
        <v/>
      </c>
      <c r="N96" s="34">
        <f>IF(OR('Historique ajusté'!N96="",'Historique ajusté'!N95=""),"",IF(ABS(LN('Historique ajusté'!N96/'Historique ajusté'!N95))&gt;Seuil_aberrant,"",'Historique ajusté'!N96/'Historique ajusté'!N95-1))</f>
        <v/>
      </c>
      <c r="O96" s="34">
        <f>IF(OR('Historique ajusté'!O96="",'Historique ajusté'!O95=""),"",IF(ABS(LN('Historique ajusté'!O96/'Historique ajusté'!O95))&gt;Seuil_aberrant,"",'Historique ajusté'!O96/'Historique ajusté'!O95-1))</f>
        <v/>
      </c>
      <c r="P96" s="34">
        <f>IF(OR('Historique ajusté'!P96="",'Historique ajusté'!P95=""),"",IF(ABS(LN('Historique ajusté'!P96/'Historique ajusté'!P95))&gt;Seuil_aberrant,"",'Historique ajusté'!P96/'Historique ajusté'!P95-1))</f>
        <v/>
      </c>
    </row>
    <row r="97">
      <c r="B97" s="32">
        <f>'Historique ajusté'!B97</f>
        <v/>
      </c>
      <c r="C97" s="34">
        <f>IF(OR('Historique ajusté'!C97="",'Historique ajusté'!C96=""),"",IF(ABS(LN('Historique ajusté'!C97/'Historique ajusté'!C96))&gt;Seuil_aberrant,"",'Historique ajusté'!C97/'Historique ajusté'!C96-1))</f>
        <v/>
      </c>
      <c r="D97" s="34">
        <f>IF(OR('Historique ajusté'!D97="",'Historique ajusté'!D96=""),"",IF(ABS(LN('Historique ajusté'!D97/'Historique ajusté'!D96))&gt;Seuil_aberrant,"",'Historique ajusté'!D97/'Historique ajusté'!D96-1))</f>
        <v/>
      </c>
      <c r="E97" s="34">
        <f>IF(OR('Historique ajusté'!E97="",'Historique ajusté'!E96=""),"",IF(ABS(LN('Historique ajusté'!E97/'Historique ajusté'!E96))&gt;Seuil_aberrant,"",'Historique ajusté'!E97/'Historique ajusté'!E96-1))</f>
        <v/>
      </c>
      <c r="F97" s="34">
        <f>IF(OR('Historique ajusté'!F97="",'Historique ajusté'!F96=""),"",IF(ABS(LN('Historique ajusté'!F97/'Historique ajusté'!F96))&gt;Seuil_aberrant,"",'Historique ajusté'!F97/'Historique ajusté'!F96-1))</f>
        <v/>
      </c>
      <c r="G97" s="34">
        <f>IF(OR('Historique ajusté'!G97="",'Historique ajusté'!G96=""),"",IF(ABS(LN('Historique ajusté'!G97/'Historique ajusté'!G96))&gt;Seuil_aberrant,"",'Historique ajusté'!G97/'Historique ajusté'!G96-1))</f>
        <v/>
      </c>
      <c r="H97" s="34">
        <f>IF(OR('Historique ajusté'!H97="",'Historique ajusté'!H96=""),"",IF(ABS(LN('Historique ajusté'!H97/'Historique ajusté'!H96))&gt;Seuil_aberrant,"",'Historique ajusté'!H97/'Historique ajusté'!H96-1))</f>
        <v/>
      </c>
      <c r="I97" s="34">
        <f>IF(OR('Historique ajusté'!I97="",'Historique ajusté'!I96=""),"",IF(ABS(LN('Historique ajusté'!I97/'Historique ajusté'!I96))&gt;Seuil_aberrant,"",'Historique ajusté'!I97/'Historique ajusté'!I96-1))</f>
        <v/>
      </c>
      <c r="J97" s="34">
        <f>IF(OR('Historique ajusté'!J97="",'Historique ajusté'!J96=""),"",IF(ABS(LN('Historique ajusté'!J97/'Historique ajusté'!J96))&gt;Seuil_aberrant,"",'Historique ajusté'!J97/'Historique ajusté'!J96-1))</f>
        <v/>
      </c>
      <c r="K97" s="34">
        <f>IF(OR('Historique ajusté'!K97="",'Historique ajusté'!K96=""),"",IF(ABS(LN('Historique ajusté'!K97/'Historique ajusté'!K96))&gt;Seuil_aberrant,"",'Historique ajusté'!K97/'Historique ajusté'!K96-1))</f>
        <v/>
      </c>
      <c r="L97" s="34">
        <f>IF(OR('Historique ajusté'!L97="",'Historique ajusté'!L96=""),"",IF(ABS(LN('Historique ajusté'!L97/'Historique ajusté'!L96))&gt;Seuil_aberrant,"",'Historique ajusté'!L97/'Historique ajusté'!L96-1))</f>
        <v/>
      </c>
      <c r="M97" s="34">
        <f>IF(OR('Historique ajusté'!M97="",'Historique ajusté'!M96=""),"",IF(ABS(LN('Historique ajusté'!M97/'Historique ajusté'!M96))&gt;Seuil_aberrant,"",'Historique ajusté'!M97/'Historique ajusté'!M96-1))</f>
        <v/>
      </c>
      <c r="N97" s="34">
        <f>IF(OR('Historique ajusté'!N97="",'Historique ajusté'!N96=""),"",IF(ABS(LN('Historique ajusté'!N97/'Historique ajusté'!N96))&gt;Seuil_aberrant,"",'Historique ajusté'!N97/'Historique ajusté'!N96-1))</f>
        <v/>
      </c>
      <c r="O97" s="34">
        <f>IF(OR('Historique ajusté'!O97="",'Historique ajusté'!O96=""),"",IF(ABS(LN('Historique ajusté'!O97/'Historique ajusté'!O96))&gt;Seuil_aberrant,"",'Historique ajusté'!O97/'Historique ajusté'!O96-1))</f>
        <v/>
      </c>
      <c r="P97" s="34">
        <f>IF(OR('Historique ajusté'!P97="",'Historique ajusté'!P96=""),"",IF(ABS(LN('Historique ajusté'!P97/'Historique ajusté'!P96))&gt;Seuil_aberrant,"",'Historique ajusté'!P97/'Historique ajusté'!P96-1))</f>
        <v/>
      </c>
    </row>
    <row r="98">
      <c r="B98" s="32">
        <f>'Historique ajusté'!B98</f>
        <v/>
      </c>
      <c r="C98" s="34">
        <f>IF(OR('Historique ajusté'!C98="",'Historique ajusté'!C97=""),"",IF(ABS(LN('Historique ajusté'!C98/'Historique ajusté'!C97))&gt;Seuil_aberrant,"",'Historique ajusté'!C98/'Historique ajusté'!C97-1))</f>
        <v/>
      </c>
      <c r="D98" s="34">
        <f>IF(OR('Historique ajusté'!D98="",'Historique ajusté'!D97=""),"",IF(ABS(LN('Historique ajusté'!D98/'Historique ajusté'!D97))&gt;Seuil_aberrant,"",'Historique ajusté'!D98/'Historique ajusté'!D97-1))</f>
        <v/>
      </c>
      <c r="E98" s="34">
        <f>IF(OR('Historique ajusté'!E98="",'Historique ajusté'!E97=""),"",IF(ABS(LN('Historique ajusté'!E98/'Historique ajusté'!E97))&gt;Seuil_aberrant,"",'Historique ajusté'!E98/'Historique ajusté'!E97-1))</f>
        <v/>
      </c>
      <c r="F98" s="34">
        <f>IF(OR('Historique ajusté'!F98="",'Historique ajusté'!F97=""),"",IF(ABS(LN('Historique ajusté'!F98/'Historique ajusté'!F97))&gt;Seuil_aberrant,"",'Historique ajusté'!F98/'Historique ajusté'!F97-1))</f>
        <v/>
      </c>
      <c r="G98" s="34">
        <f>IF(OR('Historique ajusté'!G98="",'Historique ajusté'!G97=""),"",IF(ABS(LN('Historique ajusté'!G98/'Historique ajusté'!G97))&gt;Seuil_aberrant,"",'Historique ajusté'!G98/'Historique ajusté'!G97-1))</f>
        <v/>
      </c>
      <c r="H98" s="34">
        <f>IF(OR('Historique ajusté'!H98="",'Historique ajusté'!H97=""),"",IF(ABS(LN('Historique ajusté'!H98/'Historique ajusté'!H97))&gt;Seuil_aberrant,"",'Historique ajusté'!H98/'Historique ajusté'!H97-1))</f>
        <v/>
      </c>
      <c r="I98" s="34">
        <f>IF(OR('Historique ajusté'!I98="",'Historique ajusté'!I97=""),"",IF(ABS(LN('Historique ajusté'!I98/'Historique ajusté'!I97))&gt;Seuil_aberrant,"",'Historique ajusté'!I98/'Historique ajusté'!I97-1))</f>
        <v/>
      </c>
      <c r="J98" s="34">
        <f>IF(OR('Historique ajusté'!J98="",'Historique ajusté'!J97=""),"",IF(ABS(LN('Historique ajusté'!J98/'Historique ajusté'!J97))&gt;Seuil_aberrant,"",'Historique ajusté'!J98/'Historique ajusté'!J97-1))</f>
        <v/>
      </c>
      <c r="K98" s="34">
        <f>IF(OR('Historique ajusté'!K98="",'Historique ajusté'!K97=""),"",IF(ABS(LN('Historique ajusté'!K98/'Historique ajusté'!K97))&gt;Seuil_aberrant,"",'Historique ajusté'!K98/'Historique ajusté'!K97-1))</f>
        <v/>
      </c>
      <c r="L98" s="34">
        <f>IF(OR('Historique ajusté'!L98="",'Historique ajusté'!L97=""),"",IF(ABS(LN('Historique ajusté'!L98/'Historique ajusté'!L97))&gt;Seuil_aberrant,"",'Historique ajusté'!L98/'Historique ajusté'!L97-1))</f>
        <v/>
      </c>
      <c r="M98" s="34">
        <f>IF(OR('Historique ajusté'!M98="",'Historique ajusté'!M97=""),"",IF(ABS(LN('Historique ajusté'!M98/'Historique ajusté'!M97))&gt;Seuil_aberrant,"",'Historique ajusté'!M98/'Historique ajusté'!M97-1))</f>
        <v/>
      </c>
      <c r="N98" s="34">
        <f>IF(OR('Historique ajusté'!N98="",'Historique ajusté'!N97=""),"",IF(ABS(LN('Historique ajusté'!N98/'Historique ajusté'!N97))&gt;Seuil_aberrant,"",'Historique ajusté'!N98/'Historique ajusté'!N97-1))</f>
        <v/>
      </c>
      <c r="O98" s="34">
        <f>IF(OR('Historique ajusté'!O98="",'Historique ajusté'!O97=""),"",IF(ABS(LN('Historique ajusté'!O98/'Historique ajusté'!O97))&gt;Seuil_aberrant,"",'Historique ajusté'!O98/'Historique ajusté'!O97-1))</f>
        <v/>
      </c>
      <c r="P98" s="34">
        <f>IF(OR('Historique ajusté'!P98="",'Historique ajusté'!P97=""),"",IF(ABS(LN('Historique ajusté'!P98/'Historique ajusté'!P97))&gt;Seuil_aberrant,"",'Historique ajusté'!P98/'Historique ajusté'!P97-1))</f>
        <v/>
      </c>
    </row>
    <row r="99">
      <c r="B99" s="32">
        <f>'Historique ajusté'!B99</f>
        <v/>
      </c>
      <c r="C99" s="34">
        <f>IF(OR('Historique ajusté'!C99="",'Historique ajusté'!C98=""),"",IF(ABS(LN('Historique ajusté'!C99/'Historique ajusté'!C98))&gt;Seuil_aberrant,"",'Historique ajusté'!C99/'Historique ajusté'!C98-1))</f>
        <v/>
      </c>
      <c r="D99" s="34">
        <f>IF(OR('Historique ajusté'!D99="",'Historique ajusté'!D98=""),"",IF(ABS(LN('Historique ajusté'!D99/'Historique ajusté'!D98))&gt;Seuil_aberrant,"",'Historique ajusté'!D99/'Historique ajusté'!D98-1))</f>
        <v/>
      </c>
      <c r="E99" s="34">
        <f>IF(OR('Historique ajusté'!E99="",'Historique ajusté'!E98=""),"",IF(ABS(LN('Historique ajusté'!E99/'Historique ajusté'!E98))&gt;Seuil_aberrant,"",'Historique ajusté'!E99/'Historique ajusté'!E98-1))</f>
        <v/>
      </c>
      <c r="F99" s="34">
        <f>IF(OR('Historique ajusté'!F99="",'Historique ajusté'!F98=""),"",IF(ABS(LN('Historique ajusté'!F99/'Historique ajusté'!F98))&gt;Seuil_aberrant,"",'Historique ajusté'!F99/'Historique ajusté'!F98-1))</f>
        <v/>
      </c>
      <c r="G99" s="34">
        <f>IF(OR('Historique ajusté'!G99="",'Historique ajusté'!G98=""),"",IF(ABS(LN('Historique ajusté'!G99/'Historique ajusté'!G98))&gt;Seuil_aberrant,"",'Historique ajusté'!G99/'Historique ajusté'!G98-1))</f>
        <v/>
      </c>
      <c r="H99" s="34">
        <f>IF(OR('Historique ajusté'!H99="",'Historique ajusté'!H98=""),"",IF(ABS(LN('Historique ajusté'!H99/'Historique ajusté'!H98))&gt;Seuil_aberrant,"",'Historique ajusté'!H99/'Historique ajusté'!H98-1))</f>
        <v/>
      </c>
      <c r="I99" s="34">
        <f>IF(OR('Historique ajusté'!I99="",'Historique ajusté'!I98=""),"",IF(ABS(LN('Historique ajusté'!I99/'Historique ajusté'!I98))&gt;Seuil_aberrant,"",'Historique ajusté'!I99/'Historique ajusté'!I98-1))</f>
        <v/>
      </c>
      <c r="J99" s="34">
        <f>IF(OR('Historique ajusté'!J99="",'Historique ajusté'!J98=""),"",IF(ABS(LN('Historique ajusté'!J99/'Historique ajusté'!J98))&gt;Seuil_aberrant,"",'Historique ajusté'!J99/'Historique ajusté'!J98-1))</f>
        <v/>
      </c>
      <c r="K99" s="34">
        <f>IF(OR('Historique ajusté'!K99="",'Historique ajusté'!K98=""),"",IF(ABS(LN('Historique ajusté'!K99/'Historique ajusté'!K98))&gt;Seuil_aberrant,"",'Historique ajusté'!K99/'Historique ajusté'!K98-1))</f>
        <v/>
      </c>
      <c r="L99" s="34">
        <f>IF(OR('Historique ajusté'!L99="",'Historique ajusté'!L98=""),"",IF(ABS(LN('Historique ajusté'!L99/'Historique ajusté'!L98))&gt;Seuil_aberrant,"",'Historique ajusté'!L99/'Historique ajusté'!L98-1))</f>
        <v/>
      </c>
      <c r="M99" s="34">
        <f>IF(OR('Historique ajusté'!M99="",'Historique ajusté'!M98=""),"",IF(ABS(LN('Historique ajusté'!M99/'Historique ajusté'!M98))&gt;Seuil_aberrant,"",'Historique ajusté'!M99/'Historique ajusté'!M98-1))</f>
        <v/>
      </c>
      <c r="N99" s="34">
        <f>IF(OR('Historique ajusté'!N99="",'Historique ajusté'!N98=""),"",IF(ABS(LN('Historique ajusté'!N99/'Historique ajusté'!N98))&gt;Seuil_aberrant,"",'Historique ajusté'!N99/'Historique ajusté'!N98-1))</f>
        <v/>
      </c>
      <c r="O99" s="34">
        <f>IF(OR('Historique ajusté'!O99="",'Historique ajusté'!O98=""),"",IF(ABS(LN('Historique ajusté'!O99/'Historique ajusté'!O98))&gt;Seuil_aberrant,"",'Historique ajusté'!O99/'Historique ajusté'!O98-1))</f>
        <v/>
      </c>
      <c r="P99" s="34">
        <f>IF(OR('Historique ajusté'!P99="",'Historique ajusté'!P98=""),"",IF(ABS(LN('Historique ajusté'!P99/'Historique ajusté'!P98))&gt;Seuil_aberrant,"",'Historique ajusté'!P99/'Historique ajusté'!P98-1))</f>
        <v/>
      </c>
    </row>
    <row r="100">
      <c r="B100" s="32">
        <f>'Historique ajusté'!B100</f>
        <v/>
      </c>
      <c r="C100" s="34">
        <f>IF(OR('Historique ajusté'!C100="",'Historique ajusté'!C99=""),"",IF(ABS(LN('Historique ajusté'!C100/'Historique ajusté'!C99))&gt;Seuil_aberrant,"",'Historique ajusté'!C100/'Historique ajusté'!C99-1))</f>
        <v/>
      </c>
      <c r="D100" s="34">
        <f>IF(OR('Historique ajusté'!D100="",'Historique ajusté'!D99=""),"",IF(ABS(LN('Historique ajusté'!D100/'Historique ajusté'!D99))&gt;Seuil_aberrant,"",'Historique ajusté'!D100/'Historique ajusté'!D99-1))</f>
        <v/>
      </c>
      <c r="E100" s="34">
        <f>IF(OR('Historique ajusté'!E100="",'Historique ajusté'!E99=""),"",IF(ABS(LN('Historique ajusté'!E100/'Historique ajusté'!E99))&gt;Seuil_aberrant,"",'Historique ajusté'!E100/'Historique ajusté'!E99-1))</f>
        <v/>
      </c>
      <c r="F100" s="34">
        <f>IF(OR('Historique ajusté'!F100="",'Historique ajusté'!F99=""),"",IF(ABS(LN('Historique ajusté'!F100/'Historique ajusté'!F99))&gt;Seuil_aberrant,"",'Historique ajusté'!F100/'Historique ajusté'!F99-1))</f>
        <v/>
      </c>
      <c r="G100" s="34">
        <f>IF(OR('Historique ajusté'!G100="",'Historique ajusté'!G99=""),"",IF(ABS(LN('Historique ajusté'!G100/'Historique ajusté'!G99))&gt;Seuil_aberrant,"",'Historique ajusté'!G100/'Historique ajusté'!G99-1))</f>
        <v/>
      </c>
      <c r="H100" s="34">
        <f>IF(OR('Historique ajusté'!H100="",'Historique ajusté'!H99=""),"",IF(ABS(LN('Historique ajusté'!H100/'Historique ajusté'!H99))&gt;Seuil_aberrant,"",'Historique ajusté'!H100/'Historique ajusté'!H99-1))</f>
        <v/>
      </c>
      <c r="I100" s="34">
        <f>IF(OR('Historique ajusté'!I100="",'Historique ajusté'!I99=""),"",IF(ABS(LN('Historique ajusté'!I100/'Historique ajusté'!I99))&gt;Seuil_aberrant,"",'Historique ajusté'!I100/'Historique ajusté'!I99-1))</f>
        <v/>
      </c>
      <c r="J100" s="34">
        <f>IF(OR('Historique ajusté'!J100="",'Historique ajusté'!J99=""),"",IF(ABS(LN('Historique ajusté'!J100/'Historique ajusté'!J99))&gt;Seuil_aberrant,"",'Historique ajusté'!J100/'Historique ajusté'!J99-1))</f>
        <v/>
      </c>
      <c r="K100" s="34">
        <f>IF(OR('Historique ajusté'!K100="",'Historique ajusté'!K99=""),"",IF(ABS(LN('Historique ajusté'!K100/'Historique ajusté'!K99))&gt;Seuil_aberrant,"",'Historique ajusté'!K100/'Historique ajusté'!K99-1))</f>
        <v/>
      </c>
      <c r="L100" s="34">
        <f>IF(OR('Historique ajusté'!L100="",'Historique ajusté'!L99=""),"",IF(ABS(LN('Historique ajusté'!L100/'Historique ajusté'!L99))&gt;Seuil_aberrant,"",'Historique ajusté'!L100/'Historique ajusté'!L99-1))</f>
        <v/>
      </c>
      <c r="M100" s="34">
        <f>IF(OR('Historique ajusté'!M100="",'Historique ajusté'!M99=""),"",IF(ABS(LN('Historique ajusté'!M100/'Historique ajusté'!M99))&gt;Seuil_aberrant,"",'Historique ajusté'!M100/'Historique ajusté'!M99-1))</f>
        <v/>
      </c>
      <c r="N100" s="34">
        <f>IF(OR('Historique ajusté'!N100="",'Historique ajusté'!N99=""),"",IF(ABS(LN('Historique ajusté'!N100/'Historique ajusté'!N99))&gt;Seuil_aberrant,"",'Historique ajusté'!N100/'Historique ajusté'!N99-1))</f>
        <v/>
      </c>
      <c r="O100" s="34">
        <f>IF(OR('Historique ajusté'!O100="",'Historique ajusté'!O99=""),"",IF(ABS(LN('Historique ajusté'!O100/'Historique ajusté'!O99))&gt;Seuil_aberrant,"",'Historique ajusté'!O100/'Historique ajusté'!O99-1))</f>
        <v/>
      </c>
      <c r="P100" s="34">
        <f>IF(OR('Historique ajusté'!P100="",'Historique ajusté'!P99=""),"",IF(ABS(LN('Historique ajusté'!P100/'Historique ajusté'!P99))&gt;Seuil_aberrant,"",'Historique ajusté'!P100/'Historique ajusté'!P99-1))</f>
        <v/>
      </c>
    </row>
    <row r="101">
      <c r="B101" s="32">
        <f>'Historique ajusté'!B101</f>
        <v/>
      </c>
      <c r="C101" s="34">
        <f>IF(OR('Historique ajusté'!C101="",'Historique ajusté'!C100=""),"",IF(ABS(LN('Historique ajusté'!C101/'Historique ajusté'!C100))&gt;Seuil_aberrant,"",'Historique ajusté'!C101/'Historique ajusté'!C100-1))</f>
        <v/>
      </c>
      <c r="D101" s="34">
        <f>IF(OR('Historique ajusté'!D101="",'Historique ajusté'!D100=""),"",IF(ABS(LN('Historique ajusté'!D101/'Historique ajusté'!D100))&gt;Seuil_aberrant,"",'Historique ajusté'!D101/'Historique ajusté'!D100-1))</f>
        <v/>
      </c>
      <c r="E101" s="34">
        <f>IF(OR('Historique ajusté'!E101="",'Historique ajusté'!E100=""),"",IF(ABS(LN('Historique ajusté'!E101/'Historique ajusté'!E100))&gt;Seuil_aberrant,"",'Historique ajusté'!E101/'Historique ajusté'!E100-1))</f>
        <v/>
      </c>
      <c r="F101" s="34">
        <f>IF(OR('Historique ajusté'!F101="",'Historique ajusté'!F100=""),"",IF(ABS(LN('Historique ajusté'!F101/'Historique ajusté'!F100))&gt;Seuil_aberrant,"",'Historique ajusté'!F101/'Historique ajusté'!F100-1))</f>
        <v/>
      </c>
      <c r="G101" s="34">
        <f>IF(OR('Historique ajusté'!G101="",'Historique ajusté'!G100=""),"",IF(ABS(LN('Historique ajusté'!G101/'Historique ajusté'!G100))&gt;Seuil_aberrant,"",'Historique ajusté'!G101/'Historique ajusté'!G100-1))</f>
        <v/>
      </c>
      <c r="H101" s="34">
        <f>IF(OR('Historique ajusté'!H101="",'Historique ajusté'!H100=""),"",IF(ABS(LN('Historique ajusté'!H101/'Historique ajusté'!H100))&gt;Seuil_aberrant,"",'Historique ajusté'!H101/'Historique ajusté'!H100-1))</f>
        <v/>
      </c>
      <c r="I101" s="34">
        <f>IF(OR('Historique ajusté'!I101="",'Historique ajusté'!I100=""),"",IF(ABS(LN('Historique ajusté'!I101/'Historique ajusté'!I100))&gt;Seuil_aberrant,"",'Historique ajusté'!I101/'Historique ajusté'!I100-1))</f>
        <v/>
      </c>
      <c r="J101" s="34">
        <f>IF(OR('Historique ajusté'!J101="",'Historique ajusté'!J100=""),"",IF(ABS(LN('Historique ajusté'!J101/'Historique ajusté'!J100))&gt;Seuil_aberrant,"",'Historique ajusté'!J101/'Historique ajusté'!J100-1))</f>
        <v/>
      </c>
      <c r="K101" s="34">
        <f>IF(OR('Historique ajusté'!K101="",'Historique ajusté'!K100=""),"",IF(ABS(LN('Historique ajusté'!K101/'Historique ajusté'!K100))&gt;Seuil_aberrant,"",'Historique ajusté'!K101/'Historique ajusté'!K100-1))</f>
        <v/>
      </c>
      <c r="L101" s="34">
        <f>IF(OR('Historique ajusté'!L101="",'Historique ajusté'!L100=""),"",IF(ABS(LN('Historique ajusté'!L101/'Historique ajusté'!L100))&gt;Seuil_aberrant,"",'Historique ajusté'!L101/'Historique ajusté'!L100-1))</f>
        <v/>
      </c>
      <c r="M101" s="34">
        <f>IF(OR('Historique ajusté'!M101="",'Historique ajusté'!M100=""),"",IF(ABS(LN('Historique ajusté'!M101/'Historique ajusté'!M100))&gt;Seuil_aberrant,"",'Historique ajusté'!M101/'Historique ajusté'!M100-1))</f>
        <v/>
      </c>
      <c r="N101" s="34">
        <f>IF(OR('Historique ajusté'!N101="",'Historique ajusté'!N100=""),"",IF(ABS(LN('Historique ajusté'!N101/'Historique ajusté'!N100))&gt;Seuil_aberrant,"",'Historique ajusté'!N101/'Historique ajusté'!N100-1))</f>
        <v/>
      </c>
      <c r="O101" s="34">
        <f>IF(OR('Historique ajusté'!O101="",'Historique ajusté'!O100=""),"",IF(ABS(LN('Historique ajusté'!O101/'Historique ajusté'!O100))&gt;Seuil_aberrant,"",'Historique ajusté'!O101/'Historique ajusté'!O100-1))</f>
        <v/>
      </c>
      <c r="P101" s="34">
        <f>IF(OR('Historique ajusté'!P101="",'Historique ajusté'!P100=""),"",IF(ABS(LN('Historique ajusté'!P101/'Historique ajusté'!P100))&gt;Seuil_aberrant,"",'Historique ajusté'!P101/'Historique ajusté'!P100-1))</f>
        <v/>
      </c>
    </row>
    <row r="102">
      <c r="B102" s="32">
        <f>'Historique ajusté'!B102</f>
        <v/>
      </c>
      <c r="C102" s="34">
        <f>IF(OR('Historique ajusté'!C102="",'Historique ajusté'!C101=""),"",IF(ABS(LN('Historique ajusté'!C102/'Historique ajusté'!C101))&gt;Seuil_aberrant,"",'Historique ajusté'!C102/'Historique ajusté'!C101-1))</f>
        <v/>
      </c>
      <c r="D102" s="34">
        <f>IF(OR('Historique ajusté'!D102="",'Historique ajusté'!D101=""),"",IF(ABS(LN('Historique ajusté'!D102/'Historique ajusté'!D101))&gt;Seuil_aberrant,"",'Historique ajusté'!D102/'Historique ajusté'!D101-1))</f>
        <v/>
      </c>
      <c r="E102" s="34">
        <f>IF(OR('Historique ajusté'!E102="",'Historique ajusté'!E101=""),"",IF(ABS(LN('Historique ajusté'!E102/'Historique ajusté'!E101))&gt;Seuil_aberrant,"",'Historique ajusté'!E102/'Historique ajusté'!E101-1))</f>
        <v/>
      </c>
      <c r="F102" s="34">
        <f>IF(OR('Historique ajusté'!F102="",'Historique ajusté'!F101=""),"",IF(ABS(LN('Historique ajusté'!F102/'Historique ajusté'!F101))&gt;Seuil_aberrant,"",'Historique ajusté'!F102/'Historique ajusté'!F101-1))</f>
        <v/>
      </c>
      <c r="G102" s="34">
        <f>IF(OR('Historique ajusté'!G102="",'Historique ajusté'!G101=""),"",IF(ABS(LN('Historique ajusté'!G102/'Historique ajusté'!G101))&gt;Seuil_aberrant,"",'Historique ajusté'!G102/'Historique ajusté'!G101-1))</f>
        <v/>
      </c>
      <c r="H102" s="34">
        <f>IF(OR('Historique ajusté'!H102="",'Historique ajusté'!H101=""),"",IF(ABS(LN('Historique ajusté'!H102/'Historique ajusté'!H101))&gt;Seuil_aberrant,"",'Historique ajusté'!H102/'Historique ajusté'!H101-1))</f>
        <v/>
      </c>
      <c r="I102" s="34">
        <f>IF(OR('Historique ajusté'!I102="",'Historique ajusté'!I101=""),"",IF(ABS(LN('Historique ajusté'!I102/'Historique ajusté'!I101))&gt;Seuil_aberrant,"",'Historique ajusté'!I102/'Historique ajusté'!I101-1))</f>
        <v/>
      </c>
      <c r="J102" s="34">
        <f>IF(OR('Historique ajusté'!J102="",'Historique ajusté'!J101=""),"",IF(ABS(LN('Historique ajusté'!J102/'Historique ajusté'!J101))&gt;Seuil_aberrant,"",'Historique ajusté'!J102/'Historique ajusté'!J101-1))</f>
        <v/>
      </c>
      <c r="K102" s="34">
        <f>IF(OR('Historique ajusté'!K102="",'Historique ajusté'!K101=""),"",IF(ABS(LN('Historique ajusté'!K102/'Historique ajusté'!K101))&gt;Seuil_aberrant,"",'Historique ajusté'!K102/'Historique ajusté'!K101-1))</f>
        <v/>
      </c>
      <c r="L102" s="34">
        <f>IF(OR('Historique ajusté'!L102="",'Historique ajusté'!L101=""),"",IF(ABS(LN('Historique ajusté'!L102/'Historique ajusté'!L101))&gt;Seuil_aberrant,"",'Historique ajusté'!L102/'Historique ajusté'!L101-1))</f>
        <v/>
      </c>
      <c r="M102" s="34">
        <f>IF(OR('Historique ajusté'!M102="",'Historique ajusté'!M101=""),"",IF(ABS(LN('Historique ajusté'!M102/'Historique ajusté'!M101))&gt;Seuil_aberrant,"",'Historique ajusté'!M102/'Historique ajusté'!M101-1))</f>
        <v/>
      </c>
      <c r="N102" s="34">
        <f>IF(OR('Historique ajusté'!N102="",'Historique ajusté'!N101=""),"",IF(ABS(LN('Historique ajusté'!N102/'Historique ajusté'!N101))&gt;Seuil_aberrant,"",'Historique ajusté'!N102/'Historique ajusté'!N101-1))</f>
        <v/>
      </c>
      <c r="O102" s="34">
        <f>IF(OR('Historique ajusté'!O102="",'Historique ajusté'!O101=""),"",IF(ABS(LN('Historique ajusté'!O102/'Historique ajusté'!O101))&gt;Seuil_aberrant,"",'Historique ajusté'!O102/'Historique ajusté'!O101-1))</f>
        <v/>
      </c>
      <c r="P102" s="34">
        <f>IF(OR('Historique ajusté'!P102="",'Historique ajusté'!P101=""),"",IF(ABS(LN('Historique ajusté'!P102/'Historique ajusté'!P101))&gt;Seuil_aberrant,"",'Historique ajusté'!P102/'Historique ajusté'!P101-1))</f>
        <v/>
      </c>
    </row>
    <row r="103">
      <c r="B103" s="32">
        <f>'Historique ajusté'!B103</f>
        <v/>
      </c>
      <c r="C103" s="34">
        <f>IF(OR('Historique ajusté'!C103="",'Historique ajusté'!C102=""),"",IF(ABS(LN('Historique ajusté'!C103/'Historique ajusté'!C102))&gt;Seuil_aberrant,"",'Historique ajusté'!C103/'Historique ajusté'!C102-1))</f>
        <v/>
      </c>
      <c r="D103" s="34">
        <f>IF(OR('Historique ajusté'!D103="",'Historique ajusté'!D102=""),"",IF(ABS(LN('Historique ajusté'!D103/'Historique ajusté'!D102))&gt;Seuil_aberrant,"",'Historique ajusté'!D103/'Historique ajusté'!D102-1))</f>
        <v/>
      </c>
      <c r="E103" s="34">
        <f>IF(OR('Historique ajusté'!E103="",'Historique ajusté'!E102=""),"",IF(ABS(LN('Historique ajusté'!E103/'Historique ajusté'!E102))&gt;Seuil_aberrant,"",'Historique ajusté'!E103/'Historique ajusté'!E102-1))</f>
        <v/>
      </c>
      <c r="F103" s="34">
        <f>IF(OR('Historique ajusté'!F103="",'Historique ajusté'!F102=""),"",IF(ABS(LN('Historique ajusté'!F103/'Historique ajusté'!F102))&gt;Seuil_aberrant,"",'Historique ajusté'!F103/'Historique ajusté'!F102-1))</f>
        <v/>
      </c>
      <c r="G103" s="34">
        <f>IF(OR('Historique ajusté'!G103="",'Historique ajusté'!G102=""),"",IF(ABS(LN('Historique ajusté'!G103/'Historique ajusté'!G102))&gt;Seuil_aberrant,"",'Historique ajusté'!G103/'Historique ajusté'!G102-1))</f>
        <v/>
      </c>
      <c r="H103" s="34">
        <f>IF(OR('Historique ajusté'!H103="",'Historique ajusté'!H102=""),"",IF(ABS(LN('Historique ajusté'!H103/'Historique ajusté'!H102))&gt;Seuil_aberrant,"",'Historique ajusté'!H103/'Historique ajusté'!H102-1))</f>
        <v/>
      </c>
      <c r="I103" s="34">
        <f>IF(OR('Historique ajusté'!I103="",'Historique ajusté'!I102=""),"",IF(ABS(LN('Historique ajusté'!I103/'Historique ajusté'!I102))&gt;Seuil_aberrant,"",'Historique ajusté'!I103/'Historique ajusté'!I102-1))</f>
        <v/>
      </c>
      <c r="J103" s="34">
        <f>IF(OR('Historique ajusté'!J103="",'Historique ajusté'!J102=""),"",IF(ABS(LN('Historique ajusté'!J103/'Historique ajusté'!J102))&gt;Seuil_aberrant,"",'Historique ajusté'!J103/'Historique ajusté'!J102-1))</f>
        <v/>
      </c>
      <c r="K103" s="34">
        <f>IF(OR('Historique ajusté'!K103="",'Historique ajusté'!K102=""),"",IF(ABS(LN('Historique ajusté'!K103/'Historique ajusté'!K102))&gt;Seuil_aberrant,"",'Historique ajusté'!K103/'Historique ajusté'!K102-1))</f>
        <v/>
      </c>
      <c r="L103" s="34">
        <f>IF(OR('Historique ajusté'!L103="",'Historique ajusté'!L102=""),"",IF(ABS(LN('Historique ajusté'!L103/'Historique ajusté'!L102))&gt;Seuil_aberrant,"",'Historique ajusté'!L103/'Historique ajusté'!L102-1))</f>
        <v/>
      </c>
      <c r="M103" s="34">
        <f>IF(OR('Historique ajusté'!M103="",'Historique ajusté'!M102=""),"",IF(ABS(LN('Historique ajusté'!M103/'Historique ajusté'!M102))&gt;Seuil_aberrant,"",'Historique ajusté'!M103/'Historique ajusté'!M102-1))</f>
        <v/>
      </c>
      <c r="N103" s="34">
        <f>IF(OR('Historique ajusté'!N103="",'Historique ajusté'!N102=""),"",IF(ABS(LN('Historique ajusté'!N103/'Historique ajusté'!N102))&gt;Seuil_aberrant,"",'Historique ajusté'!N103/'Historique ajusté'!N102-1))</f>
        <v/>
      </c>
      <c r="O103" s="34">
        <f>IF(OR('Historique ajusté'!O103="",'Historique ajusté'!O102=""),"",IF(ABS(LN('Historique ajusté'!O103/'Historique ajusté'!O102))&gt;Seuil_aberrant,"",'Historique ajusté'!O103/'Historique ajusté'!O102-1))</f>
        <v/>
      </c>
      <c r="P103" s="34">
        <f>IF(OR('Historique ajusté'!P103="",'Historique ajusté'!P102=""),"",IF(ABS(LN('Historique ajusté'!P103/'Historique ajusté'!P102))&gt;Seuil_aberrant,"",'Historique ajusté'!P103/'Historique ajusté'!P102-1))</f>
        <v/>
      </c>
    </row>
    <row r="104">
      <c r="B104" s="32">
        <f>'Historique ajusté'!B104</f>
        <v/>
      </c>
      <c r="C104" s="34">
        <f>IF(OR('Historique ajusté'!C104="",'Historique ajusté'!C103=""),"",IF(ABS(LN('Historique ajusté'!C104/'Historique ajusté'!C103))&gt;Seuil_aberrant,"",'Historique ajusté'!C104/'Historique ajusté'!C103-1))</f>
        <v/>
      </c>
      <c r="D104" s="34">
        <f>IF(OR('Historique ajusté'!D104="",'Historique ajusté'!D103=""),"",IF(ABS(LN('Historique ajusté'!D104/'Historique ajusté'!D103))&gt;Seuil_aberrant,"",'Historique ajusté'!D104/'Historique ajusté'!D103-1))</f>
        <v/>
      </c>
      <c r="E104" s="34">
        <f>IF(OR('Historique ajusté'!E104="",'Historique ajusté'!E103=""),"",IF(ABS(LN('Historique ajusté'!E104/'Historique ajusté'!E103))&gt;Seuil_aberrant,"",'Historique ajusté'!E104/'Historique ajusté'!E103-1))</f>
        <v/>
      </c>
      <c r="F104" s="34">
        <f>IF(OR('Historique ajusté'!F104="",'Historique ajusté'!F103=""),"",IF(ABS(LN('Historique ajusté'!F104/'Historique ajusté'!F103))&gt;Seuil_aberrant,"",'Historique ajusté'!F104/'Historique ajusté'!F103-1))</f>
        <v/>
      </c>
      <c r="G104" s="34">
        <f>IF(OR('Historique ajusté'!G104="",'Historique ajusté'!G103=""),"",IF(ABS(LN('Historique ajusté'!G104/'Historique ajusté'!G103))&gt;Seuil_aberrant,"",'Historique ajusté'!G104/'Historique ajusté'!G103-1))</f>
        <v/>
      </c>
      <c r="H104" s="34">
        <f>IF(OR('Historique ajusté'!H104="",'Historique ajusté'!H103=""),"",IF(ABS(LN('Historique ajusté'!H104/'Historique ajusté'!H103))&gt;Seuil_aberrant,"",'Historique ajusté'!H104/'Historique ajusté'!H103-1))</f>
        <v/>
      </c>
      <c r="I104" s="34">
        <f>IF(OR('Historique ajusté'!I104="",'Historique ajusté'!I103=""),"",IF(ABS(LN('Historique ajusté'!I104/'Historique ajusté'!I103))&gt;Seuil_aberrant,"",'Historique ajusté'!I104/'Historique ajusté'!I103-1))</f>
        <v/>
      </c>
      <c r="J104" s="34">
        <f>IF(OR('Historique ajusté'!J104="",'Historique ajusté'!J103=""),"",IF(ABS(LN('Historique ajusté'!J104/'Historique ajusté'!J103))&gt;Seuil_aberrant,"",'Historique ajusté'!J104/'Historique ajusté'!J103-1))</f>
        <v/>
      </c>
      <c r="K104" s="34">
        <f>IF(OR('Historique ajusté'!K104="",'Historique ajusté'!K103=""),"",IF(ABS(LN('Historique ajusté'!K104/'Historique ajusté'!K103))&gt;Seuil_aberrant,"",'Historique ajusté'!K104/'Historique ajusté'!K103-1))</f>
        <v/>
      </c>
      <c r="L104" s="34">
        <f>IF(OR('Historique ajusté'!L104="",'Historique ajusté'!L103=""),"",IF(ABS(LN('Historique ajusté'!L104/'Historique ajusté'!L103))&gt;Seuil_aberrant,"",'Historique ajusté'!L104/'Historique ajusté'!L103-1))</f>
        <v/>
      </c>
      <c r="M104" s="34">
        <f>IF(OR('Historique ajusté'!M104="",'Historique ajusté'!M103=""),"",IF(ABS(LN('Historique ajusté'!M104/'Historique ajusté'!M103))&gt;Seuil_aberrant,"",'Historique ajusté'!M104/'Historique ajusté'!M103-1))</f>
        <v/>
      </c>
      <c r="N104" s="34">
        <f>IF(OR('Historique ajusté'!N104="",'Historique ajusté'!N103=""),"",IF(ABS(LN('Historique ajusté'!N104/'Historique ajusté'!N103))&gt;Seuil_aberrant,"",'Historique ajusté'!N104/'Historique ajusté'!N103-1))</f>
        <v/>
      </c>
      <c r="O104" s="34">
        <f>IF(OR('Historique ajusté'!O104="",'Historique ajusté'!O103=""),"",IF(ABS(LN('Historique ajusté'!O104/'Historique ajusté'!O103))&gt;Seuil_aberrant,"",'Historique ajusté'!O104/'Historique ajusté'!O103-1))</f>
        <v/>
      </c>
      <c r="P104" s="34">
        <f>IF(OR('Historique ajusté'!P104="",'Historique ajusté'!P103=""),"",IF(ABS(LN('Historique ajusté'!P104/'Historique ajusté'!P103))&gt;Seuil_aberrant,"",'Historique ajusté'!P104/'Historique ajusté'!P103-1))</f>
        <v/>
      </c>
    </row>
    <row r="105">
      <c r="B105" s="32">
        <f>'Historique ajusté'!B105</f>
        <v/>
      </c>
      <c r="C105" s="34">
        <f>IF(OR('Historique ajusté'!C105="",'Historique ajusté'!C104=""),"",IF(ABS(LN('Historique ajusté'!C105/'Historique ajusté'!C104))&gt;Seuil_aberrant,"",'Historique ajusté'!C105/'Historique ajusté'!C104-1))</f>
        <v/>
      </c>
      <c r="D105" s="34">
        <f>IF(OR('Historique ajusté'!D105="",'Historique ajusté'!D104=""),"",IF(ABS(LN('Historique ajusté'!D105/'Historique ajusté'!D104))&gt;Seuil_aberrant,"",'Historique ajusté'!D105/'Historique ajusté'!D104-1))</f>
        <v/>
      </c>
      <c r="E105" s="34">
        <f>IF(OR('Historique ajusté'!E105="",'Historique ajusté'!E104=""),"",IF(ABS(LN('Historique ajusté'!E105/'Historique ajusté'!E104))&gt;Seuil_aberrant,"",'Historique ajusté'!E105/'Historique ajusté'!E104-1))</f>
        <v/>
      </c>
      <c r="F105" s="34">
        <f>IF(OR('Historique ajusté'!F105="",'Historique ajusté'!F104=""),"",IF(ABS(LN('Historique ajusté'!F105/'Historique ajusté'!F104))&gt;Seuil_aberrant,"",'Historique ajusté'!F105/'Historique ajusté'!F104-1))</f>
        <v/>
      </c>
      <c r="G105" s="34">
        <f>IF(OR('Historique ajusté'!G105="",'Historique ajusté'!G104=""),"",IF(ABS(LN('Historique ajusté'!G105/'Historique ajusté'!G104))&gt;Seuil_aberrant,"",'Historique ajusté'!G105/'Historique ajusté'!G104-1))</f>
        <v/>
      </c>
      <c r="H105" s="34">
        <f>IF(OR('Historique ajusté'!H105="",'Historique ajusté'!H104=""),"",IF(ABS(LN('Historique ajusté'!H105/'Historique ajusté'!H104))&gt;Seuil_aberrant,"",'Historique ajusté'!H105/'Historique ajusté'!H104-1))</f>
        <v/>
      </c>
      <c r="I105" s="34">
        <f>IF(OR('Historique ajusté'!I105="",'Historique ajusté'!I104=""),"",IF(ABS(LN('Historique ajusté'!I105/'Historique ajusté'!I104))&gt;Seuil_aberrant,"",'Historique ajusté'!I105/'Historique ajusté'!I104-1))</f>
        <v/>
      </c>
      <c r="J105" s="34">
        <f>IF(OR('Historique ajusté'!J105="",'Historique ajusté'!J104=""),"",IF(ABS(LN('Historique ajusté'!J105/'Historique ajusté'!J104))&gt;Seuil_aberrant,"",'Historique ajusté'!J105/'Historique ajusté'!J104-1))</f>
        <v/>
      </c>
      <c r="K105" s="34">
        <f>IF(OR('Historique ajusté'!K105="",'Historique ajusté'!K104=""),"",IF(ABS(LN('Historique ajusté'!K105/'Historique ajusté'!K104))&gt;Seuil_aberrant,"",'Historique ajusté'!K105/'Historique ajusté'!K104-1))</f>
        <v/>
      </c>
      <c r="L105" s="34">
        <f>IF(OR('Historique ajusté'!L105="",'Historique ajusté'!L104=""),"",IF(ABS(LN('Historique ajusté'!L105/'Historique ajusté'!L104))&gt;Seuil_aberrant,"",'Historique ajusté'!L105/'Historique ajusté'!L104-1))</f>
        <v/>
      </c>
      <c r="M105" s="34">
        <f>IF(OR('Historique ajusté'!M105="",'Historique ajusté'!M104=""),"",IF(ABS(LN('Historique ajusté'!M105/'Historique ajusté'!M104))&gt;Seuil_aberrant,"",'Historique ajusté'!M105/'Historique ajusté'!M104-1))</f>
        <v/>
      </c>
      <c r="N105" s="34">
        <f>IF(OR('Historique ajusté'!N105="",'Historique ajusté'!N104=""),"",IF(ABS(LN('Historique ajusté'!N105/'Historique ajusté'!N104))&gt;Seuil_aberrant,"",'Historique ajusté'!N105/'Historique ajusté'!N104-1))</f>
        <v/>
      </c>
      <c r="O105" s="34">
        <f>IF(OR('Historique ajusté'!O105="",'Historique ajusté'!O104=""),"",IF(ABS(LN('Historique ajusté'!O105/'Historique ajusté'!O104))&gt;Seuil_aberrant,"",'Historique ajusté'!O105/'Historique ajusté'!O104-1))</f>
        <v/>
      </c>
      <c r="P105" s="34">
        <f>IF(OR('Historique ajusté'!P105="",'Historique ajusté'!P104=""),"",IF(ABS(LN('Historique ajusté'!P105/'Historique ajusté'!P104))&gt;Seuil_aberrant,"",'Historique ajusté'!P105/'Historique ajusté'!P104-1))</f>
        <v/>
      </c>
    </row>
    <row r="106">
      <c r="B106" s="32">
        <f>'Historique ajusté'!B106</f>
        <v/>
      </c>
      <c r="C106" s="34">
        <f>IF(OR('Historique ajusté'!C106="",'Historique ajusté'!C105=""),"",IF(ABS(LN('Historique ajusté'!C106/'Historique ajusté'!C105))&gt;Seuil_aberrant,"",'Historique ajusté'!C106/'Historique ajusté'!C105-1))</f>
        <v/>
      </c>
      <c r="D106" s="34">
        <f>IF(OR('Historique ajusté'!D106="",'Historique ajusté'!D105=""),"",IF(ABS(LN('Historique ajusté'!D106/'Historique ajusté'!D105))&gt;Seuil_aberrant,"",'Historique ajusté'!D106/'Historique ajusté'!D105-1))</f>
        <v/>
      </c>
      <c r="E106" s="34">
        <f>IF(OR('Historique ajusté'!E106="",'Historique ajusté'!E105=""),"",IF(ABS(LN('Historique ajusté'!E106/'Historique ajusté'!E105))&gt;Seuil_aberrant,"",'Historique ajusté'!E106/'Historique ajusté'!E105-1))</f>
        <v/>
      </c>
      <c r="F106" s="34">
        <f>IF(OR('Historique ajusté'!F106="",'Historique ajusté'!F105=""),"",IF(ABS(LN('Historique ajusté'!F106/'Historique ajusté'!F105))&gt;Seuil_aberrant,"",'Historique ajusté'!F106/'Historique ajusté'!F105-1))</f>
        <v/>
      </c>
      <c r="G106" s="34">
        <f>IF(OR('Historique ajusté'!G106="",'Historique ajusté'!G105=""),"",IF(ABS(LN('Historique ajusté'!G106/'Historique ajusté'!G105))&gt;Seuil_aberrant,"",'Historique ajusté'!G106/'Historique ajusté'!G105-1))</f>
        <v/>
      </c>
      <c r="H106" s="34">
        <f>IF(OR('Historique ajusté'!H106="",'Historique ajusté'!H105=""),"",IF(ABS(LN('Historique ajusté'!H106/'Historique ajusté'!H105))&gt;Seuil_aberrant,"",'Historique ajusté'!H106/'Historique ajusté'!H105-1))</f>
        <v/>
      </c>
      <c r="I106" s="34">
        <f>IF(OR('Historique ajusté'!I106="",'Historique ajusté'!I105=""),"",IF(ABS(LN('Historique ajusté'!I106/'Historique ajusté'!I105))&gt;Seuil_aberrant,"",'Historique ajusté'!I106/'Historique ajusté'!I105-1))</f>
        <v/>
      </c>
      <c r="J106" s="34">
        <f>IF(OR('Historique ajusté'!J106="",'Historique ajusté'!J105=""),"",IF(ABS(LN('Historique ajusté'!J106/'Historique ajusté'!J105))&gt;Seuil_aberrant,"",'Historique ajusté'!J106/'Historique ajusté'!J105-1))</f>
        <v/>
      </c>
      <c r="K106" s="34">
        <f>IF(OR('Historique ajusté'!K106="",'Historique ajusté'!K105=""),"",IF(ABS(LN('Historique ajusté'!K106/'Historique ajusté'!K105))&gt;Seuil_aberrant,"",'Historique ajusté'!K106/'Historique ajusté'!K105-1))</f>
        <v/>
      </c>
      <c r="L106" s="34">
        <f>IF(OR('Historique ajusté'!L106="",'Historique ajusté'!L105=""),"",IF(ABS(LN('Historique ajusté'!L106/'Historique ajusté'!L105))&gt;Seuil_aberrant,"",'Historique ajusté'!L106/'Historique ajusté'!L105-1))</f>
        <v/>
      </c>
      <c r="M106" s="34">
        <f>IF(OR('Historique ajusté'!M106="",'Historique ajusté'!M105=""),"",IF(ABS(LN('Historique ajusté'!M106/'Historique ajusté'!M105))&gt;Seuil_aberrant,"",'Historique ajusté'!M106/'Historique ajusté'!M105-1))</f>
        <v/>
      </c>
      <c r="N106" s="34">
        <f>IF(OR('Historique ajusté'!N106="",'Historique ajusté'!N105=""),"",IF(ABS(LN('Historique ajusté'!N106/'Historique ajusté'!N105))&gt;Seuil_aberrant,"",'Historique ajusté'!N106/'Historique ajusté'!N105-1))</f>
        <v/>
      </c>
      <c r="O106" s="34">
        <f>IF(OR('Historique ajusté'!O106="",'Historique ajusté'!O105=""),"",IF(ABS(LN('Historique ajusté'!O106/'Historique ajusté'!O105))&gt;Seuil_aberrant,"",'Historique ajusté'!O106/'Historique ajusté'!O105-1))</f>
        <v/>
      </c>
      <c r="P106" s="34">
        <f>IF(OR('Historique ajusté'!P106="",'Historique ajusté'!P105=""),"",IF(ABS(LN('Historique ajusté'!P106/'Historique ajusté'!P105))&gt;Seuil_aberrant,"",'Historique ajusté'!P106/'Historique ajusté'!P105-1))</f>
        <v/>
      </c>
    </row>
    <row r="107">
      <c r="B107" s="32">
        <f>'Historique ajusté'!B107</f>
        <v/>
      </c>
      <c r="C107" s="34">
        <f>IF(OR('Historique ajusté'!C107="",'Historique ajusté'!C106=""),"",IF(ABS(LN('Historique ajusté'!C107/'Historique ajusté'!C106))&gt;Seuil_aberrant,"",'Historique ajusté'!C107/'Historique ajusté'!C106-1))</f>
        <v/>
      </c>
      <c r="D107" s="34">
        <f>IF(OR('Historique ajusté'!D107="",'Historique ajusté'!D106=""),"",IF(ABS(LN('Historique ajusté'!D107/'Historique ajusté'!D106))&gt;Seuil_aberrant,"",'Historique ajusté'!D107/'Historique ajusté'!D106-1))</f>
        <v/>
      </c>
      <c r="E107" s="34">
        <f>IF(OR('Historique ajusté'!E107="",'Historique ajusté'!E106=""),"",IF(ABS(LN('Historique ajusté'!E107/'Historique ajusté'!E106))&gt;Seuil_aberrant,"",'Historique ajusté'!E107/'Historique ajusté'!E106-1))</f>
        <v/>
      </c>
      <c r="F107" s="34">
        <f>IF(OR('Historique ajusté'!F107="",'Historique ajusté'!F106=""),"",IF(ABS(LN('Historique ajusté'!F107/'Historique ajusté'!F106))&gt;Seuil_aberrant,"",'Historique ajusté'!F107/'Historique ajusté'!F106-1))</f>
        <v/>
      </c>
      <c r="G107" s="34">
        <f>IF(OR('Historique ajusté'!G107="",'Historique ajusté'!G106=""),"",IF(ABS(LN('Historique ajusté'!G107/'Historique ajusté'!G106))&gt;Seuil_aberrant,"",'Historique ajusté'!G107/'Historique ajusté'!G106-1))</f>
        <v/>
      </c>
      <c r="H107" s="34">
        <f>IF(OR('Historique ajusté'!H107="",'Historique ajusté'!H106=""),"",IF(ABS(LN('Historique ajusté'!H107/'Historique ajusté'!H106))&gt;Seuil_aberrant,"",'Historique ajusté'!H107/'Historique ajusté'!H106-1))</f>
        <v/>
      </c>
      <c r="I107" s="34">
        <f>IF(OR('Historique ajusté'!I107="",'Historique ajusté'!I106=""),"",IF(ABS(LN('Historique ajusté'!I107/'Historique ajusté'!I106))&gt;Seuil_aberrant,"",'Historique ajusté'!I107/'Historique ajusté'!I106-1))</f>
        <v/>
      </c>
      <c r="J107" s="34">
        <f>IF(OR('Historique ajusté'!J107="",'Historique ajusté'!J106=""),"",IF(ABS(LN('Historique ajusté'!J107/'Historique ajusté'!J106))&gt;Seuil_aberrant,"",'Historique ajusté'!J107/'Historique ajusté'!J106-1))</f>
        <v/>
      </c>
      <c r="K107" s="34">
        <f>IF(OR('Historique ajusté'!K107="",'Historique ajusté'!K106=""),"",IF(ABS(LN('Historique ajusté'!K107/'Historique ajusté'!K106))&gt;Seuil_aberrant,"",'Historique ajusté'!K107/'Historique ajusté'!K106-1))</f>
        <v/>
      </c>
      <c r="L107" s="34">
        <f>IF(OR('Historique ajusté'!L107="",'Historique ajusté'!L106=""),"",IF(ABS(LN('Historique ajusté'!L107/'Historique ajusté'!L106))&gt;Seuil_aberrant,"",'Historique ajusté'!L107/'Historique ajusté'!L106-1))</f>
        <v/>
      </c>
      <c r="M107" s="34">
        <f>IF(OR('Historique ajusté'!M107="",'Historique ajusté'!M106=""),"",IF(ABS(LN('Historique ajusté'!M107/'Historique ajusté'!M106))&gt;Seuil_aberrant,"",'Historique ajusté'!M107/'Historique ajusté'!M106-1))</f>
        <v/>
      </c>
      <c r="N107" s="34">
        <f>IF(OR('Historique ajusté'!N107="",'Historique ajusté'!N106=""),"",IF(ABS(LN('Historique ajusté'!N107/'Historique ajusté'!N106))&gt;Seuil_aberrant,"",'Historique ajusté'!N107/'Historique ajusté'!N106-1))</f>
        <v/>
      </c>
      <c r="O107" s="34">
        <f>IF(OR('Historique ajusté'!O107="",'Historique ajusté'!O106=""),"",IF(ABS(LN('Historique ajusté'!O107/'Historique ajusté'!O106))&gt;Seuil_aberrant,"",'Historique ajusté'!O107/'Historique ajusté'!O106-1))</f>
        <v/>
      </c>
      <c r="P107" s="34">
        <f>IF(OR('Historique ajusté'!P107="",'Historique ajusté'!P106=""),"",IF(ABS(LN('Historique ajusté'!P107/'Historique ajusté'!P106))&gt;Seuil_aberrant,"",'Historique ajusté'!P107/'Historique ajusté'!P106-1))</f>
        <v/>
      </c>
    </row>
    <row r="108">
      <c r="B108" s="32">
        <f>'Historique ajusté'!B108</f>
        <v/>
      </c>
      <c r="C108" s="34">
        <f>IF(OR('Historique ajusté'!C108="",'Historique ajusté'!C107=""),"",IF(ABS(LN('Historique ajusté'!C108/'Historique ajusté'!C107))&gt;Seuil_aberrant,"",'Historique ajusté'!C108/'Historique ajusté'!C107-1))</f>
        <v/>
      </c>
      <c r="D108" s="34">
        <f>IF(OR('Historique ajusté'!D108="",'Historique ajusté'!D107=""),"",IF(ABS(LN('Historique ajusté'!D108/'Historique ajusté'!D107))&gt;Seuil_aberrant,"",'Historique ajusté'!D108/'Historique ajusté'!D107-1))</f>
        <v/>
      </c>
      <c r="E108" s="34">
        <f>IF(OR('Historique ajusté'!E108="",'Historique ajusté'!E107=""),"",IF(ABS(LN('Historique ajusté'!E108/'Historique ajusté'!E107))&gt;Seuil_aberrant,"",'Historique ajusté'!E108/'Historique ajusté'!E107-1))</f>
        <v/>
      </c>
      <c r="F108" s="34">
        <f>IF(OR('Historique ajusté'!F108="",'Historique ajusté'!F107=""),"",IF(ABS(LN('Historique ajusté'!F108/'Historique ajusté'!F107))&gt;Seuil_aberrant,"",'Historique ajusté'!F108/'Historique ajusté'!F107-1))</f>
        <v/>
      </c>
      <c r="G108" s="34">
        <f>IF(OR('Historique ajusté'!G108="",'Historique ajusté'!G107=""),"",IF(ABS(LN('Historique ajusté'!G108/'Historique ajusté'!G107))&gt;Seuil_aberrant,"",'Historique ajusté'!G108/'Historique ajusté'!G107-1))</f>
        <v/>
      </c>
      <c r="H108" s="34">
        <f>IF(OR('Historique ajusté'!H108="",'Historique ajusté'!H107=""),"",IF(ABS(LN('Historique ajusté'!H108/'Historique ajusté'!H107))&gt;Seuil_aberrant,"",'Historique ajusté'!H108/'Historique ajusté'!H107-1))</f>
        <v/>
      </c>
      <c r="I108" s="34">
        <f>IF(OR('Historique ajusté'!I108="",'Historique ajusté'!I107=""),"",IF(ABS(LN('Historique ajusté'!I108/'Historique ajusté'!I107))&gt;Seuil_aberrant,"",'Historique ajusté'!I108/'Historique ajusté'!I107-1))</f>
        <v/>
      </c>
      <c r="J108" s="34">
        <f>IF(OR('Historique ajusté'!J108="",'Historique ajusté'!J107=""),"",IF(ABS(LN('Historique ajusté'!J108/'Historique ajusté'!J107))&gt;Seuil_aberrant,"",'Historique ajusté'!J108/'Historique ajusté'!J107-1))</f>
        <v/>
      </c>
      <c r="K108" s="34">
        <f>IF(OR('Historique ajusté'!K108="",'Historique ajusté'!K107=""),"",IF(ABS(LN('Historique ajusté'!K108/'Historique ajusté'!K107))&gt;Seuil_aberrant,"",'Historique ajusté'!K108/'Historique ajusté'!K107-1))</f>
        <v/>
      </c>
      <c r="L108" s="34">
        <f>IF(OR('Historique ajusté'!L108="",'Historique ajusté'!L107=""),"",IF(ABS(LN('Historique ajusté'!L108/'Historique ajusté'!L107))&gt;Seuil_aberrant,"",'Historique ajusté'!L108/'Historique ajusté'!L107-1))</f>
        <v/>
      </c>
      <c r="M108" s="34">
        <f>IF(OR('Historique ajusté'!M108="",'Historique ajusté'!M107=""),"",IF(ABS(LN('Historique ajusté'!M108/'Historique ajusté'!M107))&gt;Seuil_aberrant,"",'Historique ajusté'!M108/'Historique ajusté'!M107-1))</f>
        <v/>
      </c>
      <c r="N108" s="34">
        <f>IF(OR('Historique ajusté'!N108="",'Historique ajusté'!N107=""),"",IF(ABS(LN('Historique ajusté'!N108/'Historique ajusté'!N107))&gt;Seuil_aberrant,"",'Historique ajusté'!N108/'Historique ajusté'!N107-1))</f>
        <v/>
      </c>
      <c r="O108" s="34">
        <f>IF(OR('Historique ajusté'!O108="",'Historique ajusté'!O107=""),"",IF(ABS(LN('Historique ajusté'!O108/'Historique ajusté'!O107))&gt;Seuil_aberrant,"",'Historique ajusté'!O108/'Historique ajusté'!O107-1))</f>
        <v/>
      </c>
      <c r="P108" s="34">
        <f>IF(OR('Historique ajusté'!P108="",'Historique ajusté'!P107=""),"",IF(ABS(LN('Historique ajusté'!P108/'Historique ajusté'!P107))&gt;Seuil_aberrant,"",'Historique ajusté'!P108/'Historique ajusté'!P107-1))</f>
        <v/>
      </c>
    </row>
    <row r="109">
      <c r="B109" s="32">
        <f>'Historique ajusté'!B109</f>
        <v/>
      </c>
      <c r="C109" s="34">
        <f>IF(OR('Historique ajusté'!C109="",'Historique ajusté'!C108=""),"",IF(ABS(LN('Historique ajusté'!C109/'Historique ajusté'!C108))&gt;Seuil_aberrant,"",'Historique ajusté'!C109/'Historique ajusté'!C108-1))</f>
        <v/>
      </c>
      <c r="D109" s="34">
        <f>IF(OR('Historique ajusté'!D109="",'Historique ajusté'!D108=""),"",IF(ABS(LN('Historique ajusté'!D109/'Historique ajusté'!D108))&gt;Seuil_aberrant,"",'Historique ajusté'!D109/'Historique ajusté'!D108-1))</f>
        <v/>
      </c>
      <c r="E109" s="34">
        <f>IF(OR('Historique ajusté'!E109="",'Historique ajusté'!E108=""),"",IF(ABS(LN('Historique ajusté'!E109/'Historique ajusté'!E108))&gt;Seuil_aberrant,"",'Historique ajusté'!E109/'Historique ajusté'!E108-1))</f>
        <v/>
      </c>
      <c r="F109" s="34">
        <f>IF(OR('Historique ajusté'!F109="",'Historique ajusté'!F108=""),"",IF(ABS(LN('Historique ajusté'!F109/'Historique ajusté'!F108))&gt;Seuil_aberrant,"",'Historique ajusté'!F109/'Historique ajusté'!F108-1))</f>
        <v/>
      </c>
      <c r="G109" s="34">
        <f>IF(OR('Historique ajusté'!G109="",'Historique ajusté'!G108=""),"",IF(ABS(LN('Historique ajusté'!G109/'Historique ajusté'!G108))&gt;Seuil_aberrant,"",'Historique ajusté'!G109/'Historique ajusté'!G108-1))</f>
        <v/>
      </c>
      <c r="H109" s="34">
        <f>IF(OR('Historique ajusté'!H109="",'Historique ajusté'!H108=""),"",IF(ABS(LN('Historique ajusté'!H109/'Historique ajusté'!H108))&gt;Seuil_aberrant,"",'Historique ajusté'!H109/'Historique ajusté'!H108-1))</f>
        <v/>
      </c>
      <c r="I109" s="34">
        <f>IF(OR('Historique ajusté'!I109="",'Historique ajusté'!I108=""),"",IF(ABS(LN('Historique ajusté'!I109/'Historique ajusté'!I108))&gt;Seuil_aberrant,"",'Historique ajusté'!I109/'Historique ajusté'!I108-1))</f>
        <v/>
      </c>
      <c r="J109" s="34">
        <f>IF(OR('Historique ajusté'!J109="",'Historique ajusté'!J108=""),"",IF(ABS(LN('Historique ajusté'!J109/'Historique ajusté'!J108))&gt;Seuil_aberrant,"",'Historique ajusté'!J109/'Historique ajusté'!J108-1))</f>
        <v/>
      </c>
      <c r="K109" s="34">
        <f>IF(OR('Historique ajusté'!K109="",'Historique ajusté'!K108=""),"",IF(ABS(LN('Historique ajusté'!K109/'Historique ajusté'!K108))&gt;Seuil_aberrant,"",'Historique ajusté'!K109/'Historique ajusté'!K108-1))</f>
        <v/>
      </c>
      <c r="L109" s="34">
        <f>IF(OR('Historique ajusté'!L109="",'Historique ajusté'!L108=""),"",IF(ABS(LN('Historique ajusté'!L109/'Historique ajusté'!L108))&gt;Seuil_aberrant,"",'Historique ajusté'!L109/'Historique ajusté'!L108-1))</f>
        <v/>
      </c>
      <c r="M109" s="34">
        <f>IF(OR('Historique ajusté'!M109="",'Historique ajusté'!M108=""),"",IF(ABS(LN('Historique ajusté'!M109/'Historique ajusté'!M108))&gt;Seuil_aberrant,"",'Historique ajusté'!M109/'Historique ajusté'!M108-1))</f>
        <v/>
      </c>
      <c r="N109" s="34">
        <f>IF(OR('Historique ajusté'!N109="",'Historique ajusté'!N108=""),"",IF(ABS(LN('Historique ajusté'!N109/'Historique ajusté'!N108))&gt;Seuil_aberrant,"",'Historique ajusté'!N109/'Historique ajusté'!N108-1))</f>
        <v/>
      </c>
      <c r="O109" s="34">
        <f>IF(OR('Historique ajusté'!O109="",'Historique ajusté'!O108=""),"",IF(ABS(LN('Historique ajusté'!O109/'Historique ajusté'!O108))&gt;Seuil_aberrant,"",'Historique ajusté'!O109/'Historique ajusté'!O108-1))</f>
        <v/>
      </c>
      <c r="P109" s="34">
        <f>IF(OR('Historique ajusté'!P109="",'Historique ajusté'!P108=""),"",IF(ABS(LN('Historique ajusté'!P109/'Historique ajusté'!P108))&gt;Seuil_aberrant,"",'Historique ajusté'!P109/'Historique ajusté'!P108-1))</f>
        <v/>
      </c>
    </row>
    <row r="110">
      <c r="B110" s="32">
        <f>'Historique ajusté'!B110</f>
        <v/>
      </c>
      <c r="C110" s="34">
        <f>IF(OR('Historique ajusté'!C110="",'Historique ajusté'!C109=""),"",IF(ABS(LN('Historique ajusté'!C110/'Historique ajusté'!C109))&gt;Seuil_aberrant,"",'Historique ajusté'!C110/'Historique ajusté'!C109-1))</f>
        <v/>
      </c>
      <c r="D110" s="34">
        <f>IF(OR('Historique ajusté'!D110="",'Historique ajusté'!D109=""),"",IF(ABS(LN('Historique ajusté'!D110/'Historique ajusté'!D109))&gt;Seuil_aberrant,"",'Historique ajusté'!D110/'Historique ajusté'!D109-1))</f>
        <v/>
      </c>
      <c r="E110" s="34">
        <f>IF(OR('Historique ajusté'!E110="",'Historique ajusté'!E109=""),"",IF(ABS(LN('Historique ajusté'!E110/'Historique ajusté'!E109))&gt;Seuil_aberrant,"",'Historique ajusté'!E110/'Historique ajusté'!E109-1))</f>
        <v/>
      </c>
      <c r="F110" s="34">
        <f>IF(OR('Historique ajusté'!F110="",'Historique ajusté'!F109=""),"",IF(ABS(LN('Historique ajusté'!F110/'Historique ajusté'!F109))&gt;Seuil_aberrant,"",'Historique ajusté'!F110/'Historique ajusté'!F109-1))</f>
        <v/>
      </c>
      <c r="G110" s="34">
        <f>IF(OR('Historique ajusté'!G110="",'Historique ajusté'!G109=""),"",IF(ABS(LN('Historique ajusté'!G110/'Historique ajusté'!G109))&gt;Seuil_aberrant,"",'Historique ajusté'!G110/'Historique ajusté'!G109-1))</f>
        <v/>
      </c>
      <c r="H110" s="34">
        <f>IF(OR('Historique ajusté'!H110="",'Historique ajusté'!H109=""),"",IF(ABS(LN('Historique ajusté'!H110/'Historique ajusté'!H109))&gt;Seuil_aberrant,"",'Historique ajusté'!H110/'Historique ajusté'!H109-1))</f>
        <v/>
      </c>
      <c r="I110" s="34">
        <f>IF(OR('Historique ajusté'!I110="",'Historique ajusté'!I109=""),"",IF(ABS(LN('Historique ajusté'!I110/'Historique ajusté'!I109))&gt;Seuil_aberrant,"",'Historique ajusté'!I110/'Historique ajusté'!I109-1))</f>
        <v/>
      </c>
      <c r="J110" s="34">
        <f>IF(OR('Historique ajusté'!J110="",'Historique ajusté'!J109=""),"",IF(ABS(LN('Historique ajusté'!J110/'Historique ajusté'!J109))&gt;Seuil_aberrant,"",'Historique ajusté'!J110/'Historique ajusté'!J109-1))</f>
        <v/>
      </c>
      <c r="K110" s="34">
        <f>IF(OR('Historique ajusté'!K110="",'Historique ajusté'!K109=""),"",IF(ABS(LN('Historique ajusté'!K110/'Historique ajusté'!K109))&gt;Seuil_aberrant,"",'Historique ajusté'!K110/'Historique ajusté'!K109-1))</f>
        <v/>
      </c>
      <c r="L110" s="34">
        <f>IF(OR('Historique ajusté'!L110="",'Historique ajusté'!L109=""),"",IF(ABS(LN('Historique ajusté'!L110/'Historique ajusté'!L109))&gt;Seuil_aberrant,"",'Historique ajusté'!L110/'Historique ajusté'!L109-1))</f>
        <v/>
      </c>
      <c r="M110" s="34">
        <f>IF(OR('Historique ajusté'!M110="",'Historique ajusté'!M109=""),"",IF(ABS(LN('Historique ajusté'!M110/'Historique ajusté'!M109))&gt;Seuil_aberrant,"",'Historique ajusté'!M110/'Historique ajusté'!M109-1))</f>
        <v/>
      </c>
      <c r="N110" s="34">
        <f>IF(OR('Historique ajusté'!N110="",'Historique ajusté'!N109=""),"",IF(ABS(LN('Historique ajusté'!N110/'Historique ajusté'!N109))&gt;Seuil_aberrant,"",'Historique ajusté'!N110/'Historique ajusté'!N109-1))</f>
        <v/>
      </c>
      <c r="O110" s="34">
        <f>IF(OR('Historique ajusté'!O110="",'Historique ajusté'!O109=""),"",IF(ABS(LN('Historique ajusté'!O110/'Historique ajusté'!O109))&gt;Seuil_aberrant,"",'Historique ajusté'!O110/'Historique ajusté'!O109-1))</f>
        <v/>
      </c>
      <c r="P110" s="34">
        <f>IF(OR('Historique ajusté'!P110="",'Historique ajusté'!P109=""),"",IF(ABS(LN('Historique ajusté'!P110/'Historique ajusté'!P109))&gt;Seuil_aberrant,"",'Historique ajusté'!P110/'Historique ajusté'!P109-1))</f>
        <v/>
      </c>
    </row>
    <row r="111">
      <c r="B111" s="32">
        <f>'Historique ajusté'!B111</f>
        <v/>
      </c>
      <c r="C111" s="34">
        <f>IF(OR('Historique ajusté'!C111="",'Historique ajusté'!C110=""),"",IF(ABS(LN('Historique ajusté'!C111/'Historique ajusté'!C110))&gt;Seuil_aberrant,"",'Historique ajusté'!C111/'Historique ajusté'!C110-1))</f>
        <v/>
      </c>
      <c r="D111" s="34">
        <f>IF(OR('Historique ajusté'!D111="",'Historique ajusté'!D110=""),"",IF(ABS(LN('Historique ajusté'!D111/'Historique ajusté'!D110))&gt;Seuil_aberrant,"",'Historique ajusté'!D111/'Historique ajusté'!D110-1))</f>
        <v/>
      </c>
      <c r="E111" s="34">
        <f>IF(OR('Historique ajusté'!E111="",'Historique ajusté'!E110=""),"",IF(ABS(LN('Historique ajusté'!E111/'Historique ajusté'!E110))&gt;Seuil_aberrant,"",'Historique ajusté'!E111/'Historique ajusté'!E110-1))</f>
        <v/>
      </c>
      <c r="F111" s="34">
        <f>IF(OR('Historique ajusté'!F111="",'Historique ajusté'!F110=""),"",IF(ABS(LN('Historique ajusté'!F111/'Historique ajusté'!F110))&gt;Seuil_aberrant,"",'Historique ajusté'!F111/'Historique ajusté'!F110-1))</f>
        <v/>
      </c>
      <c r="G111" s="34">
        <f>IF(OR('Historique ajusté'!G111="",'Historique ajusté'!G110=""),"",IF(ABS(LN('Historique ajusté'!G111/'Historique ajusté'!G110))&gt;Seuil_aberrant,"",'Historique ajusté'!G111/'Historique ajusté'!G110-1))</f>
        <v/>
      </c>
      <c r="H111" s="34">
        <f>IF(OR('Historique ajusté'!H111="",'Historique ajusté'!H110=""),"",IF(ABS(LN('Historique ajusté'!H111/'Historique ajusté'!H110))&gt;Seuil_aberrant,"",'Historique ajusté'!H111/'Historique ajusté'!H110-1))</f>
        <v/>
      </c>
      <c r="I111" s="34">
        <f>IF(OR('Historique ajusté'!I111="",'Historique ajusté'!I110=""),"",IF(ABS(LN('Historique ajusté'!I111/'Historique ajusté'!I110))&gt;Seuil_aberrant,"",'Historique ajusté'!I111/'Historique ajusté'!I110-1))</f>
        <v/>
      </c>
      <c r="J111" s="34">
        <f>IF(OR('Historique ajusté'!J111="",'Historique ajusté'!J110=""),"",IF(ABS(LN('Historique ajusté'!J111/'Historique ajusté'!J110))&gt;Seuil_aberrant,"",'Historique ajusté'!J111/'Historique ajusté'!J110-1))</f>
        <v/>
      </c>
      <c r="K111" s="34">
        <f>IF(OR('Historique ajusté'!K111="",'Historique ajusté'!K110=""),"",IF(ABS(LN('Historique ajusté'!K111/'Historique ajusté'!K110))&gt;Seuil_aberrant,"",'Historique ajusté'!K111/'Historique ajusté'!K110-1))</f>
        <v/>
      </c>
      <c r="L111" s="34">
        <f>IF(OR('Historique ajusté'!L111="",'Historique ajusté'!L110=""),"",IF(ABS(LN('Historique ajusté'!L111/'Historique ajusté'!L110))&gt;Seuil_aberrant,"",'Historique ajusté'!L111/'Historique ajusté'!L110-1))</f>
        <v/>
      </c>
      <c r="M111" s="34">
        <f>IF(OR('Historique ajusté'!M111="",'Historique ajusté'!M110=""),"",IF(ABS(LN('Historique ajusté'!M111/'Historique ajusté'!M110))&gt;Seuil_aberrant,"",'Historique ajusté'!M111/'Historique ajusté'!M110-1))</f>
        <v/>
      </c>
      <c r="N111" s="34">
        <f>IF(OR('Historique ajusté'!N111="",'Historique ajusté'!N110=""),"",IF(ABS(LN('Historique ajusté'!N111/'Historique ajusté'!N110))&gt;Seuil_aberrant,"",'Historique ajusté'!N111/'Historique ajusté'!N110-1))</f>
        <v/>
      </c>
      <c r="O111" s="34">
        <f>IF(OR('Historique ajusté'!O111="",'Historique ajusté'!O110=""),"",IF(ABS(LN('Historique ajusté'!O111/'Historique ajusté'!O110))&gt;Seuil_aberrant,"",'Historique ajusté'!O111/'Historique ajusté'!O110-1))</f>
        <v/>
      </c>
      <c r="P111" s="34">
        <f>IF(OR('Historique ajusté'!P111="",'Historique ajusté'!P110=""),"",IF(ABS(LN('Historique ajusté'!P111/'Historique ajusté'!P110))&gt;Seuil_aberrant,"",'Historique ajusté'!P111/'Historique ajusté'!P110-1))</f>
        <v/>
      </c>
    </row>
    <row r="112">
      <c r="B112" s="32">
        <f>'Historique ajusté'!B112</f>
        <v/>
      </c>
      <c r="C112" s="34">
        <f>IF(OR('Historique ajusté'!C112="",'Historique ajusté'!C111=""),"",IF(ABS(LN('Historique ajusté'!C112/'Historique ajusté'!C111))&gt;Seuil_aberrant,"",'Historique ajusté'!C112/'Historique ajusté'!C111-1))</f>
        <v/>
      </c>
      <c r="D112" s="34">
        <f>IF(OR('Historique ajusté'!D112="",'Historique ajusté'!D111=""),"",IF(ABS(LN('Historique ajusté'!D112/'Historique ajusté'!D111))&gt;Seuil_aberrant,"",'Historique ajusté'!D112/'Historique ajusté'!D111-1))</f>
        <v/>
      </c>
      <c r="E112" s="34">
        <f>IF(OR('Historique ajusté'!E112="",'Historique ajusté'!E111=""),"",IF(ABS(LN('Historique ajusté'!E112/'Historique ajusté'!E111))&gt;Seuil_aberrant,"",'Historique ajusté'!E112/'Historique ajusté'!E111-1))</f>
        <v/>
      </c>
      <c r="F112" s="34">
        <f>IF(OR('Historique ajusté'!F112="",'Historique ajusté'!F111=""),"",IF(ABS(LN('Historique ajusté'!F112/'Historique ajusté'!F111))&gt;Seuil_aberrant,"",'Historique ajusté'!F112/'Historique ajusté'!F111-1))</f>
        <v/>
      </c>
      <c r="G112" s="34">
        <f>IF(OR('Historique ajusté'!G112="",'Historique ajusté'!G111=""),"",IF(ABS(LN('Historique ajusté'!G112/'Historique ajusté'!G111))&gt;Seuil_aberrant,"",'Historique ajusté'!G112/'Historique ajusté'!G111-1))</f>
        <v/>
      </c>
      <c r="H112" s="34">
        <f>IF(OR('Historique ajusté'!H112="",'Historique ajusté'!H111=""),"",IF(ABS(LN('Historique ajusté'!H112/'Historique ajusté'!H111))&gt;Seuil_aberrant,"",'Historique ajusté'!H112/'Historique ajusté'!H111-1))</f>
        <v/>
      </c>
      <c r="I112" s="34">
        <f>IF(OR('Historique ajusté'!I112="",'Historique ajusté'!I111=""),"",IF(ABS(LN('Historique ajusté'!I112/'Historique ajusté'!I111))&gt;Seuil_aberrant,"",'Historique ajusté'!I112/'Historique ajusté'!I111-1))</f>
        <v/>
      </c>
      <c r="J112" s="34">
        <f>IF(OR('Historique ajusté'!J112="",'Historique ajusté'!J111=""),"",IF(ABS(LN('Historique ajusté'!J112/'Historique ajusté'!J111))&gt;Seuil_aberrant,"",'Historique ajusté'!J112/'Historique ajusté'!J111-1))</f>
        <v/>
      </c>
      <c r="K112" s="34">
        <f>IF(OR('Historique ajusté'!K112="",'Historique ajusté'!K111=""),"",IF(ABS(LN('Historique ajusté'!K112/'Historique ajusté'!K111))&gt;Seuil_aberrant,"",'Historique ajusté'!K112/'Historique ajusté'!K111-1))</f>
        <v/>
      </c>
      <c r="L112" s="34">
        <f>IF(OR('Historique ajusté'!L112="",'Historique ajusté'!L111=""),"",IF(ABS(LN('Historique ajusté'!L112/'Historique ajusté'!L111))&gt;Seuil_aberrant,"",'Historique ajusté'!L112/'Historique ajusté'!L111-1))</f>
        <v/>
      </c>
      <c r="M112" s="34">
        <f>IF(OR('Historique ajusté'!M112="",'Historique ajusté'!M111=""),"",IF(ABS(LN('Historique ajusté'!M112/'Historique ajusté'!M111))&gt;Seuil_aberrant,"",'Historique ajusté'!M112/'Historique ajusté'!M111-1))</f>
        <v/>
      </c>
      <c r="N112" s="34">
        <f>IF(OR('Historique ajusté'!N112="",'Historique ajusté'!N111=""),"",IF(ABS(LN('Historique ajusté'!N112/'Historique ajusté'!N111))&gt;Seuil_aberrant,"",'Historique ajusté'!N112/'Historique ajusté'!N111-1))</f>
        <v/>
      </c>
      <c r="O112" s="34">
        <f>IF(OR('Historique ajusté'!O112="",'Historique ajusté'!O111=""),"",IF(ABS(LN('Historique ajusté'!O112/'Historique ajusté'!O111))&gt;Seuil_aberrant,"",'Historique ajusté'!O112/'Historique ajusté'!O111-1))</f>
        <v/>
      </c>
      <c r="P112" s="34">
        <f>IF(OR('Historique ajusté'!P112="",'Historique ajusté'!P111=""),"",IF(ABS(LN('Historique ajusté'!P112/'Historique ajusté'!P111))&gt;Seuil_aberrant,"",'Historique ajusté'!P112/'Historique ajusté'!P111-1))</f>
        <v/>
      </c>
    </row>
    <row r="113">
      <c r="B113" s="32">
        <f>'Historique ajusté'!B113</f>
        <v/>
      </c>
      <c r="C113" s="34">
        <f>IF(OR('Historique ajusté'!C113="",'Historique ajusté'!C112=""),"",IF(ABS(LN('Historique ajusté'!C113/'Historique ajusté'!C112))&gt;Seuil_aberrant,"",'Historique ajusté'!C113/'Historique ajusté'!C112-1))</f>
        <v/>
      </c>
      <c r="D113" s="34">
        <f>IF(OR('Historique ajusté'!D113="",'Historique ajusté'!D112=""),"",IF(ABS(LN('Historique ajusté'!D113/'Historique ajusté'!D112))&gt;Seuil_aberrant,"",'Historique ajusté'!D113/'Historique ajusté'!D112-1))</f>
        <v/>
      </c>
      <c r="E113" s="34">
        <f>IF(OR('Historique ajusté'!E113="",'Historique ajusté'!E112=""),"",IF(ABS(LN('Historique ajusté'!E113/'Historique ajusté'!E112))&gt;Seuil_aberrant,"",'Historique ajusté'!E113/'Historique ajusté'!E112-1))</f>
        <v/>
      </c>
      <c r="F113" s="34">
        <f>IF(OR('Historique ajusté'!F113="",'Historique ajusté'!F112=""),"",IF(ABS(LN('Historique ajusté'!F113/'Historique ajusté'!F112))&gt;Seuil_aberrant,"",'Historique ajusté'!F113/'Historique ajusté'!F112-1))</f>
        <v/>
      </c>
      <c r="G113" s="34">
        <f>IF(OR('Historique ajusté'!G113="",'Historique ajusté'!G112=""),"",IF(ABS(LN('Historique ajusté'!G113/'Historique ajusté'!G112))&gt;Seuil_aberrant,"",'Historique ajusté'!G113/'Historique ajusté'!G112-1))</f>
        <v/>
      </c>
      <c r="H113" s="34">
        <f>IF(OR('Historique ajusté'!H113="",'Historique ajusté'!H112=""),"",IF(ABS(LN('Historique ajusté'!H113/'Historique ajusté'!H112))&gt;Seuil_aberrant,"",'Historique ajusté'!H113/'Historique ajusté'!H112-1))</f>
        <v/>
      </c>
      <c r="I113" s="34">
        <f>IF(OR('Historique ajusté'!I113="",'Historique ajusté'!I112=""),"",IF(ABS(LN('Historique ajusté'!I113/'Historique ajusté'!I112))&gt;Seuil_aberrant,"",'Historique ajusté'!I113/'Historique ajusté'!I112-1))</f>
        <v/>
      </c>
      <c r="J113" s="34">
        <f>IF(OR('Historique ajusté'!J113="",'Historique ajusté'!J112=""),"",IF(ABS(LN('Historique ajusté'!J113/'Historique ajusté'!J112))&gt;Seuil_aberrant,"",'Historique ajusté'!J113/'Historique ajusté'!J112-1))</f>
        <v/>
      </c>
      <c r="K113" s="34">
        <f>IF(OR('Historique ajusté'!K113="",'Historique ajusté'!K112=""),"",IF(ABS(LN('Historique ajusté'!K113/'Historique ajusté'!K112))&gt;Seuil_aberrant,"",'Historique ajusté'!K113/'Historique ajusté'!K112-1))</f>
        <v/>
      </c>
      <c r="L113" s="34">
        <f>IF(OR('Historique ajusté'!L113="",'Historique ajusté'!L112=""),"",IF(ABS(LN('Historique ajusté'!L113/'Historique ajusté'!L112))&gt;Seuil_aberrant,"",'Historique ajusté'!L113/'Historique ajusté'!L112-1))</f>
        <v/>
      </c>
      <c r="M113" s="34">
        <f>IF(OR('Historique ajusté'!M113="",'Historique ajusté'!M112=""),"",IF(ABS(LN('Historique ajusté'!M113/'Historique ajusté'!M112))&gt;Seuil_aberrant,"",'Historique ajusté'!M113/'Historique ajusté'!M112-1))</f>
        <v/>
      </c>
      <c r="N113" s="34">
        <f>IF(OR('Historique ajusté'!N113="",'Historique ajusté'!N112=""),"",IF(ABS(LN('Historique ajusté'!N113/'Historique ajusté'!N112))&gt;Seuil_aberrant,"",'Historique ajusté'!N113/'Historique ajusté'!N112-1))</f>
        <v/>
      </c>
      <c r="O113" s="34">
        <f>IF(OR('Historique ajusté'!O113="",'Historique ajusté'!O112=""),"",IF(ABS(LN('Historique ajusté'!O113/'Historique ajusté'!O112))&gt;Seuil_aberrant,"",'Historique ajusté'!O113/'Historique ajusté'!O112-1))</f>
        <v/>
      </c>
      <c r="P113" s="34">
        <f>IF(OR('Historique ajusté'!P113="",'Historique ajusté'!P112=""),"",IF(ABS(LN('Historique ajusté'!P113/'Historique ajusté'!P112))&gt;Seuil_aberrant,"",'Historique ajusté'!P113/'Historique ajusté'!P112-1))</f>
        <v/>
      </c>
    </row>
    <row r="114">
      <c r="B114" s="32">
        <f>'Historique ajusté'!B114</f>
        <v/>
      </c>
      <c r="C114" s="34">
        <f>IF(OR('Historique ajusté'!C114="",'Historique ajusté'!C113=""),"",IF(ABS(LN('Historique ajusté'!C114/'Historique ajusté'!C113))&gt;Seuil_aberrant,"",'Historique ajusté'!C114/'Historique ajusté'!C113-1))</f>
        <v/>
      </c>
      <c r="D114" s="34">
        <f>IF(OR('Historique ajusté'!D114="",'Historique ajusté'!D113=""),"",IF(ABS(LN('Historique ajusté'!D114/'Historique ajusté'!D113))&gt;Seuil_aberrant,"",'Historique ajusté'!D114/'Historique ajusté'!D113-1))</f>
        <v/>
      </c>
      <c r="E114" s="34">
        <f>IF(OR('Historique ajusté'!E114="",'Historique ajusté'!E113=""),"",IF(ABS(LN('Historique ajusté'!E114/'Historique ajusté'!E113))&gt;Seuil_aberrant,"",'Historique ajusté'!E114/'Historique ajusté'!E113-1))</f>
        <v/>
      </c>
      <c r="F114" s="34">
        <f>IF(OR('Historique ajusté'!F114="",'Historique ajusté'!F113=""),"",IF(ABS(LN('Historique ajusté'!F114/'Historique ajusté'!F113))&gt;Seuil_aberrant,"",'Historique ajusté'!F114/'Historique ajusté'!F113-1))</f>
        <v/>
      </c>
      <c r="G114" s="34">
        <f>IF(OR('Historique ajusté'!G114="",'Historique ajusté'!G113=""),"",IF(ABS(LN('Historique ajusté'!G114/'Historique ajusté'!G113))&gt;Seuil_aberrant,"",'Historique ajusté'!G114/'Historique ajusté'!G113-1))</f>
        <v/>
      </c>
      <c r="H114" s="34">
        <f>IF(OR('Historique ajusté'!H114="",'Historique ajusté'!H113=""),"",IF(ABS(LN('Historique ajusté'!H114/'Historique ajusté'!H113))&gt;Seuil_aberrant,"",'Historique ajusté'!H114/'Historique ajusté'!H113-1))</f>
        <v/>
      </c>
      <c r="I114" s="34">
        <f>IF(OR('Historique ajusté'!I114="",'Historique ajusté'!I113=""),"",IF(ABS(LN('Historique ajusté'!I114/'Historique ajusté'!I113))&gt;Seuil_aberrant,"",'Historique ajusté'!I114/'Historique ajusté'!I113-1))</f>
        <v/>
      </c>
      <c r="J114" s="34">
        <f>IF(OR('Historique ajusté'!J114="",'Historique ajusté'!J113=""),"",IF(ABS(LN('Historique ajusté'!J114/'Historique ajusté'!J113))&gt;Seuil_aberrant,"",'Historique ajusté'!J114/'Historique ajusté'!J113-1))</f>
        <v/>
      </c>
      <c r="K114" s="34">
        <f>IF(OR('Historique ajusté'!K114="",'Historique ajusté'!K113=""),"",IF(ABS(LN('Historique ajusté'!K114/'Historique ajusté'!K113))&gt;Seuil_aberrant,"",'Historique ajusté'!K114/'Historique ajusté'!K113-1))</f>
        <v/>
      </c>
      <c r="L114" s="34">
        <f>IF(OR('Historique ajusté'!L114="",'Historique ajusté'!L113=""),"",IF(ABS(LN('Historique ajusté'!L114/'Historique ajusté'!L113))&gt;Seuil_aberrant,"",'Historique ajusté'!L114/'Historique ajusté'!L113-1))</f>
        <v/>
      </c>
      <c r="M114" s="34">
        <f>IF(OR('Historique ajusté'!M114="",'Historique ajusté'!M113=""),"",IF(ABS(LN('Historique ajusté'!M114/'Historique ajusté'!M113))&gt;Seuil_aberrant,"",'Historique ajusté'!M114/'Historique ajusté'!M113-1))</f>
        <v/>
      </c>
      <c r="N114" s="34">
        <f>IF(OR('Historique ajusté'!N114="",'Historique ajusté'!N113=""),"",IF(ABS(LN('Historique ajusté'!N114/'Historique ajusté'!N113))&gt;Seuil_aberrant,"",'Historique ajusté'!N114/'Historique ajusté'!N113-1))</f>
        <v/>
      </c>
      <c r="O114" s="34">
        <f>IF(OR('Historique ajusté'!O114="",'Historique ajusté'!O113=""),"",IF(ABS(LN('Historique ajusté'!O114/'Historique ajusté'!O113))&gt;Seuil_aberrant,"",'Historique ajusté'!O114/'Historique ajusté'!O113-1))</f>
        <v/>
      </c>
      <c r="P114" s="34">
        <f>IF(OR('Historique ajusté'!P114="",'Historique ajusté'!P113=""),"",IF(ABS(LN('Historique ajusté'!P114/'Historique ajusté'!P113))&gt;Seuil_aberrant,"",'Historique ajusté'!P114/'Historique ajusté'!P113-1))</f>
        <v/>
      </c>
    </row>
    <row r="115">
      <c r="B115" s="32">
        <f>'Historique ajusté'!B115</f>
        <v/>
      </c>
      <c r="C115" s="34">
        <f>IF(OR('Historique ajusté'!C115="",'Historique ajusté'!C114=""),"",IF(ABS(LN('Historique ajusté'!C115/'Historique ajusté'!C114))&gt;Seuil_aberrant,"",'Historique ajusté'!C115/'Historique ajusté'!C114-1))</f>
        <v/>
      </c>
      <c r="D115" s="34">
        <f>IF(OR('Historique ajusté'!D115="",'Historique ajusté'!D114=""),"",IF(ABS(LN('Historique ajusté'!D115/'Historique ajusté'!D114))&gt;Seuil_aberrant,"",'Historique ajusté'!D115/'Historique ajusté'!D114-1))</f>
        <v/>
      </c>
      <c r="E115" s="34">
        <f>IF(OR('Historique ajusté'!E115="",'Historique ajusté'!E114=""),"",IF(ABS(LN('Historique ajusté'!E115/'Historique ajusté'!E114))&gt;Seuil_aberrant,"",'Historique ajusté'!E115/'Historique ajusté'!E114-1))</f>
        <v/>
      </c>
      <c r="F115" s="34">
        <f>IF(OR('Historique ajusté'!F115="",'Historique ajusté'!F114=""),"",IF(ABS(LN('Historique ajusté'!F115/'Historique ajusté'!F114))&gt;Seuil_aberrant,"",'Historique ajusté'!F115/'Historique ajusté'!F114-1))</f>
        <v/>
      </c>
      <c r="G115" s="34">
        <f>IF(OR('Historique ajusté'!G115="",'Historique ajusté'!G114=""),"",IF(ABS(LN('Historique ajusté'!G115/'Historique ajusté'!G114))&gt;Seuil_aberrant,"",'Historique ajusté'!G115/'Historique ajusté'!G114-1))</f>
        <v/>
      </c>
      <c r="H115" s="34">
        <f>IF(OR('Historique ajusté'!H115="",'Historique ajusté'!H114=""),"",IF(ABS(LN('Historique ajusté'!H115/'Historique ajusté'!H114))&gt;Seuil_aberrant,"",'Historique ajusté'!H115/'Historique ajusté'!H114-1))</f>
        <v/>
      </c>
      <c r="I115" s="34">
        <f>IF(OR('Historique ajusté'!I115="",'Historique ajusté'!I114=""),"",IF(ABS(LN('Historique ajusté'!I115/'Historique ajusté'!I114))&gt;Seuil_aberrant,"",'Historique ajusté'!I115/'Historique ajusté'!I114-1))</f>
        <v/>
      </c>
      <c r="J115" s="34">
        <f>IF(OR('Historique ajusté'!J115="",'Historique ajusté'!J114=""),"",IF(ABS(LN('Historique ajusté'!J115/'Historique ajusté'!J114))&gt;Seuil_aberrant,"",'Historique ajusté'!J115/'Historique ajusté'!J114-1))</f>
        <v/>
      </c>
      <c r="K115" s="34">
        <f>IF(OR('Historique ajusté'!K115="",'Historique ajusté'!K114=""),"",IF(ABS(LN('Historique ajusté'!K115/'Historique ajusté'!K114))&gt;Seuil_aberrant,"",'Historique ajusté'!K115/'Historique ajusté'!K114-1))</f>
        <v/>
      </c>
      <c r="L115" s="34">
        <f>IF(OR('Historique ajusté'!L115="",'Historique ajusté'!L114=""),"",IF(ABS(LN('Historique ajusté'!L115/'Historique ajusté'!L114))&gt;Seuil_aberrant,"",'Historique ajusté'!L115/'Historique ajusté'!L114-1))</f>
        <v/>
      </c>
      <c r="M115" s="34">
        <f>IF(OR('Historique ajusté'!M115="",'Historique ajusté'!M114=""),"",IF(ABS(LN('Historique ajusté'!M115/'Historique ajusté'!M114))&gt;Seuil_aberrant,"",'Historique ajusté'!M115/'Historique ajusté'!M114-1))</f>
        <v/>
      </c>
      <c r="N115" s="34">
        <f>IF(OR('Historique ajusté'!N115="",'Historique ajusté'!N114=""),"",IF(ABS(LN('Historique ajusté'!N115/'Historique ajusté'!N114))&gt;Seuil_aberrant,"",'Historique ajusté'!N115/'Historique ajusté'!N114-1))</f>
        <v/>
      </c>
      <c r="O115" s="34">
        <f>IF(OR('Historique ajusté'!O115="",'Historique ajusté'!O114=""),"",IF(ABS(LN('Historique ajusté'!O115/'Historique ajusté'!O114))&gt;Seuil_aberrant,"",'Historique ajusté'!O115/'Historique ajusté'!O114-1))</f>
        <v/>
      </c>
      <c r="P115" s="34">
        <f>IF(OR('Historique ajusté'!P115="",'Historique ajusté'!P114=""),"",IF(ABS(LN('Historique ajusté'!P115/'Historique ajusté'!P114))&gt;Seuil_aberrant,"",'Historique ajusté'!P115/'Historique ajusté'!P114-1))</f>
        <v/>
      </c>
    </row>
    <row r="116">
      <c r="B116" s="32">
        <f>'Historique ajusté'!B116</f>
        <v/>
      </c>
      <c r="C116" s="34">
        <f>IF(OR('Historique ajusté'!C116="",'Historique ajusté'!C115=""),"",IF(ABS(LN('Historique ajusté'!C116/'Historique ajusté'!C115))&gt;Seuil_aberrant,"",'Historique ajusté'!C116/'Historique ajusté'!C115-1))</f>
        <v/>
      </c>
      <c r="D116" s="34">
        <f>IF(OR('Historique ajusté'!D116="",'Historique ajusté'!D115=""),"",IF(ABS(LN('Historique ajusté'!D116/'Historique ajusté'!D115))&gt;Seuil_aberrant,"",'Historique ajusté'!D116/'Historique ajusté'!D115-1))</f>
        <v/>
      </c>
      <c r="E116" s="34">
        <f>IF(OR('Historique ajusté'!E116="",'Historique ajusté'!E115=""),"",IF(ABS(LN('Historique ajusté'!E116/'Historique ajusté'!E115))&gt;Seuil_aberrant,"",'Historique ajusté'!E116/'Historique ajusté'!E115-1))</f>
        <v/>
      </c>
      <c r="F116" s="34">
        <f>IF(OR('Historique ajusté'!F116="",'Historique ajusté'!F115=""),"",IF(ABS(LN('Historique ajusté'!F116/'Historique ajusté'!F115))&gt;Seuil_aberrant,"",'Historique ajusté'!F116/'Historique ajusté'!F115-1))</f>
        <v/>
      </c>
      <c r="G116" s="34">
        <f>IF(OR('Historique ajusté'!G116="",'Historique ajusté'!G115=""),"",IF(ABS(LN('Historique ajusté'!G116/'Historique ajusté'!G115))&gt;Seuil_aberrant,"",'Historique ajusté'!G116/'Historique ajusté'!G115-1))</f>
        <v/>
      </c>
      <c r="H116" s="34">
        <f>IF(OR('Historique ajusté'!H116="",'Historique ajusté'!H115=""),"",IF(ABS(LN('Historique ajusté'!H116/'Historique ajusté'!H115))&gt;Seuil_aberrant,"",'Historique ajusté'!H116/'Historique ajusté'!H115-1))</f>
        <v/>
      </c>
      <c r="I116" s="34">
        <f>IF(OR('Historique ajusté'!I116="",'Historique ajusté'!I115=""),"",IF(ABS(LN('Historique ajusté'!I116/'Historique ajusté'!I115))&gt;Seuil_aberrant,"",'Historique ajusté'!I116/'Historique ajusté'!I115-1))</f>
        <v/>
      </c>
      <c r="J116" s="34">
        <f>IF(OR('Historique ajusté'!J116="",'Historique ajusté'!J115=""),"",IF(ABS(LN('Historique ajusté'!J116/'Historique ajusté'!J115))&gt;Seuil_aberrant,"",'Historique ajusté'!J116/'Historique ajusté'!J115-1))</f>
        <v/>
      </c>
      <c r="K116" s="34">
        <f>IF(OR('Historique ajusté'!K116="",'Historique ajusté'!K115=""),"",IF(ABS(LN('Historique ajusté'!K116/'Historique ajusté'!K115))&gt;Seuil_aberrant,"",'Historique ajusté'!K116/'Historique ajusté'!K115-1))</f>
        <v/>
      </c>
      <c r="L116" s="34">
        <f>IF(OR('Historique ajusté'!L116="",'Historique ajusté'!L115=""),"",IF(ABS(LN('Historique ajusté'!L116/'Historique ajusté'!L115))&gt;Seuil_aberrant,"",'Historique ajusté'!L116/'Historique ajusté'!L115-1))</f>
        <v/>
      </c>
      <c r="M116" s="34">
        <f>IF(OR('Historique ajusté'!M116="",'Historique ajusté'!M115=""),"",IF(ABS(LN('Historique ajusté'!M116/'Historique ajusté'!M115))&gt;Seuil_aberrant,"",'Historique ajusté'!M116/'Historique ajusté'!M115-1))</f>
        <v/>
      </c>
      <c r="N116" s="34">
        <f>IF(OR('Historique ajusté'!N116="",'Historique ajusté'!N115=""),"",IF(ABS(LN('Historique ajusté'!N116/'Historique ajusté'!N115))&gt;Seuil_aberrant,"",'Historique ajusté'!N116/'Historique ajusté'!N115-1))</f>
        <v/>
      </c>
      <c r="O116" s="34">
        <f>IF(OR('Historique ajusté'!O116="",'Historique ajusté'!O115=""),"",IF(ABS(LN('Historique ajusté'!O116/'Historique ajusté'!O115))&gt;Seuil_aberrant,"",'Historique ajusté'!O116/'Historique ajusté'!O115-1))</f>
        <v/>
      </c>
      <c r="P116" s="34">
        <f>IF(OR('Historique ajusté'!P116="",'Historique ajusté'!P115=""),"",IF(ABS(LN('Historique ajusté'!P116/'Historique ajusté'!P115))&gt;Seuil_aberrant,"",'Historique ajusté'!P116/'Historique ajusté'!P115-1))</f>
        <v/>
      </c>
    </row>
    <row r="117">
      <c r="B117" s="32">
        <f>'Historique ajusté'!B117</f>
        <v/>
      </c>
      <c r="C117" s="34">
        <f>IF(OR('Historique ajusté'!C117="",'Historique ajusté'!C116=""),"",IF(ABS(LN('Historique ajusté'!C117/'Historique ajusté'!C116))&gt;Seuil_aberrant,"",'Historique ajusté'!C117/'Historique ajusté'!C116-1))</f>
        <v/>
      </c>
      <c r="D117" s="34">
        <f>IF(OR('Historique ajusté'!D117="",'Historique ajusté'!D116=""),"",IF(ABS(LN('Historique ajusté'!D117/'Historique ajusté'!D116))&gt;Seuil_aberrant,"",'Historique ajusté'!D117/'Historique ajusté'!D116-1))</f>
        <v/>
      </c>
      <c r="E117" s="34">
        <f>IF(OR('Historique ajusté'!E117="",'Historique ajusté'!E116=""),"",IF(ABS(LN('Historique ajusté'!E117/'Historique ajusté'!E116))&gt;Seuil_aberrant,"",'Historique ajusté'!E117/'Historique ajusté'!E116-1))</f>
        <v/>
      </c>
      <c r="F117" s="34">
        <f>IF(OR('Historique ajusté'!F117="",'Historique ajusté'!F116=""),"",IF(ABS(LN('Historique ajusté'!F117/'Historique ajusté'!F116))&gt;Seuil_aberrant,"",'Historique ajusté'!F117/'Historique ajusté'!F116-1))</f>
        <v/>
      </c>
      <c r="G117" s="34">
        <f>IF(OR('Historique ajusté'!G117="",'Historique ajusté'!G116=""),"",IF(ABS(LN('Historique ajusté'!G117/'Historique ajusté'!G116))&gt;Seuil_aberrant,"",'Historique ajusté'!G117/'Historique ajusté'!G116-1))</f>
        <v/>
      </c>
      <c r="H117" s="34">
        <f>IF(OR('Historique ajusté'!H117="",'Historique ajusté'!H116=""),"",IF(ABS(LN('Historique ajusté'!H117/'Historique ajusté'!H116))&gt;Seuil_aberrant,"",'Historique ajusté'!H117/'Historique ajusté'!H116-1))</f>
        <v/>
      </c>
      <c r="I117" s="34">
        <f>IF(OR('Historique ajusté'!I117="",'Historique ajusté'!I116=""),"",IF(ABS(LN('Historique ajusté'!I117/'Historique ajusté'!I116))&gt;Seuil_aberrant,"",'Historique ajusté'!I117/'Historique ajusté'!I116-1))</f>
        <v/>
      </c>
      <c r="J117" s="34">
        <f>IF(OR('Historique ajusté'!J117="",'Historique ajusté'!J116=""),"",IF(ABS(LN('Historique ajusté'!J117/'Historique ajusté'!J116))&gt;Seuil_aberrant,"",'Historique ajusté'!J117/'Historique ajusté'!J116-1))</f>
        <v/>
      </c>
      <c r="K117" s="34">
        <f>IF(OR('Historique ajusté'!K117="",'Historique ajusté'!K116=""),"",IF(ABS(LN('Historique ajusté'!K117/'Historique ajusté'!K116))&gt;Seuil_aberrant,"",'Historique ajusté'!K117/'Historique ajusté'!K116-1))</f>
        <v/>
      </c>
      <c r="L117" s="34">
        <f>IF(OR('Historique ajusté'!L117="",'Historique ajusté'!L116=""),"",IF(ABS(LN('Historique ajusté'!L117/'Historique ajusté'!L116))&gt;Seuil_aberrant,"",'Historique ajusté'!L117/'Historique ajusté'!L116-1))</f>
        <v/>
      </c>
      <c r="M117" s="34">
        <f>IF(OR('Historique ajusté'!M117="",'Historique ajusté'!M116=""),"",IF(ABS(LN('Historique ajusté'!M117/'Historique ajusté'!M116))&gt;Seuil_aberrant,"",'Historique ajusté'!M117/'Historique ajusté'!M116-1))</f>
        <v/>
      </c>
      <c r="N117" s="34">
        <f>IF(OR('Historique ajusté'!N117="",'Historique ajusté'!N116=""),"",IF(ABS(LN('Historique ajusté'!N117/'Historique ajusté'!N116))&gt;Seuil_aberrant,"",'Historique ajusté'!N117/'Historique ajusté'!N116-1))</f>
        <v/>
      </c>
      <c r="O117" s="34">
        <f>IF(OR('Historique ajusté'!O117="",'Historique ajusté'!O116=""),"",IF(ABS(LN('Historique ajusté'!O117/'Historique ajusté'!O116))&gt;Seuil_aberrant,"",'Historique ajusté'!O117/'Historique ajusté'!O116-1))</f>
        <v/>
      </c>
      <c r="P117" s="34">
        <f>IF(OR('Historique ajusté'!P117="",'Historique ajusté'!P116=""),"",IF(ABS(LN('Historique ajusté'!P117/'Historique ajusté'!P116))&gt;Seuil_aberrant,"",'Historique ajusté'!P117/'Historique ajusté'!P116-1))</f>
        <v/>
      </c>
    </row>
    <row r="118">
      <c r="B118" s="32">
        <f>'Historique ajusté'!B118</f>
        <v/>
      </c>
      <c r="C118" s="34">
        <f>IF(OR('Historique ajusté'!C118="",'Historique ajusté'!C117=""),"",IF(ABS(LN('Historique ajusté'!C118/'Historique ajusté'!C117))&gt;Seuil_aberrant,"",'Historique ajusté'!C118/'Historique ajusté'!C117-1))</f>
        <v/>
      </c>
      <c r="D118" s="34">
        <f>IF(OR('Historique ajusté'!D118="",'Historique ajusté'!D117=""),"",IF(ABS(LN('Historique ajusté'!D118/'Historique ajusté'!D117))&gt;Seuil_aberrant,"",'Historique ajusté'!D118/'Historique ajusté'!D117-1))</f>
        <v/>
      </c>
      <c r="E118" s="34">
        <f>IF(OR('Historique ajusté'!E118="",'Historique ajusté'!E117=""),"",IF(ABS(LN('Historique ajusté'!E118/'Historique ajusté'!E117))&gt;Seuil_aberrant,"",'Historique ajusté'!E118/'Historique ajusté'!E117-1))</f>
        <v/>
      </c>
      <c r="F118" s="34">
        <f>IF(OR('Historique ajusté'!F118="",'Historique ajusté'!F117=""),"",IF(ABS(LN('Historique ajusté'!F118/'Historique ajusté'!F117))&gt;Seuil_aberrant,"",'Historique ajusté'!F118/'Historique ajusté'!F117-1))</f>
        <v/>
      </c>
      <c r="G118" s="34">
        <f>IF(OR('Historique ajusté'!G118="",'Historique ajusté'!G117=""),"",IF(ABS(LN('Historique ajusté'!G118/'Historique ajusté'!G117))&gt;Seuil_aberrant,"",'Historique ajusté'!G118/'Historique ajusté'!G117-1))</f>
        <v/>
      </c>
      <c r="H118" s="34">
        <f>IF(OR('Historique ajusté'!H118="",'Historique ajusté'!H117=""),"",IF(ABS(LN('Historique ajusté'!H118/'Historique ajusté'!H117))&gt;Seuil_aberrant,"",'Historique ajusté'!H118/'Historique ajusté'!H117-1))</f>
        <v/>
      </c>
      <c r="I118" s="34">
        <f>IF(OR('Historique ajusté'!I118="",'Historique ajusté'!I117=""),"",IF(ABS(LN('Historique ajusté'!I118/'Historique ajusté'!I117))&gt;Seuil_aberrant,"",'Historique ajusté'!I118/'Historique ajusté'!I117-1))</f>
        <v/>
      </c>
      <c r="J118" s="34">
        <f>IF(OR('Historique ajusté'!J118="",'Historique ajusté'!J117=""),"",IF(ABS(LN('Historique ajusté'!J118/'Historique ajusté'!J117))&gt;Seuil_aberrant,"",'Historique ajusté'!J118/'Historique ajusté'!J117-1))</f>
        <v/>
      </c>
      <c r="K118" s="34">
        <f>IF(OR('Historique ajusté'!K118="",'Historique ajusté'!K117=""),"",IF(ABS(LN('Historique ajusté'!K118/'Historique ajusté'!K117))&gt;Seuil_aberrant,"",'Historique ajusté'!K118/'Historique ajusté'!K117-1))</f>
        <v/>
      </c>
      <c r="L118" s="34">
        <f>IF(OR('Historique ajusté'!L118="",'Historique ajusté'!L117=""),"",IF(ABS(LN('Historique ajusté'!L118/'Historique ajusté'!L117))&gt;Seuil_aberrant,"",'Historique ajusté'!L118/'Historique ajusté'!L117-1))</f>
        <v/>
      </c>
      <c r="M118" s="34">
        <f>IF(OR('Historique ajusté'!M118="",'Historique ajusté'!M117=""),"",IF(ABS(LN('Historique ajusté'!M118/'Historique ajusté'!M117))&gt;Seuil_aberrant,"",'Historique ajusté'!M118/'Historique ajusté'!M117-1))</f>
        <v/>
      </c>
      <c r="N118" s="34">
        <f>IF(OR('Historique ajusté'!N118="",'Historique ajusté'!N117=""),"",IF(ABS(LN('Historique ajusté'!N118/'Historique ajusté'!N117))&gt;Seuil_aberrant,"",'Historique ajusté'!N118/'Historique ajusté'!N117-1))</f>
        <v/>
      </c>
      <c r="O118" s="34">
        <f>IF(OR('Historique ajusté'!O118="",'Historique ajusté'!O117=""),"",IF(ABS(LN('Historique ajusté'!O118/'Historique ajusté'!O117))&gt;Seuil_aberrant,"",'Historique ajusté'!O118/'Historique ajusté'!O117-1))</f>
        <v/>
      </c>
      <c r="P118" s="34">
        <f>IF(OR('Historique ajusté'!P118="",'Historique ajusté'!P117=""),"",IF(ABS(LN('Historique ajusté'!P118/'Historique ajusté'!P117))&gt;Seuil_aberrant,"",'Historique ajusté'!P118/'Historique ajusté'!P117-1))</f>
        <v/>
      </c>
    </row>
    <row r="119">
      <c r="B119" s="32">
        <f>'Historique ajusté'!B119</f>
        <v/>
      </c>
      <c r="C119" s="34">
        <f>IF(OR('Historique ajusté'!C119="",'Historique ajusté'!C118=""),"",IF(ABS(LN('Historique ajusté'!C119/'Historique ajusté'!C118))&gt;Seuil_aberrant,"",'Historique ajusté'!C119/'Historique ajusté'!C118-1))</f>
        <v/>
      </c>
      <c r="D119" s="34">
        <f>IF(OR('Historique ajusté'!D119="",'Historique ajusté'!D118=""),"",IF(ABS(LN('Historique ajusté'!D119/'Historique ajusté'!D118))&gt;Seuil_aberrant,"",'Historique ajusté'!D119/'Historique ajusté'!D118-1))</f>
        <v/>
      </c>
      <c r="E119" s="34">
        <f>IF(OR('Historique ajusté'!E119="",'Historique ajusté'!E118=""),"",IF(ABS(LN('Historique ajusté'!E119/'Historique ajusté'!E118))&gt;Seuil_aberrant,"",'Historique ajusté'!E119/'Historique ajusté'!E118-1))</f>
        <v/>
      </c>
      <c r="F119" s="34">
        <f>IF(OR('Historique ajusté'!F119="",'Historique ajusté'!F118=""),"",IF(ABS(LN('Historique ajusté'!F119/'Historique ajusté'!F118))&gt;Seuil_aberrant,"",'Historique ajusté'!F119/'Historique ajusté'!F118-1))</f>
        <v/>
      </c>
      <c r="G119" s="34">
        <f>IF(OR('Historique ajusté'!G119="",'Historique ajusté'!G118=""),"",IF(ABS(LN('Historique ajusté'!G119/'Historique ajusté'!G118))&gt;Seuil_aberrant,"",'Historique ajusté'!G119/'Historique ajusté'!G118-1))</f>
        <v/>
      </c>
      <c r="H119" s="34">
        <f>IF(OR('Historique ajusté'!H119="",'Historique ajusté'!H118=""),"",IF(ABS(LN('Historique ajusté'!H119/'Historique ajusté'!H118))&gt;Seuil_aberrant,"",'Historique ajusté'!H119/'Historique ajusté'!H118-1))</f>
        <v/>
      </c>
      <c r="I119" s="34">
        <f>IF(OR('Historique ajusté'!I119="",'Historique ajusté'!I118=""),"",IF(ABS(LN('Historique ajusté'!I119/'Historique ajusté'!I118))&gt;Seuil_aberrant,"",'Historique ajusté'!I119/'Historique ajusté'!I118-1))</f>
        <v/>
      </c>
      <c r="J119" s="34">
        <f>IF(OR('Historique ajusté'!J119="",'Historique ajusté'!J118=""),"",IF(ABS(LN('Historique ajusté'!J119/'Historique ajusté'!J118))&gt;Seuil_aberrant,"",'Historique ajusté'!J119/'Historique ajusté'!J118-1))</f>
        <v/>
      </c>
      <c r="K119" s="34">
        <f>IF(OR('Historique ajusté'!K119="",'Historique ajusté'!K118=""),"",IF(ABS(LN('Historique ajusté'!K119/'Historique ajusté'!K118))&gt;Seuil_aberrant,"",'Historique ajusté'!K119/'Historique ajusté'!K118-1))</f>
        <v/>
      </c>
      <c r="L119" s="34">
        <f>IF(OR('Historique ajusté'!L119="",'Historique ajusté'!L118=""),"",IF(ABS(LN('Historique ajusté'!L119/'Historique ajusté'!L118))&gt;Seuil_aberrant,"",'Historique ajusté'!L119/'Historique ajusté'!L118-1))</f>
        <v/>
      </c>
      <c r="M119" s="34">
        <f>IF(OR('Historique ajusté'!M119="",'Historique ajusté'!M118=""),"",IF(ABS(LN('Historique ajusté'!M119/'Historique ajusté'!M118))&gt;Seuil_aberrant,"",'Historique ajusté'!M119/'Historique ajusté'!M118-1))</f>
        <v/>
      </c>
      <c r="N119" s="34">
        <f>IF(OR('Historique ajusté'!N119="",'Historique ajusté'!N118=""),"",IF(ABS(LN('Historique ajusté'!N119/'Historique ajusté'!N118))&gt;Seuil_aberrant,"",'Historique ajusté'!N119/'Historique ajusté'!N118-1))</f>
        <v/>
      </c>
      <c r="O119" s="34">
        <f>IF(OR('Historique ajusté'!O119="",'Historique ajusté'!O118=""),"",IF(ABS(LN('Historique ajusté'!O119/'Historique ajusté'!O118))&gt;Seuil_aberrant,"",'Historique ajusté'!O119/'Historique ajusté'!O118-1))</f>
        <v/>
      </c>
      <c r="P119" s="34">
        <f>IF(OR('Historique ajusté'!P119="",'Historique ajusté'!P118=""),"",IF(ABS(LN('Historique ajusté'!P119/'Historique ajusté'!P118))&gt;Seuil_aberrant,"",'Historique ajusté'!P119/'Historique ajusté'!P118-1))</f>
        <v/>
      </c>
    </row>
    <row r="120">
      <c r="B120" s="32">
        <f>'Historique ajusté'!B120</f>
        <v/>
      </c>
      <c r="C120" s="34">
        <f>IF(OR('Historique ajusté'!C120="",'Historique ajusté'!C119=""),"",IF(ABS(LN('Historique ajusté'!C120/'Historique ajusté'!C119))&gt;Seuil_aberrant,"",'Historique ajusté'!C120/'Historique ajusté'!C119-1))</f>
        <v/>
      </c>
      <c r="D120" s="34">
        <f>IF(OR('Historique ajusté'!D120="",'Historique ajusté'!D119=""),"",IF(ABS(LN('Historique ajusté'!D120/'Historique ajusté'!D119))&gt;Seuil_aberrant,"",'Historique ajusté'!D120/'Historique ajusté'!D119-1))</f>
        <v/>
      </c>
      <c r="E120" s="34">
        <f>IF(OR('Historique ajusté'!E120="",'Historique ajusté'!E119=""),"",IF(ABS(LN('Historique ajusté'!E120/'Historique ajusté'!E119))&gt;Seuil_aberrant,"",'Historique ajusté'!E120/'Historique ajusté'!E119-1))</f>
        <v/>
      </c>
      <c r="F120" s="34">
        <f>IF(OR('Historique ajusté'!F120="",'Historique ajusté'!F119=""),"",IF(ABS(LN('Historique ajusté'!F120/'Historique ajusté'!F119))&gt;Seuil_aberrant,"",'Historique ajusté'!F120/'Historique ajusté'!F119-1))</f>
        <v/>
      </c>
      <c r="G120" s="34">
        <f>IF(OR('Historique ajusté'!G120="",'Historique ajusté'!G119=""),"",IF(ABS(LN('Historique ajusté'!G120/'Historique ajusté'!G119))&gt;Seuil_aberrant,"",'Historique ajusté'!G120/'Historique ajusté'!G119-1))</f>
        <v/>
      </c>
      <c r="H120" s="34">
        <f>IF(OR('Historique ajusté'!H120="",'Historique ajusté'!H119=""),"",IF(ABS(LN('Historique ajusté'!H120/'Historique ajusté'!H119))&gt;Seuil_aberrant,"",'Historique ajusté'!H120/'Historique ajusté'!H119-1))</f>
        <v/>
      </c>
      <c r="I120" s="34">
        <f>IF(OR('Historique ajusté'!I120="",'Historique ajusté'!I119=""),"",IF(ABS(LN('Historique ajusté'!I120/'Historique ajusté'!I119))&gt;Seuil_aberrant,"",'Historique ajusté'!I120/'Historique ajusté'!I119-1))</f>
        <v/>
      </c>
      <c r="J120" s="34">
        <f>IF(OR('Historique ajusté'!J120="",'Historique ajusté'!J119=""),"",IF(ABS(LN('Historique ajusté'!J120/'Historique ajusté'!J119))&gt;Seuil_aberrant,"",'Historique ajusté'!J120/'Historique ajusté'!J119-1))</f>
        <v/>
      </c>
      <c r="K120" s="34">
        <f>IF(OR('Historique ajusté'!K120="",'Historique ajusté'!K119=""),"",IF(ABS(LN('Historique ajusté'!K120/'Historique ajusté'!K119))&gt;Seuil_aberrant,"",'Historique ajusté'!K120/'Historique ajusté'!K119-1))</f>
        <v/>
      </c>
      <c r="L120" s="34">
        <f>IF(OR('Historique ajusté'!L120="",'Historique ajusté'!L119=""),"",IF(ABS(LN('Historique ajusté'!L120/'Historique ajusté'!L119))&gt;Seuil_aberrant,"",'Historique ajusté'!L120/'Historique ajusté'!L119-1))</f>
        <v/>
      </c>
      <c r="M120" s="34">
        <f>IF(OR('Historique ajusté'!M120="",'Historique ajusté'!M119=""),"",IF(ABS(LN('Historique ajusté'!M120/'Historique ajusté'!M119))&gt;Seuil_aberrant,"",'Historique ajusté'!M120/'Historique ajusté'!M119-1))</f>
        <v/>
      </c>
      <c r="N120" s="34">
        <f>IF(OR('Historique ajusté'!N120="",'Historique ajusté'!N119=""),"",IF(ABS(LN('Historique ajusté'!N120/'Historique ajusté'!N119))&gt;Seuil_aberrant,"",'Historique ajusté'!N120/'Historique ajusté'!N119-1))</f>
        <v/>
      </c>
      <c r="O120" s="34">
        <f>IF(OR('Historique ajusté'!O120="",'Historique ajusté'!O119=""),"",IF(ABS(LN('Historique ajusté'!O120/'Historique ajusté'!O119))&gt;Seuil_aberrant,"",'Historique ajusté'!O120/'Historique ajusté'!O119-1))</f>
        <v/>
      </c>
      <c r="P120" s="34">
        <f>IF(OR('Historique ajusté'!P120="",'Historique ajusté'!P119=""),"",IF(ABS(LN('Historique ajusté'!P120/'Historique ajusté'!P119))&gt;Seuil_aberrant,"",'Historique ajusté'!P120/'Historique ajusté'!P119-1))</f>
        <v/>
      </c>
    </row>
    <row r="121">
      <c r="B121" s="32">
        <f>'Historique ajusté'!B121</f>
        <v/>
      </c>
      <c r="C121" s="34">
        <f>IF(OR('Historique ajusté'!C121="",'Historique ajusté'!C120=""),"",IF(ABS(LN('Historique ajusté'!C121/'Historique ajusté'!C120))&gt;Seuil_aberrant,"",'Historique ajusté'!C121/'Historique ajusté'!C120-1))</f>
        <v/>
      </c>
      <c r="D121" s="34">
        <f>IF(OR('Historique ajusté'!D121="",'Historique ajusté'!D120=""),"",IF(ABS(LN('Historique ajusté'!D121/'Historique ajusté'!D120))&gt;Seuil_aberrant,"",'Historique ajusté'!D121/'Historique ajusté'!D120-1))</f>
        <v/>
      </c>
      <c r="E121" s="34">
        <f>IF(OR('Historique ajusté'!E121="",'Historique ajusté'!E120=""),"",IF(ABS(LN('Historique ajusté'!E121/'Historique ajusté'!E120))&gt;Seuil_aberrant,"",'Historique ajusté'!E121/'Historique ajusté'!E120-1))</f>
        <v/>
      </c>
      <c r="F121" s="34">
        <f>IF(OR('Historique ajusté'!F121="",'Historique ajusté'!F120=""),"",IF(ABS(LN('Historique ajusté'!F121/'Historique ajusté'!F120))&gt;Seuil_aberrant,"",'Historique ajusté'!F121/'Historique ajusté'!F120-1))</f>
        <v/>
      </c>
      <c r="G121" s="34">
        <f>IF(OR('Historique ajusté'!G121="",'Historique ajusté'!G120=""),"",IF(ABS(LN('Historique ajusté'!G121/'Historique ajusté'!G120))&gt;Seuil_aberrant,"",'Historique ajusté'!G121/'Historique ajusté'!G120-1))</f>
        <v/>
      </c>
      <c r="H121" s="34">
        <f>IF(OR('Historique ajusté'!H121="",'Historique ajusté'!H120=""),"",IF(ABS(LN('Historique ajusté'!H121/'Historique ajusté'!H120))&gt;Seuil_aberrant,"",'Historique ajusté'!H121/'Historique ajusté'!H120-1))</f>
        <v/>
      </c>
      <c r="I121" s="34">
        <f>IF(OR('Historique ajusté'!I121="",'Historique ajusté'!I120=""),"",IF(ABS(LN('Historique ajusté'!I121/'Historique ajusté'!I120))&gt;Seuil_aberrant,"",'Historique ajusté'!I121/'Historique ajusté'!I120-1))</f>
        <v/>
      </c>
      <c r="J121" s="34">
        <f>IF(OR('Historique ajusté'!J121="",'Historique ajusté'!J120=""),"",IF(ABS(LN('Historique ajusté'!J121/'Historique ajusté'!J120))&gt;Seuil_aberrant,"",'Historique ajusté'!J121/'Historique ajusté'!J120-1))</f>
        <v/>
      </c>
      <c r="K121" s="34">
        <f>IF(OR('Historique ajusté'!K121="",'Historique ajusté'!K120=""),"",IF(ABS(LN('Historique ajusté'!K121/'Historique ajusté'!K120))&gt;Seuil_aberrant,"",'Historique ajusté'!K121/'Historique ajusté'!K120-1))</f>
        <v/>
      </c>
      <c r="L121" s="34">
        <f>IF(OR('Historique ajusté'!L121="",'Historique ajusté'!L120=""),"",IF(ABS(LN('Historique ajusté'!L121/'Historique ajusté'!L120))&gt;Seuil_aberrant,"",'Historique ajusté'!L121/'Historique ajusté'!L120-1))</f>
        <v/>
      </c>
      <c r="M121" s="34">
        <f>IF(OR('Historique ajusté'!M121="",'Historique ajusté'!M120=""),"",IF(ABS(LN('Historique ajusté'!M121/'Historique ajusté'!M120))&gt;Seuil_aberrant,"",'Historique ajusté'!M121/'Historique ajusté'!M120-1))</f>
        <v/>
      </c>
      <c r="N121" s="34">
        <f>IF(OR('Historique ajusté'!N121="",'Historique ajusté'!N120=""),"",IF(ABS(LN('Historique ajusté'!N121/'Historique ajusté'!N120))&gt;Seuil_aberrant,"",'Historique ajusté'!N121/'Historique ajusté'!N120-1))</f>
        <v/>
      </c>
      <c r="O121" s="34">
        <f>IF(OR('Historique ajusté'!O121="",'Historique ajusté'!O120=""),"",IF(ABS(LN('Historique ajusté'!O121/'Historique ajusté'!O120))&gt;Seuil_aberrant,"",'Historique ajusté'!O121/'Historique ajusté'!O120-1))</f>
        <v/>
      </c>
      <c r="P121" s="34">
        <f>IF(OR('Historique ajusté'!P121="",'Historique ajusté'!P120=""),"",IF(ABS(LN('Historique ajusté'!P121/'Historique ajusté'!P120))&gt;Seuil_aberrant,"",'Historique ajusté'!P121/'Historique ajusté'!P120-1))</f>
        <v/>
      </c>
    </row>
    <row r="122">
      <c r="B122" s="32">
        <f>'Historique ajusté'!B122</f>
        <v/>
      </c>
      <c r="C122" s="34">
        <f>IF(OR('Historique ajusté'!C122="",'Historique ajusté'!C121=""),"",IF(ABS(LN('Historique ajusté'!C122/'Historique ajusté'!C121))&gt;Seuil_aberrant,"",'Historique ajusté'!C122/'Historique ajusté'!C121-1))</f>
        <v/>
      </c>
      <c r="D122" s="34">
        <f>IF(OR('Historique ajusté'!D122="",'Historique ajusté'!D121=""),"",IF(ABS(LN('Historique ajusté'!D122/'Historique ajusté'!D121))&gt;Seuil_aberrant,"",'Historique ajusté'!D122/'Historique ajusté'!D121-1))</f>
        <v/>
      </c>
      <c r="E122" s="34">
        <f>IF(OR('Historique ajusté'!E122="",'Historique ajusté'!E121=""),"",IF(ABS(LN('Historique ajusté'!E122/'Historique ajusté'!E121))&gt;Seuil_aberrant,"",'Historique ajusté'!E122/'Historique ajusté'!E121-1))</f>
        <v/>
      </c>
      <c r="F122" s="34">
        <f>IF(OR('Historique ajusté'!F122="",'Historique ajusté'!F121=""),"",IF(ABS(LN('Historique ajusté'!F122/'Historique ajusté'!F121))&gt;Seuil_aberrant,"",'Historique ajusté'!F122/'Historique ajusté'!F121-1))</f>
        <v/>
      </c>
      <c r="G122" s="34">
        <f>IF(OR('Historique ajusté'!G122="",'Historique ajusté'!G121=""),"",IF(ABS(LN('Historique ajusté'!G122/'Historique ajusté'!G121))&gt;Seuil_aberrant,"",'Historique ajusté'!G122/'Historique ajusté'!G121-1))</f>
        <v/>
      </c>
      <c r="H122" s="34">
        <f>IF(OR('Historique ajusté'!H122="",'Historique ajusté'!H121=""),"",IF(ABS(LN('Historique ajusté'!H122/'Historique ajusté'!H121))&gt;Seuil_aberrant,"",'Historique ajusté'!H122/'Historique ajusté'!H121-1))</f>
        <v/>
      </c>
      <c r="I122" s="34">
        <f>IF(OR('Historique ajusté'!I122="",'Historique ajusté'!I121=""),"",IF(ABS(LN('Historique ajusté'!I122/'Historique ajusté'!I121))&gt;Seuil_aberrant,"",'Historique ajusté'!I122/'Historique ajusté'!I121-1))</f>
        <v/>
      </c>
      <c r="J122" s="34">
        <f>IF(OR('Historique ajusté'!J122="",'Historique ajusté'!J121=""),"",IF(ABS(LN('Historique ajusté'!J122/'Historique ajusté'!J121))&gt;Seuil_aberrant,"",'Historique ajusté'!J122/'Historique ajusté'!J121-1))</f>
        <v/>
      </c>
      <c r="K122" s="34">
        <f>IF(OR('Historique ajusté'!K122="",'Historique ajusté'!K121=""),"",IF(ABS(LN('Historique ajusté'!K122/'Historique ajusté'!K121))&gt;Seuil_aberrant,"",'Historique ajusté'!K122/'Historique ajusté'!K121-1))</f>
        <v/>
      </c>
      <c r="L122" s="34">
        <f>IF(OR('Historique ajusté'!L122="",'Historique ajusté'!L121=""),"",IF(ABS(LN('Historique ajusté'!L122/'Historique ajusté'!L121))&gt;Seuil_aberrant,"",'Historique ajusté'!L122/'Historique ajusté'!L121-1))</f>
        <v/>
      </c>
      <c r="M122" s="34">
        <f>IF(OR('Historique ajusté'!M122="",'Historique ajusté'!M121=""),"",IF(ABS(LN('Historique ajusté'!M122/'Historique ajusté'!M121))&gt;Seuil_aberrant,"",'Historique ajusté'!M122/'Historique ajusté'!M121-1))</f>
        <v/>
      </c>
      <c r="N122" s="34">
        <f>IF(OR('Historique ajusté'!N122="",'Historique ajusté'!N121=""),"",IF(ABS(LN('Historique ajusté'!N122/'Historique ajusté'!N121))&gt;Seuil_aberrant,"",'Historique ajusté'!N122/'Historique ajusté'!N121-1))</f>
        <v/>
      </c>
      <c r="O122" s="34">
        <f>IF(OR('Historique ajusté'!O122="",'Historique ajusté'!O121=""),"",IF(ABS(LN('Historique ajusté'!O122/'Historique ajusté'!O121))&gt;Seuil_aberrant,"",'Historique ajusté'!O122/'Historique ajusté'!O121-1))</f>
        <v/>
      </c>
      <c r="P122" s="34">
        <f>IF(OR('Historique ajusté'!P122="",'Historique ajusté'!P121=""),"",IF(ABS(LN('Historique ajusté'!P122/'Historique ajusté'!P121))&gt;Seuil_aberrant,"",'Historique ajusté'!P122/'Historique ajusté'!P121-1))</f>
        <v/>
      </c>
    </row>
    <row r="123">
      <c r="B123" s="32">
        <f>'Historique ajusté'!B123</f>
        <v/>
      </c>
      <c r="C123" s="34">
        <f>IF(OR('Historique ajusté'!C123="",'Historique ajusté'!C122=""),"",IF(ABS(LN('Historique ajusté'!C123/'Historique ajusté'!C122))&gt;Seuil_aberrant,"",'Historique ajusté'!C123/'Historique ajusté'!C122-1))</f>
        <v/>
      </c>
      <c r="D123" s="34">
        <f>IF(OR('Historique ajusté'!D123="",'Historique ajusté'!D122=""),"",IF(ABS(LN('Historique ajusté'!D123/'Historique ajusté'!D122))&gt;Seuil_aberrant,"",'Historique ajusté'!D123/'Historique ajusté'!D122-1))</f>
        <v/>
      </c>
      <c r="E123" s="34">
        <f>IF(OR('Historique ajusté'!E123="",'Historique ajusté'!E122=""),"",IF(ABS(LN('Historique ajusté'!E123/'Historique ajusté'!E122))&gt;Seuil_aberrant,"",'Historique ajusté'!E123/'Historique ajusté'!E122-1))</f>
        <v/>
      </c>
      <c r="F123" s="34">
        <f>IF(OR('Historique ajusté'!F123="",'Historique ajusté'!F122=""),"",IF(ABS(LN('Historique ajusté'!F123/'Historique ajusté'!F122))&gt;Seuil_aberrant,"",'Historique ajusté'!F123/'Historique ajusté'!F122-1))</f>
        <v/>
      </c>
      <c r="G123" s="34">
        <f>IF(OR('Historique ajusté'!G123="",'Historique ajusté'!G122=""),"",IF(ABS(LN('Historique ajusté'!G123/'Historique ajusté'!G122))&gt;Seuil_aberrant,"",'Historique ajusté'!G123/'Historique ajusté'!G122-1))</f>
        <v/>
      </c>
      <c r="H123" s="34">
        <f>IF(OR('Historique ajusté'!H123="",'Historique ajusté'!H122=""),"",IF(ABS(LN('Historique ajusté'!H123/'Historique ajusté'!H122))&gt;Seuil_aberrant,"",'Historique ajusté'!H123/'Historique ajusté'!H122-1))</f>
        <v/>
      </c>
      <c r="I123" s="34">
        <f>IF(OR('Historique ajusté'!I123="",'Historique ajusté'!I122=""),"",IF(ABS(LN('Historique ajusté'!I123/'Historique ajusté'!I122))&gt;Seuil_aberrant,"",'Historique ajusté'!I123/'Historique ajusté'!I122-1))</f>
        <v/>
      </c>
      <c r="J123" s="34">
        <f>IF(OR('Historique ajusté'!J123="",'Historique ajusté'!J122=""),"",IF(ABS(LN('Historique ajusté'!J123/'Historique ajusté'!J122))&gt;Seuil_aberrant,"",'Historique ajusté'!J123/'Historique ajusté'!J122-1))</f>
        <v/>
      </c>
      <c r="K123" s="34">
        <f>IF(OR('Historique ajusté'!K123="",'Historique ajusté'!K122=""),"",IF(ABS(LN('Historique ajusté'!K123/'Historique ajusté'!K122))&gt;Seuil_aberrant,"",'Historique ajusté'!K123/'Historique ajusté'!K122-1))</f>
        <v/>
      </c>
      <c r="L123" s="34">
        <f>IF(OR('Historique ajusté'!L123="",'Historique ajusté'!L122=""),"",IF(ABS(LN('Historique ajusté'!L123/'Historique ajusté'!L122))&gt;Seuil_aberrant,"",'Historique ajusté'!L123/'Historique ajusté'!L122-1))</f>
        <v/>
      </c>
      <c r="M123" s="34">
        <f>IF(OR('Historique ajusté'!M123="",'Historique ajusté'!M122=""),"",IF(ABS(LN('Historique ajusté'!M123/'Historique ajusté'!M122))&gt;Seuil_aberrant,"",'Historique ajusté'!M123/'Historique ajusté'!M122-1))</f>
        <v/>
      </c>
      <c r="N123" s="34">
        <f>IF(OR('Historique ajusté'!N123="",'Historique ajusté'!N122=""),"",IF(ABS(LN('Historique ajusté'!N123/'Historique ajusté'!N122))&gt;Seuil_aberrant,"",'Historique ajusté'!N123/'Historique ajusté'!N122-1))</f>
        <v/>
      </c>
      <c r="O123" s="34">
        <f>IF(OR('Historique ajusté'!O123="",'Historique ajusté'!O122=""),"",IF(ABS(LN('Historique ajusté'!O123/'Historique ajusté'!O122))&gt;Seuil_aberrant,"",'Historique ajusté'!O123/'Historique ajusté'!O122-1))</f>
        <v/>
      </c>
      <c r="P123" s="34">
        <f>IF(OR('Historique ajusté'!P123="",'Historique ajusté'!P122=""),"",IF(ABS(LN('Historique ajusté'!P123/'Historique ajusté'!P122))&gt;Seuil_aberrant,"",'Historique ajusté'!P123/'Historique ajusté'!P122-1))</f>
        <v/>
      </c>
    </row>
    <row r="124">
      <c r="B124" s="32">
        <f>'Historique ajusté'!B124</f>
        <v/>
      </c>
      <c r="C124" s="34">
        <f>IF(OR('Historique ajusté'!C124="",'Historique ajusté'!C123=""),"",IF(ABS(LN('Historique ajusté'!C124/'Historique ajusté'!C123))&gt;Seuil_aberrant,"",'Historique ajusté'!C124/'Historique ajusté'!C123-1))</f>
        <v/>
      </c>
      <c r="D124" s="34">
        <f>IF(OR('Historique ajusté'!D124="",'Historique ajusté'!D123=""),"",IF(ABS(LN('Historique ajusté'!D124/'Historique ajusté'!D123))&gt;Seuil_aberrant,"",'Historique ajusté'!D124/'Historique ajusté'!D123-1))</f>
        <v/>
      </c>
      <c r="E124" s="34">
        <f>IF(OR('Historique ajusté'!E124="",'Historique ajusté'!E123=""),"",IF(ABS(LN('Historique ajusté'!E124/'Historique ajusté'!E123))&gt;Seuil_aberrant,"",'Historique ajusté'!E124/'Historique ajusté'!E123-1))</f>
        <v/>
      </c>
      <c r="F124" s="34">
        <f>IF(OR('Historique ajusté'!F124="",'Historique ajusté'!F123=""),"",IF(ABS(LN('Historique ajusté'!F124/'Historique ajusté'!F123))&gt;Seuil_aberrant,"",'Historique ajusté'!F124/'Historique ajusté'!F123-1))</f>
        <v/>
      </c>
      <c r="G124" s="34">
        <f>IF(OR('Historique ajusté'!G124="",'Historique ajusté'!G123=""),"",IF(ABS(LN('Historique ajusté'!G124/'Historique ajusté'!G123))&gt;Seuil_aberrant,"",'Historique ajusté'!G124/'Historique ajusté'!G123-1))</f>
        <v/>
      </c>
      <c r="H124" s="34">
        <f>IF(OR('Historique ajusté'!H124="",'Historique ajusté'!H123=""),"",IF(ABS(LN('Historique ajusté'!H124/'Historique ajusté'!H123))&gt;Seuil_aberrant,"",'Historique ajusté'!H124/'Historique ajusté'!H123-1))</f>
        <v/>
      </c>
      <c r="I124" s="34">
        <f>IF(OR('Historique ajusté'!I124="",'Historique ajusté'!I123=""),"",IF(ABS(LN('Historique ajusté'!I124/'Historique ajusté'!I123))&gt;Seuil_aberrant,"",'Historique ajusté'!I124/'Historique ajusté'!I123-1))</f>
        <v/>
      </c>
      <c r="J124" s="34">
        <f>IF(OR('Historique ajusté'!J124="",'Historique ajusté'!J123=""),"",IF(ABS(LN('Historique ajusté'!J124/'Historique ajusté'!J123))&gt;Seuil_aberrant,"",'Historique ajusté'!J124/'Historique ajusté'!J123-1))</f>
        <v/>
      </c>
      <c r="K124" s="34">
        <f>IF(OR('Historique ajusté'!K124="",'Historique ajusté'!K123=""),"",IF(ABS(LN('Historique ajusté'!K124/'Historique ajusté'!K123))&gt;Seuil_aberrant,"",'Historique ajusté'!K124/'Historique ajusté'!K123-1))</f>
        <v/>
      </c>
      <c r="L124" s="34">
        <f>IF(OR('Historique ajusté'!L124="",'Historique ajusté'!L123=""),"",IF(ABS(LN('Historique ajusté'!L124/'Historique ajusté'!L123))&gt;Seuil_aberrant,"",'Historique ajusté'!L124/'Historique ajusté'!L123-1))</f>
        <v/>
      </c>
      <c r="M124" s="34">
        <f>IF(OR('Historique ajusté'!M124="",'Historique ajusté'!M123=""),"",IF(ABS(LN('Historique ajusté'!M124/'Historique ajusté'!M123))&gt;Seuil_aberrant,"",'Historique ajusté'!M124/'Historique ajusté'!M123-1))</f>
        <v/>
      </c>
      <c r="N124" s="34">
        <f>IF(OR('Historique ajusté'!N124="",'Historique ajusté'!N123=""),"",IF(ABS(LN('Historique ajusté'!N124/'Historique ajusté'!N123))&gt;Seuil_aberrant,"",'Historique ajusté'!N124/'Historique ajusté'!N123-1))</f>
        <v/>
      </c>
      <c r="O124" s="34">
        <f>IF(OR('Historique ajusté'!O124="",'Historique ajusté'!O123=""),"",IF(ABS(LN('Historique ajusté'!O124/'Historique ajusté'!O123))&gt;Seuil_aberrant,"",'Historique ajusté'!O124/'Historique ajusté'!O123-1))</f>
        <v/>
      </c>
      <c r="P124" s="34">
        <f>IF(OR('Historique ajusté'!P124="",'Historique ajusté'!P123=""),"",IF(ABS(LN('Historique ajusté'!P124/'Historique ajusté'!P123))&gt;Seuil_aberrant,"",'Historique ajusté'!P124/'Historique ajusté'!P123-1))</f>
        <v/>
      </c>
    </row>
    <row r="125">
      <c r="B125" s="32">
        <f>'Historique ajusté'!B125</f>
        <v/>
      </c>
      <c r="C125" s="34">
        <f>IF(OR('Historique ajusté'!C125="",'Historique ajusté'!C124=""),"",IF(ABS(LN('Historique ajusté'!C125/'Historique ajusté'!C124))&gt;Seuil_aberrant,"",'Historique ajusté'!C125/'Historique ajusté'!C124-1))</f>
        <v/>
      </c>
      <c r="D125" s="34">
        <f>IF(OR('Historique ajusté'!D125="",'Historique ajusté'!D124=""),"",IF(ABS(LN('Historique ajusté'!D125/'Historique ajusté'!D124))&gt;Seuil_aberrant,"",'Historique ajusté'!D125/'Historique ajusté'!D124-1))</f>
        <v/>
      </c>
      <c r="E125" s="34">
        <f>IF(OR('Historique ajusté'!E125="",'Historique ajusté'!E124=""),"",IF(ABS(LN('Historique ajusté'!E125/'Historique ajusté'!E124))&gt;Seuil_aberrant,"",'Historique ajusté'!E125/'Historique ajusté'!E124-1))</f>
        <v/>
      </c>
      <c r="F125" s="34">
        <f>IF(OR('Historique ajusté'!F125="",'Historique ajusté'!F124=""),"",IF(ABS(LN('Historique ajusté'!F125/'Historique ajusté'!F124))&gt;Seuil_aberrant,"",'Historique ajusté'!F125/'Historique ajusté'!F124-1))</f>
        <v/>
      </c>
      <c r="G125" s="34">
        <f>IF(OR('Historique ajusté'!G125="",'Historique ajusté'!G124=""),"",IF(ABS(LN('Historique ajusté'!G125/'Historique ajusté'!G124))&gt;Seuil_aberrant,"",'Historique ajusté'!G125/'Historique ajusté'!G124-1))</f>
        <v/>
      </c>
      <c r="H125" s="34">
        <f>IF(OR('Historique ajusté'!H125="",'Historique ajusté'!H124=""),"",IF(ABS(LN('Historique ajusté'!H125/'Historique ajusté'!H124))&gt;Seuil_aberrant,"",'Historique ajusté'!H125/'Historique ajusté'!H124-1))</f>
        <v/>
      </c>
      <c r="I125" s="34">
        <f>IF(OR('Historique ajusté'!I125="",'Historique ajusté'!I124=""),"",IF(ABS(LN('Historique ajusté'!I125/'Historique ajusté'!I124))&gt;Seuil_aberrant,"",'Historique ajusté'!I125/'Historique ajusté'!I124-1))</f>
        <v/>
      </c>
      <c r="J125" s="34">
        <f>IF(OR('Historique ajusté'!J125="",'Historique ajusté'!J124=""),"",IF(ABS(LN('Historique ajusté'!J125/'Historique ajusté'!J124))&gt;Seuil_aberrant,"",'Historique ajusté'!J125/'Historique ajusté'!J124-1))</f>
        <v/>
      </c>
      <c r="K125" s="34">
        <f>IF(OR('Historique ajusté'!K125="",'Historique ajusté'!K124=""),"",IF(ABS(LN('Historique ajusté'!K125/'Historique ajusté'!K124))&gt;Seuil_aberrant,"",'Historique ajusté'!K125/'Historique ajusté'!K124-1))</f>
        <v/>
      </c>
      <c r="L125" s="34">
        <f>IF(OR('Historique ajusté'!L125="",'Historique ajusté'!L124=""),"",IF(ABS(LN('Historique ajusté'!L125/'Historique ajusté'!L124))&gt;Seuil_aberrant,"",'Historique ajusté'!L125/'Historique ajusté'!L124-1))</f>
        <v/>
      </c>
      <c r="M125" s="34">
        <f>IF(OR('Historique ajusté'!M125="",'Historique ajusté'!M124=""),"",IF(ABS(LN('Historique ajusté'!M125/'Historique ajusté'!M124))&gt;Seuil_aberrant,"",'Historique ajusté'!M125/'Historique ajusté'!M124-1))</f>
        <v/>
      </c>
      <c r="N125" s="34">
        <f>IF(OR('Historique ajusté'!N125="",'Historique ajusté'!N124=""),"",IF(ABS(LN('Historique ajusté'!N125/'Historique ajusté'!N124))&gt;Seuil_aberrant,"",'Historique ajusté'!N125/'Historique ajusté'!N124-1))</f>
        <v/>
      </c>
      <c r="O125" s="34">
        <f>IF(OR('Historique ajusté'!O125="",'Historique ajusté'!O124=""),"",IF(ABS(LN('Historique ajusté'!O125/'Historique ajusté'!O124))&gt;Seuil_aberrant,"",'Historique ajusté'!O125/'Historique ajusté'!O124-1))</f>
        <v/>
      </c>
      <c r="P125" s="34">
        <f>IF(OR('Historique ajusté'!P125="",'Historique ajusté'!P124=""),"",IF(ABS(LN('Historique ajusté'!P125/'Historique ajusté'!P124))&gt;Seuil_aberrant,"",'Historique ajusté'!P125/'Historique ajusté'!P124-1))</f>
        <v/>
      </c>
    </row>
    <row r="126">
      <c r="B126" s="32">
        <f>'Historique ajusté'!B126</f>
        <v/>
      </c>
      <c r="C126" s="34">
        <f>IF(OR('Historique ajusté'!C126="",'Historique ajusté'!C125=""),"",IF(ABS(LN('Historique ajusté'!C126/'Historique ajusté'!C125))&gt;Seuil_aberrant,"",'Historique ajusté'!C126/'Historique ajusté'!C125-1))</f>
        <v/>
      </c>
      <c r="D126" s="34">
        <f>IF(OR('Historique ajusté'!D126="",'Historique ajusté'!D125=""),"",IF(ABS(LN('Historique ajusté'!D126/'Historique ajusté'!D125))&gt;Seuil_aberrant,"",'Historique ajusté'!D126/'Historique ajusté'!D125-1))</f>
        <v/>
      </c>
      <c r="E126" s="34">
        <f>IF(OR('Historique ajusté'!E126="",'Historique ajusté'!E125=""),"",IF(ABS(LN('Historique ajusté'!E126/'Historique ajusté'!E125))&gt;Seuil_aberrant,"",'Historique ajusté'!E126/'Historique ajusté'!E125-1))</f>
        <v/>
      </c>
      <c r="F126" s="34">
        <f>IF(OR('Historique ajusté'!F126="",'Historique ajusté'!F125=""),"",IF(ABS(LN('Historique ajusté'!F126/'Historique ajusté'!F125))&gt;Seuil_aberrant,"",'Historique ajusté'!F126/'Historique ajusté'!F125-1))</f>
        <v/>
      </c>
      <c r="G126" s="34">
        <f>IF(OR('Historique ajusté'!G126="",'Historique ajusté'!G125=""),"",IF(ABS(LN('Historique ajusté'!G126/'Historique ajusté'!G125))&gt;Seuil_aberrant,"",'Historique ajusté'!G126/'Historique ajusté'!G125-1))</f>
        <v/>
      </c>
      <c r="H126" s="34">
        <f>IF(OR('Historique ajusté'!H126="",'Historique ajusté'!H125=""),"",IF(ABS(LN('Historique ajusté'!H126/'Historique ajusté'!H125))&gt;Seuil_aberrant,"",'Historique ajusté'!H126/'Historique ajusté'!H125-1))</f>
        <v/>
      </c>
      <c r="I126" s="34">
        <f>IF(OR('Historique ajusté'!I126="",'Historique ajusté'!I125=""),"",IF(ABS(LN('Historique ajusté'!I126/'Historique ajusté'!I125))&gt;Seuil_aberrant,"",'Historique ajusté'!I126/'Historique ajusté'!I125-1))</f>
        <v/>
      </c>
      <c r="J126" s="34">
        <f>IF(OR('Historique ajusté'!J126="",'Historique ajusté'!J125=""),"",IF(ABS(LN('Historique ajusté'!J126/'Historique ajusté'!J125))&gt;Seuil_aberrant,"",'Historique ajusté'!J126/'Historique ajusté'!J125-1))</f>
        <v/>
      </c>
      <c r="K126" s="34">
        <f>IF(OR('Historique ajusté'!K126="",'Historique ajusté'!K125=""),"",IF(ABS(LN('Historique ajusté'!K126/'Historique ajusté'!K125))&gt;Seuil_aberrant,"",'Historique ajusté'!K126/'Historique ajusté'!K125-1))</f>
        <v/>
      </c>
      <c r="L126" s="34">
        <f>IF(OR('Historique ajusté'!L126="",'Historique ajusté'!L125=""),"",IF(ABS(LN('Historique ajusté'!L126/'Historique ajusté'!L125))&gt;Seuil_aberrant,"",'Historique ajusté'!L126/'Historique ajusté'!L125-1))</f>
        <v/>
      </c>
      <c r="M126" s="34">
        <f>IF(OR('Historique ajusté'!M126="",'Historique ajusté'!M125=""),"",IF(ABS(LN('Historique ajusté'!M126/'Historique ajusté'!M125))&gt;Seuil_aberrant,"",'Historique ajusté'!M126/'Historique ajusté'!M125-1))</f>
        <v/>
      </c>
      <c r="N126" s="34">
        <f>IF(OR('Historique ajusté'!N126="",'Historique ajusté'!N125=""),"",IF(ABS(LN('Historique ajusté'!N126/'Historique ajusté'!N125))&gt;Seuil_aberrant,"",'Historique ajusté'!N126/'Historique ajusté'!N125-1))</f>
        <v/>
      </c>
      <c r="O126" s="34">
        <f>IF(OR('Historique ajusté'!O126="",'Historique ajusté'!O125=""),"",IF(ABS(LN('Historique ajusté'!O126/'Historique ajusté'!O125))&gt;Seuil_aberrant,"",'Historique ajusté'!O126/'Historique ajusté'!O125-1))</f>
        <v/>
      </c>
      <c r="P126" s="34">
        <f>IF(OR('Historique ajusté'!P126="",'Historique ajusté'!P125=""),"",IF(ABS(LN('Historique ajusté'!P126/'Historique ajusté'!P125))&gt;Seuil_aberrant,"",'Historique ajusté'!P126/'Historique ajusté'!P125-1))</f>
        <v/>
      </c>
    </row>
    <row r="127">
      <c r="B127" s="32">
        <f>'Historique ajusté'!B127</f>
        <v/>
      </c>
      <c r="C127" s="34">
        <f>IF(OR('Historique ajusté'!C127="",'Historique ajusté'!C126=""),"",IF(ABS(LN('Historique ajusté'!C127/'Historique ajusté'!C126))&gt;Seuil_aberrant,"",'Historique ajusté'!C127/'Historique ajusté'!C126-1))</f>
        <v/>
      </c>
      <c r="D127" s="34">
        <f>IF(OR('Historique ajusté'!D127="",'Historique ajusté'!D126=""),"",IF(ABS(LN('Historique ajusté'!D127/'Historique ajusté'!D126))&gt;Seuil_aberrant,"",'Historique ajusté'!D127/'Historique ajusté'!D126-1))</f>
        <v/>
      </c>
      <c r="E127" s="34">
        <f>IF(OR('Historique ajusté'!E127="",'Historique ajusté'!E126=""),"",IF(ABS(LN('Historique ajusté'!E127/'Historique ajusté'!E126))&gt;Seuil_aberrant,"",'Historique ajusté'!E127/'Historique ajusté'!E126-1))</f>
        <v/>
      </c>
      <c r="F127" s="34">
        <f>IF(OR('Historique ajusté'!F127="",'Historique ajusté'!F126=""),"",IF(ABS(LN('Historique ajusté'!F127/'Historique ajusté'!F126))&gt;Seuil_aberrant,"",'Historique ajusté'!F127/'Historique ajusté'!F126-1))</f>
        <v/>
      </c>
      <c r="G127" s="34">
        <f>IF(OR('Historique ajusté'!G127="",'Historique ajusté'!G126=""),"",IF(ABS(LN('Historique ajusté'!G127/'Historique ajusté'!G126))&gt;Seuil_aberrant,"",'Historique ajusté'!G127/'Historique ajusté'!G126-1))</f>
        <v/>
      </c>
      <c r="H127" s="34">
        <f>IF(OR('Historique ajusté'!H127="",'Historique ajusté'!H126=""),"",IF(ABS(LN('Historique ajusté'!H127/'Historique ajusté'!H126))&gt;Seuil_aberrant,"",'Historique ajusté'!H127/'Historique ajusté'!H126-1))</f>
        <v/>
      </c>
      <c r="I127" s="34">
        <f>IF(OR('Historique ajusté'!I127="",'Historique ajusté'!I126=""),"",IF(ABS(LN('Historique ajusté'!I127/'Historique ajusté'!I126))&gt;Seuil_aberrant,"",'Historique ajusté'!I127/'Historique ajusté'!I126-1))</f>
        <v/>
      </c>
      <c r="J127" s="34">
        <f>IF(OR('Historique ajusté'!J127="",'Historique ajusté'!J126=""),"",IF(ABS(LN('Historique ajusté'!J127/'Historique ajusté'!J126))&gt;Seuil_aberrant,"",'Historique ajusté'!J127/'Historique ajusté'!J126-1))</f>
        <v/>
      </c>
      <c r="K127" s="34">
        <f>IF(OR('Historique ajusté'!K127="",'Historique ajusté'!K126=""),"",IF(ABS(LN('Historique ajusté'!K127/'Historique ajusté'!K126))&gt;Seuil_aberrant,"",'Historique ajusté'!K127/'Historique ajusté'!K126-1))</f>
        <v/>
      </c>
      <c r="L127" s="34">
        <f>IF(OR('Historique ajusté'!L127="",'Historique ajusté'!L126=""),"",IF(ABS(LN('Historique ajusté'!L127/'Historique ajusté'!L126))&gt;Seuil_aberrant,"",'Historique ajusté'!L127/'Historique ajusté'!L126-1))</f>
        <v/>
      </c>
      <c r="M127" s="34">
        <f>IF(OR('Historique ajusté'!M127="",'Historique ajusté'!M126=""),"",IF(ABS(LN('Historique ajusté'!M127/'Historique ajusté'!M126))&gt;Seuil_aberrant,"",'Historique ajusté'!M127/'Historique ajusté'!M126-1))</f>
        <v/>
      </c>
      <c r="N127" s="34">
        <f>IF(OR('Historique ajusté'!N127="",'Historique ajusté'!N126=""),"",IF(ABS(LN('Historique ajusté'!N127/'Historique ajusté'!N126))&gt;Seuil_aberrant,"",'Historique ajusté'!N127/'Historique ajusté'!N126-1))</f>
        <v/>
      </c>
      <c r="O127" s="34">
        <f>IF(OR('Historique ajusté'!O127="",'Historique ajusté'!O126=""),"",IF(ABS(LN('Historique ajusté'!O127/'Historique ajusté'!O126))&gt;Seuil_aberrant,"",'Historique ajusté'!O127/'Historique ajusté'!O126-1))</f>
        <v/>
      </c>
      <c r="P127" s="34">
        <f>IF(OR('Historique ajusté'!P127="",'Historique ajusté'!P126=""),"",IF(ABS(LN('Historique ajusté'!P127/'Historique ajusté'!P126))&gt;Seuil_aberrant,"",'Historique ajusté'!P127/'Historique ajusté'!P126-1))</f>
        <v/>
      </c>
    </row>
    <row r="128">
      <c r="B128" s="32">
        <f>'Historique ajusté'!B128</f>
        <v/>
      </c>
      <c r="C128" s="34">
        <f>IF(OR('Historique ajusté'!C128="",'Historique ajusté'!C127=""),"",IF(ABS(LN('Historique ajusté'!C128/'Historique ajusté'!C127))&gt;Seuil_aberrant,"",'Historique ajusté'!C128/'Historique ajusté'!C127-1))</f>
        <v/>
      </c>
      <c r="D128" s="34">
        <f>IF(OR('Historique ajusté'!D128="",'Historique ajusté'!D127=""),"",IF(ABS(LN('Historique ajusté'!D128/'Historique ajusté'!D127))&gt;Seuil_aberrant,"",'Historique ajusté'!D128/'Historique ajusté'!D127-1))</f>
        <v/>
      </c>
      <c r="E128" s="34">
        <f>IF(OR('Historique ajusté'!E128="",'Historique ajusté'!E127=""),"",IF(ABS(LN('Historique ajusté'!E128/'Historique ajusté'!E127))&gt;Seuil_aberrant,"",'Historique ajusté'!E128/'Historique ajusté'!E127-1))</f>
        <v/>
      </c>
      <c r="F128" s="34">
        <f>IF(OR('Historique ajusté'!F128="",'Historique ajusté'!F127=""),"",IF(ABS(LN('Historique ajusté'!F128/'Historique ajusté'!F127))&gt;Seuil_aberrant,"",'Historique ajusté'!F128/'Historique ajusté'!F127-1))</f>
        <v/>
      </c>
      <c r="G128" s="34">
        <f>IF(OR('Historique ajusté'!G128="",'Historique ajusté'!G127=""),"",IF(ABS(LN('Historique ajusté'!G128/'Historique ajusté'!G127))&gt;Seuil_aberrant,"",'Historique ajusté'!G128/'Historique ajusté'!G127-1))</f>
        <v/>
      </c>
      <c r="H128" s="34">
        <f>IF(OR('Historique ajusté'!H128="",'Historique ajusté'!H127=""),"",IF(ABS(LN('Historique ajusté'!H128/'Historique ajusté'!H127))&gt;Seuil_aberrant,"",'Historique ajusté'!H128/'Historique ajusté'!H127-1))</f>
        <v/>
      </c>
      <c r="I128" s="34">
        <f>IF(OR('Historique ajusté'!I128="",'Historique ajusté'!I127=""),"",IF(ABS(LN('Historique ajusté'!I128/'Historique ajusté'!I127))&gt;Seuil_aberrant,"",'Historique ajusté'!I128/'Historique ajusté'!I127-1))</f>
        <v/>
      </c>
      <c r="J128" s="34">
        <f>IF(OR('Historique ajusté'!J128="",'Historique ajusté'!J127=""),"",IF(ABS(LN('Historique ajusté'!J128/'Historique ajusté'!J127))&gt;Seuil_aberrant,"",'Historique ajusté'!J128/'Historique ajusté'!J127-1))</f>
        <v/>
      </c>
      <c r="K128" s="34">
        <f>IF(OR('Historique ajusté'!K128="",'Historique ajusté'!K127=""),"",IF(ABS(LN('Historique ajusté'!K128/'Historique ajusté'!K127))&gt;Seuil_aberrant,"",'Historique ajusté'!K128/'Historique ajusté'!K127-1))</f>
        <v/>
      </c>
      <c r="L128" s="34">
        <f>IF(OR('Historique ajusté'!L128="",'Historique ajusté'!L127=""),"",IF(ABS(LN('Historique ajusté'!L128/'Historique ajusté'!L127))&gt;Seuil_aberrant,"",'Historique ajusté'!L128/'Historique ajusté'!L127-1))</f>
        <v/>
      </c>
      <c r="M128" s="34">
        <f>IF(OR('Historique ajusté'!M128="",'Historique ajusté'!M127=""),"",IF(ABS(LN('Historique ajusté'!M128/'Historique ajusté'!M127))&gt;Seuil_aberrant,"",'Historique ajusté'!M128/'Historique ajusté'!M127-1))</f>
        <v/>
      </c>
      <c r="N128" s="34">
        <f>IF(OR('Historique ajusté'!N128="",'Historique ajusté'!N127=""),"",IF(ABS(LN('Historique ajusté'!N128/'Historique ajusté'!N127))&gt;Seuil_aberrant,"",'Historique ajusté'!N128/'Historique ajusté'!N127-1))</f>
        <v/>
      </c>
      <c r="O128" s="34">
        <f>IF(OR('Historique ajusté'!O128="",'Historique ajusté'!O127=""),"",IF(ABS(LN('Historique ajusté'!O128/'Historique ajusté'!O127))&gt;Seuil_aberrant,"",'Historique ajusté'!O128/'Historique ajusté'!O127-1))</f>
        <v/>
      </c>
      <c r="P128" s="34">
        <f>IF(OR('Historique ajusté'!P128="",'Historique ajusté'!P127=""),"",IF(ABS(LN('Historique ajusté'!P128/'Historique ajusté'!P127))&gt;Seuil_aberrant,"",'Historique ajusté'!P128/'Historique ajusté'!P127-1))</f>
        <v/>
      </c>
    </row>
    <row r="129">
      <c r="B129" s="32">
        <f>'Historique ajusté'!B129</f>
        <v/>
      </c>
      <c r="C129" s="34">
        <f>IF(OR('Historique ajusté'!C129="",'Historique ajusté'!C128=""),"",IF(ABS(LN('Historique ajusté'!C129/'Historique ajusté'!C128))&gt;Seuil_aberrant,"",'Historique ajusté'!C129/'Historique ajusté'!C128-1))</f>
        <v/>
      </c>
      <c r="D129" s="34">
        <f>IF(OR('Historique ajusté'!D129="",'Historique ajusté'!D128=""),"",IF(ABS(LN('Historique ajusté'!D129/'Historique ajusté'!D128))&gt;Seuil_aberrant,"",'Historique ajusté'!D129/'Historique ajusté'!D128-1))</f>
        <v/>
      </c>
      <c r="E129" s="34">
        <f>IF(OR('Historique ajusté'!E129="",'Historique ajusté'!E128=""),"",IF(ABS(LN('Historique ajusté'!E129/'Historique ajusté'!E128))&gt;Seuil_aberrant,"",'Historique ajusté'!E129/'Historique ajusté'!E128-1))</f>
        <v/>
      </c>
      <c r="F129" s="34">
        <f>IF(OR('Historique ajusté'!F129="",'Historique ajusté'!F128=""),"",IF(ABS(LN('Historique ajusté'!F129/'Historique ajusté'!F128))&gt;Seuil_aberrant,"",'Historique ajusté'!F129/'Historique ajusté'!F128-1))</f>
        <v/>
      </c>
      <c r="G129" s="34">
        <f>IF(OR('Historique ajusté'!G129="",'Historique ajusté'!G128=""),"",IF(ABS(LN('Historique ajusté'!G129/'Historique ajusté'!G128))&gt;Seuil_aberrant,"",'Historique ajusté'!G129/'Historique ajusté'!G128-1))</f>
        <v/>
      </c>
      <c r="H129" s="34">
        <f>IF(OR('Historique ajusté'!H129="",'Historique ajusté'!H128=""),"",IF(ABS(LN('Historique ajusté'!H129/'Historique ajusté'!H128))&gt;Seuil_aberrant,"",'Historique ajusté'!H129/'Historique ajusté'!H128-1))</f>
        <v/>
      </c>
      <c r="I129" s="34">
        <f>IF(OR('Historique ajusté'!I129="",'Historique ajusté'!I128=""),"",IF(ABS(LN('Historique ajusté'!I129/'Historique ajusté'!I128))&gt;Seuil_aberrant,"",'Historique ajusté'!I129/'Historique ajusté'!I128-1))</f>
        <v/>
      </c>
      <c r="J129" s="34">
        <f>IF(OR('Historique ajusté'!J129="",'Historique ajusté'!J128=""),"",IF(ABS(LN('Historique ajusté'!J129/'Historique ajusté'!J128))&gt;Seuil_aberrant,"",'Historique ajusté'!J129/'Historique ajusté'!J128-1))</f>
        <v/>
      </c>
      <c r="K129" s="34">
        <f>IF(OR('Historique ajusté'!K129="",'Historique ajusté'!K128=""),"",IF(ABS(LN('Historique ajusté'!K129/'Historique ajusté'!K128))&gt;Seuil_aberrant,"",'Historique ajusté'!K129/'Historique ajusté'!K128-1))</f>
        <v/>
      </c>
      <c r="L129" s="34">
        <f>IF(OR('Historique ajusté'!L129="",'Historique ajusté'!L128=""),"",IF(ABS(LN('Historique ajusté'!L129/'Historique ajusté'!L128))&gt;Seuil_aberrant,"",'Historique ajusté'!L129/'Historique ajusté'!L128-1))</f>
        <v/>
      </c>
      <c r="M129" s="34">
        <f>IF(OR('Historique ajusté'!M129="",'Historique ajusté'!M128=""),"",IF(ABS(LN('Historique ajusté'!M129/'Historique ajusté'!M128))&gt;Seuil_aberrant,"",'Historique ajusté'!M129/'Historique ajusté'!M128-1))</f>
        <v/>
      </c>
      <c r="N129" s="34">
        <f>IF(OR('Historique ajusté'!N129="",'Historique ajusté'!N128=""),"",IF(ABS(LN('Historique ajusté'!N129/'Historique ajusté'!N128))&gt;Seuil_aberrant,"",'Historique ajusté'!N129/'Historique ajusté'!N128-1))</f>
        <v/>
      </c>
      <c r="O129" s="34">
        <f>IF(OR('Historique ajusté'!O129="",'Historique ajusté'!O128=""),"",IF(ABS(LN('Historique ajusté'!O129/'Historique ajusté'!O128))&gt;Seuil_aberrant,"",'Historique ajusté'!O129/'Historique ajusté'!O128-1))</f>
        <v/>
      </c>
      <c r="P129" s="34">
        <f>IF(OR('Historique ajusté'!P129="",'Historique ajusté'!P128=""),"",IF(ABS(LN('Historique ajusté'!P129/'Historique ajusté'!P128))&gt;Seuil_aberrant,"",'Historique ajusté'!P129/'Historique ajusté'!P128-1))</f>
        <v/>
      </c>
    </row>
    <row r="130">
      <c r="B130" s="32">
        <f>'Historique ajusté'!B130</f>
        <v/>
      </c>
      <c r="C130" s="34">
        <f>IF(OR('Historique ajusté'!C130="",'Historique ajusté'!C129=""),"",IF(ABS(LN('Historique ajusté'!C130/'Historique ajusté'!C129))&gt;Seuil_aberrant,"",'Historique ajusté'!C130/'Historique ajusté'!C129-1))</f>
        <v/>
      </c>
      <c r="D130" s="34">
        <f>IF(OR('Historique ajusté'!D130="",'Historique ajusté'!D129=""),"",IF(ABS(LN('Historique ajusté'!D130/'Historique ajusté'!D129))&gt;Seuil_aberrant,"",'Historique ajusté'!D130/'Historique ajusté'!D129-1))</f>
        <v/>
      </c>
      <c r="E130" s="34">
        <f>IF(OR('Historique ajusté'!E130="",'Historique ajusté'!E129=""),"",IF(ABS(LN('Historique ajusté'!E130/'Historique ajusté'!E129))&gt;Seuil_aberrant,"",'Historique ajusté'!E130/'Historique ajusté'!E129-1))</f>
        <v/>
      </c>
      <c r="F130" s="34">
        <f>IF(OR('Historique ajusté'!F130="",'Historique ajusté'!F129=""),"",IF(ABS(LN('Historique ajusté'!F130/'Historique ajusté'!F129))&gt;Seuil_aberrant,"",'Historique ajusté'!F130/'Historique ajusté'!F129-1))</f>
        <v/>
      </c>
      <c r="G130" s="34">
        <f>IF(OR('Historique ajusté'!G130="",'Historique ajusté'!G129=""),"",IF(ABS(LN('Historique ajusté'!G130/'Historique ajusté'!G129))&gt;Seuil_aberrant,"",'Historique ajusté'!G130/'Historique ajusté'!G129-1))</f>
        <v/>
      </c>
      <c r="H130" s="34">
        <f>IF(OR('Historique ajusté'!H130="",'Historique ajusté'!H129=""),"",IF(ABS(LN('Historique ajusté'!H130/'Historique ajusté'!H129))&gt;Seuil_aberrant,"",'Historique ajusté'!H130/'Historique ajusté'!H129-1))</f>
        <v/>
      </c>
      <c r="I130" s="34">
        <f>IF(OR('Historique ajusté'!I130="",'Historique ajusté'!I129=""),"",IF(ABS(LN('Historique ajusté'!I130/'Historique ajusté'!I129))&gt;Seuil_aberrant,"",'Historique ajusté'!I130/'Historique ajusté'!I129-1))</f>
        <v/>
      </c>
      <c r="J130" s="34">
        <f>IF(OR('Historique ajusté'!J130="",'Historique ajusté'!J129=""),"",IF(ABS(LN('Historique ajusté'!J130/'Historique ajusté'!J129))&gt;Seuil_aberrant,"",'Historique ajusté'!J130/'Historique ajusté'!J129-1))</f>
        <v/>
      </c>
      <c r="K130" s="34">
        <f>IF(OR('Historique ajusté'!K130="",'Historique ajusté'!K129=""),"",IF(ABS(LN('Historique ajusté'!K130/'Historique ajusté'!K129))&gt;Seuil_aberrant,"",'Historique ajusté'!K130/'Historique ajusté'!K129-1))</f>
        <v/>
      </c>
      <c r="L130" s="34">
        <f>IF(OR('Historique ajusté'!L130="",'Historique ajusté'!L129=""),"",IF(ABS(LN('Historique ajusté'!L130/'Historique ajusté'!L129))&gt;Seuil_aberrant,"",'Historique ajusté'!L130/'Historique ajusté'!L129-1))</f>
        <v/>
      </c>
      <c r="M130" s="34">
        <f>IF(OR('Historique ajusté'!M130="",'Historique ajusté'!M129=""),"",IF(ABS(LN('Historique ajusté'!M130/'Historique ajusté'!M129))&gt;Seuil_aberrant,"",'Historique ajusté'!M130/'Historique ajusté'!M129-1))</f>
        <v/>
      </c>
      <c r="N130" s="34">
        <f>IF(OR('Historique ajusté'!N130="",'Historique ajusté'!N129=""),"",IF(ABS(LN('Historique ajusté'!N130/'Historique ajusté'!N129))&gt;Seuil_aberrant,"",'Historique ajusté'!N130/'Historique ajusté'!N129-1))</f>
        <v/>
      </c>
      <c r="O130" s="34">
        <f>IF(OR('Historique ajusté'!O130="",'Historique ajusté'!O129=""),"",IF(ABS(LN('Historique ajusté'!O130/'Historique ajusté'!O129))&gt;Seuil_aberrant,"",'Historique ajusté'!O130/'Historique ajusté'!O129-1))</f>
        <v/>
      </c>
      <c r="P130" s="34">
        <f>IF(OR('Historique ajusté'!P130="",'Historique ajusté'!P129=""),"",IF(ABS(LN('Historique ajusté'!P130/'Historique ajusté'!P129))&gt;Seuil_aberrant,"",'Historique ajusté'!P130/'Historique ajusté'!P129-1))</f>
        <v/>
      </c>
    </row>
    <row r="131">
      <c r="B131" s="32">
        <f>'Historique ajusté'!B131</f>
        <v/>
      </c>
      <c r="C131" s="34">
        <f>IF(OR('Historique ajusté'!C131="",'Historique ajusté'!C130=""),"",IF(ABS(LN('Historique ajusté'!C131/'Historique ajusté'!C130))&gt;Seuil_aberrant,"",'Historique ajusté'!C131/'Historique ajusté'!C130-1))</f>
        <v/>
      </c>
      <c r="D131" s="34">
        <f>IF(OR('Historique ajusté'!D131="",'Historique ajusté'!D130=""),"",IF(ABS(LN('Historique ajusté'!D131/'Historique ajusté'!D130))&gt;Seuil_aberrant,"",'Historique ajusté'!D131/'Historique ajusté'!D130-1))</f>
        <v/>
      </c>
      <c r="E131" s="34">
        <f>IF(OR('Historique ajusté'!E131="",'Historique ajusté'!E130=""),"",IF(ABS(LN('Historique ajusté'!E131/'Historique ajusté'!E130))&gt;Seuil_aberrant,"",'Historique ajusté'!E131/'Historique ajusté'!E130-1))</f>
        <v/>
      </c>
      <c r="F131" s="34">
        <f>IF(OR('Historique ajusté'!F131="",'Historique ajusté'!F130=""),"",IF(ABS(LN('Historique ajusté'!F131/'Historique ajusté'!F130))&gt;Seuil_aberrant,"",'Historique ajusté'!F131/'Historique ajusté'!F130-1))</f>
        <v/>
      </c>
      <c r="G131" s="34">
        <f>IF(OR('Historique ajusté'!G131="",'Historique ajusté'!G130=""),"",IF(ABS(LN('Historique ajusté'!G131/'Historique ajusté'!G130))&gt;Seuil_aberrant,"",'Historique ajusté'!G131/'Historique ajusté'!G130-1))</f>
        <v/>
      </c>
      <c r="H131" s="34">
        <f>IF(OR('Historique ajusté'!H131="",'Historique ajusté'!H130=""),"",IF(ABS(LN('Historique ajusté'!H131/'Historique ajusté'!H130))&gt;Seuil_aberrant,"",'Historique ajusté'!H131/'Historique ajusté'!H130-1))</f>
        <v/>
      </c>
      <c r="I131" s="34">
        <f>IF(OR('Historique ajusté'!I131="",'Historique ajusté'!I130=""),"",IF(ABS(LN('Historique ajusté'!I131/'Historique ajusté'!I130))&gt;Seuil_aberrant,"",'Historique ajusté'!I131/'Historique ajusté'!I130-1))</f>
        <v/>
      </c>
      <c r="J131" s="34">
        <f>IF(OR('Historique ajusté'!J131="",'Historique ajusté'!J130=""),"",IF(ABS(LN('Historique ajusté'!J131/'Historique ajusté'!J130))&gt;Seuil_aberrant,"",'Historique ajusté'!J131/'Historique ajusté'!J130-1))</f>
        <v/>
      </c>
      <c r="K131" s="34">
        <f>IF(OR('Historique ajusté'!K131="",'Historique ajusté'!K130=""),"",IF(ABS(LN('Historique ajusté'!K131/'Historique ajusté'!K130))&gt;Seuil_aberrant,"",'Historique ajusté'!K131/'Historique ajusté'!K130-1))</f>
        <v/>
      </c>
      <c r="L131" s="34">
        <f>IF(OR('Historique ajusté'!L131="",'Historique ajusté'!L130=""),"",IF(ABS(LN('Historique ajusté'!L131/'Historique ajusté'!L130))&gt;Seuil_aberrant,"",'Historique ajusté'!L131/'Historique ajusté'!L130-1))</f>
        <v/>
      </c>
      <c r="M131" s="34">
        <f>IF(OR('Historique ajusté'!M131="",'Historique ajusté'!M130=""),"",IF(ABS(LN('Historique ajusté'!M131/'Historique ajusté'!M130))&gt;Seuil_aberrant,"",'Historique ajusté'!M131/'Historique ajusté'!M130-1))</f>
        <v/>
      </c>
      <c r="N131" s="34">
        <f>IF(OR('Historique ajusté'!N131="",'Historique ajusté'!N130=""),"",IF(ABS(LN('Historique ajusté'!N131/'Historique ajusté'!N130))&gt;Seuil_aberrant,"",'Historique ajusté'!N131/'Historique ajusté'!N130-1))</f>
        <v/>
      </c>
      <c r="O131" s="34">
        <f>IF(OR('Historique ajusté'!O131="",'Historique ajusté'!O130=""),"",IF(ABS(LN('Historique ajusté'!O131/'Historique ajusté'!O130))&gt;Seuil_aberrant,"",'Historique ajusté'!O131/'Historique ajusté'!O130-1))</f>
        <v/>
      </c>
      <c r="P131" s="34">
        <f>IF(OR('Historique ajusté'!P131="",'Historique ajusté'!P130=""),"",IF(ABS(LN('Historique ajusté'!P131/'Historique ajusté'!P130))&gt;Seuil_aberrant,"",'Historique ajusté'!P131/'Historique ajusté'!P130-1))</f>
        <v/>
      </c>
    </row>
    <row r="132">
      <c r="B132" s="32">
        <f>'Historique ajusté'!B132</f>
        <v/>
      </c>
      <c r="C132" s="34">
        <f>IF(OR('Historique ajusté'!C132="",'Historique ajusté'!C131=""),"",IF(ABS(LN('Historique ajusté'!C132/'Historique ajusté'!C131))&gt;Seuil_aberrant,"",'Historique ajusté'!C132/'Historique ajusté'!C131-1))</f>
        <v/>
      </c>
      <c r="D132" s="34">
        <f>IF(OR('Historique ajusté'!D132="",'Historique ajusté'!D131=""),"",IF(ABS(LN('Historique ajusté'!D132/'Historique ajusté'!D131))&gt;Seuil_aberrant,"",'Historique ajusté'!D132/'Historique ajusté'!D131-1))</f>
        <v/>
      </c>
      <c r="E132" s="34">
        <f>IF(OR('Historique ajusté'!E132="",'Historique ajusté'!E131=""),"",IF(ABS(LN('Historique ajusté'!E132/'Historique ajusté'!E131))&gt;Seuil_aberrant,"",'Historique ajusté'!E132/'Historique ajusté'!E131-1))</f>
        <v/>
      </c>
      <c r="F132" s="34">
        <f>IF(OR('Historique ajusté'!F132="",'Historique ajusté'!F131=""),"",IF(ABS(LN('Historique ajusté'!F132/'Historique ajusté'!F131))&gt;Seuil_aberrant,"",'Historique ajusté'!F132/'Historique ajusté'!F131-1))</f>
        <v/>
      </c>
      <c r="G132" s="34">
        <f>IF(OR('Historique ajusté'!G132="",'Historique ajusté'!G131=""),"",IF(ABS(LN('Historique ajusté'!G132/'Historique ajusté'!G131))&gt;Seuil_aberrant,"",'Historique ajusté'!G132/'Historique ajusté'!G131-1))</f>
        <v/>
      </c>
      <c r="H132" s="34">
        <f>IF(OR('Historique ajusté'!H132="",'Historique ajusté'!H131=""),"",IF(ABS(LN('Historique ajusté'!H132/'Historique ajusté'!H131))&gt;Seuil_aberrant,"",'Historique ajusté'!H132/'Historique ajusté'!H131-1))</f>
        <v/>
      </c>
      <c r="I132" s="34">
        <f>IF(OR('Historique ajusté'!I132="",'Historique ajusté'!I131=""),"",IF(ABS(LN('Historique ajusté'!I132/'Historique ajusté'!I131))&gt;Seuil_aberrant,"",'Historique ajusté'!I132/'Historique ajusté'!I131-1))</f>
        <v/>
      </c>
      <c r="J132" s="34">
        <f>IF(OR('Historique ajusté'!J132="",'Historique ajusté'!J131=""),"",IF(ABS(LN('Historique ajusté'!J132/'Historique ajusté'!J131))&gt;Seuil_aberrant,"",'Historique ajusté'!J132/'Historique ajusté'!J131-1))</f>
        <v/>
      </c>
      <c r="K132" s="34">
        <f>IF(OR('Historique ajusté'!K132="",'Historique ajusté'!K131=""),"",IF(ABS(LN('Historique ajusté'!K132/'Historique ajusté'!K131))&gt;Seuil_aberrant,"",'Historique ajusté'!K132/'Historique ajusté'!K131-1))</f>
        <v/>
      </c>
      <c r="L132" s="34">
        <f>IF(OR('Historique ajusté'!L132="",'Historique ajusté'!L131=""),"",IF(ABS(LN('Historique ajusté'!L132/'Historique ajusté'!L131))&gt;Seuil_aberrant,"",'Historique ajusté'!L132/'Historique ajusté'!L131-1))</f>
        <v/>
      </c>
      <c r="M132" s="34">
        <f>IF(OR('Historique ajusté'!M132="",'Historique ajusté'!M131=""),"",IF(ABS(LN('Historique ajusté'!M132/'Historique ajusté'!M131))&gt;Seuil_aberrant,"",'Historique ajusté'!M132/'Historique ajusté'!M131-1))</f>
        <v/>
      </c>
      <c r="N132" s="34">
        <f>IF(OR('Historique ajusté'!N132="",'Historique ajusté'!N131=""),"",IF(ABS(LN('Historique ajusté'!N132/'Historique ajusté'!N131))&gt;Seuil_aberrant,"",'Historique ajusté'!N132/'Historique ajusté'!N131-1))</f>
        <v/>
      </c>
      <c r="O132" s="34">
        <f>IF(OR('Historique ajusté'!O132="",'Historique ajusté'!O131=""),"",IF(ABS(LN('Historique ajusté'!O132/'Historique ajusté'!O131))&gt;Seuil_aberrant,"",'Historique ajusté'!O132/'Historique ajusté'!O131-1))</f>
        <v/>
      </c>
      <c r="P132" s="34">
        <f>IF(OR('Historique ajusté'!P132="",'Historique ajusté'!P131=""),"",IF(ABS(LN('Historique ajusté'!P132/'Historique ajusté'!P131))&gt;Seuil_aberrant,"",'Historique ajusté'!P132/'Historique ajusté'!P131-1))</f>
        <v/>
      </c>
    </row>
    <row r="133">
      <c r="B133" s="32">
        <f>'Historique ajusté'!B133</f>
        <v/>
      </c>
      <c r="C133" s="34">
        <f>IF(OR('Historique ajusté'!C133="",'Historique ajusté'!C132=""),"",IF(ABS(LN('Historique ajusté'!C133/'Historique ajusté'!C132))&gt;Seuil_aberrant,"",'Historique ajusté'!C133/'Historique ajusté'!C132-1))</f>
        <v/>
      </c>
      <c r="D133" s="34">
        <f>IF(OR('Historique ajusté'!D133="",'Historique ajusté'!D132=""),"",IF(ABS(LN('Historique ajusté'!D133/'Historique ajusté'!D132))&gt;Seuil_aberrant,"",'Historique ajusté'!D133/'Historique ajusté'!D132-1))</f>
        <v/>
      </c>
      <c r="E133" s="34">
        <f>IF(OR('Historique ajusté'!E133="",'Historique ajusté'!E132=""),"",IF(ABS(LN('Historique ajusté'!E133/'Historique ajusté'!E132))&gt;Seuil_aberrant,"",'Historique ajusté'!E133/'Historique ajusté'!E132-1))</f>
        <v/>
      </c>
      <c r="F133" s="34">
        <f>IF(OR('Historique ajusté'!F133="",'Historique ajusté'!F132=""),"",IF(ABS(LN('Historique ajusté'!F133/'Historique ajusté'!F132))&gt;Seuil_aberrant,"",'Historique ajusté'!F133/'Historique ajusté'!F132-1))</f>
        <v/>
      </c>
      <c r="G133" s="34">
        <f>IF(OR('Historique ajusté'!G133="",'Historique ajusté'!G132=""),"",IF(ABS(LN('Historique ajusté'!G133/'Historique ajusté'!G132))&gt;Seuil_aberrant,"",'Historique ajusté'!G133/'Historique ajusté'!G132-1))</f>
        <v/>
      </c>
      <c r="H133" s="34">
        <f>IF(OR('Historique ajusté'!H133="",'Historique ajusté'!H132=""),"",IF(ABS(LN('Historique ajusté'!H133/'Historique ajusté'!H132))&gt;Seuil_aberrant,"",'Historique ajusté'!H133/'Historique ajusté'!H132-1))</f>
        <v/>
      </c>
      <c r="I133" s="34">
        <f>IF(OR('Historique ajusté'!I133="",'Historique ajusté'!I132=""),"",IF(ABS(LN('Historique ajusté'!I133/'Historique ajusté'!I132))&gt;Seuil_aberrant,"",'Historique ajusté'!I133/'Historique ajusté'!I132-1))</f>
        <v/>
      </c>
      <c r="J133" s="34">
        <f>IF(OR('Historique ajusté'!J133="",'Historique ajusté'!J132=""),"",IF(ABS(LN('Historique ajusté'!J133/'Historique ajusté'!J132))&gt;Seuil_aberrant,"",'Historique ajusté'!J133/'Historique ajusté'!J132-1))</f>
        <v/>
      </c>
      <c r="K133" s="34">
        <f>IF(OR('Historique ajusté'!K133="",'Historique ajusté'!K132=""),"",IF(ABS(LN('Historique ajusté'!K133/'Historique ajusté'!K132))&gt;Seuil_aberrant,"",'Historique ajusté'!K133/'Historique ajusté'!K132-1))</f>
        <v/>
      </c>
      <c r="L133" s="34">
        <f>IF(OR('Historique ajusté'!L133="",'Historique ajusté'!L132=""),"",IF(ABS(LN('Historique ajusté'!L133/'Historique ajusté'!L132))&gt;Seuil_aberrant,"",'Historique ajusté'!L133/'Historique ajusté'!L132-1))</f>
        <v/>
      </c>
      <c r="M133" s="34">
        <f>IF(OR('Historique ajusté'!M133="",'Historique ajusté'!M132=""),"",IF(ABS(LN('Historique ajusté'!M133/'Historique ajusté'!M132))&gt;Seuil_aberrant,"",'Historique ajusté'!M133/'Historique ajusté'!M132-1))</f>
        <v/>
      </c>
      <c r="N133" s="34">
        <f>IF(OR('Historique ajusté'!N133="",'Historique ajusté'!N132=""),"",IF(ABS(LN('Historique ajusté'!N133/'Historique ajusté'!N132))&gt;Seuil_aberrant,"",'Historique ajusté'!N133/'Historique ajusté'!N132-1))</f>
        <v/>
      </c>
      <c r="O133" s="34">
        <f>IF(OR('Historique ajusté'!O133="",'Historique ajusté'!O132=""),"",IF(ABS(LN('Historique ajusté'!O133/'Historique ajusté'!O132))&gt;Seuil_aberrant,"",'Historique ajusté'!O133/'Historique ajusté'!O132-1))</f>
        <v/>
      </c>
      <c r="P133" s="34">
        <f>IF(OR('Historique ajusté'!P133="",'Historique ajusté'!P132=""),"",IF(ABS(LN('Historique ajusté'!P133/'Historique ajusté'!P132))&gt;Seuil_aberrant,"",'Historique ajusté'!P133/'Historique ajusté'!P132-1))</f>
        <v/>
      </c>
    </row>
    <row r="134">
      <c r="B134" s="32">
        <f>'Historique ajusté'!B134</f>
        <v/>
      </c>
      <c r="C134" s="34">
        <f>IF(OR('Historique ajusté'!C134="",'Historique ajusté'!C133=""),"",IF(ABS(LN('Historique ajusté'!C134/'Historique ajusté'!C133))&gt;Seuil_aberrant,"",'Historique ajusté'!C134/'Historique ajusté'!C133-1))</f>
        <v/>
      </c>
      <c r="D134" s="34">
        <f>IF(OR('Historique ajusté'!D134="",'Historique ajusté'!D133=""),"",IF(ABS(LN('Historique ajusté'!D134/'Historique ajusté'!D133))&gt;Seuil_aberrant,"",'Historique ajusté'!D134/'Historique ajusté'!D133-1))</f>
        <v/>
      </c>
      <c r="E134" s="34">
        <f>IF(OR('Historique ajusté'!E134="",'Historique ajusté'!E133=""),"",IF(ABS(LN('Historique ajusté'!E134/'Historique ajusté'!E133))&gt;Seuil_aberrant,"",'Historique ajusté'!E134/'Historique ajusté'!E133-1))</f>
        <v/>
      </c>
      <c r="F134" s="34">
        <f>IF(OR('Historique ajusté'!F134="",'Historique ajusté'!F133=""),"",IF(ABS(LN('Historique ajusté'!F134/'Historique ajusté'!F133))&gt;Seuil_aberrant,"",'Historique ajusté'!F134/'Historique ajusté'!F133-1))</f>
        <v/>
      </c>
      <c r="G134" s="34">
        <f>IF(OR('Historique ajusté'!G134="",'Historique ajusté'!G133=""),"",IF(ABS(LN('Historique ajusté'!G134/'Historique ajusté'!G133))&gt;Seuil_aberrant,"",'Historique ajusté'!G134/'Historique ajusté'!G133-1))</f>
        <v/>
      </c>
      <c r="H134" s="34">
        <f>IF(OR('Historique ajusté'!H134="",'Historique ajusté'!H133=""),"",IF(ABS(LN('Historique ajusté'!H134/'Historique ajusté'!H133))&gt;Seuil_aberrant,"",'Historique ajusté'!H134/'Historique ajusté'!H133-1))</f>
        <v/>
      </c>
      <c r="I134" s="34">
        <f>IF(OR('Historique ajusté'!I134="",'Historique ajusté'!I133=""),"",IF(ABS(LN('Historique ajusté'!I134/'Historique ajusté'!I133))&gt;Seuil_aberrant,"",'Historique ajusté'!I134/'Historique ajusté'!I133-1))</f>
        <v/>
      </c>
      <c r="J134" s="34">
        <f>IF(OR('Historique ajusté'!J134="",'Historique ajusté'!J133=""),"",IF(ABS(LN('Historique ajusté'!J134/'Historique ajusté'!J133))&gt;Seuil_aberrant,"",'Historique ajusté'!J134/'Historique ajusté'!J133-1))</f>
        <v/>
      </c>
      <c r="K134" s="34">
        <f>IF(OR('Historique ajusté'!K134="",'Historique ajusté'!K133=""),"",IF(ABS(LN('Historique ajusté'!K134/'Historique ajusté'!K133))&gt;Seuil_aberrant,"",'Historique ajusté'!K134/'Historique ajusté'!K133-1))</f>
        <v/>
      </c>
      <c r="L134" s="34">
        <f>IF(OR('Historique ajusté'!L134="",'Historique ajusté'!L133=""),"",IF(ABS(LN('Historique ajusté'!L134/'Historique ajusté'!L133))&gt;Seuil_aberrant,"",'Historique ajusté'!L134/'Historique ajusté'!L133-1))</f>
        <v/>
      </c>
      <c r="M134" s="34">
        <f>IF(OR('Historique ajusté'!M134="",'Historique ajusté'!M133=""),"",IF(ABS(LN('Historique ajusté'!M134/'Historique ajusté'!M133))&gt;Seuil_aberrant,"",'Historique ajusté'!M134/'Historique ajusté'!M133-1))</f>
        <v/>
      </c>
      <c r="N134" s="34">
        <f>IF(OR('Historique ajusté'!N134="",'Historique ajusté'!N133=""),"",IF(ABS(LN('Historique ajusté'!N134/'Historique ajusté'!N133))&gt;Seuil_aberrant,"",'Historique ajusté'!N134/'Historique ajusté'!N133-1))</f>
        <v/>
      </c>
      <c r="O134" s="34">
        <f>IF(OR('Historique ajusté'!O134="",'Historique ajusté'!O133=""),"",IF(ABS(LN('Historique ajusté'!O134/'Historique ajusté'!O133))&gt;Seuil_aberrant,"",'Historique ajusté'!O134/'Historique ajusté'!O133-1))</f>
        <v/>
      </c>
      <c r="P134" s="34">
        <f>IF(OR('Historique ajusté'!P134="",'Historique ajusté'!P133=""),"",IF(ABS(LN('Historique ajusté'!P134/'Historique ajusté'!P133))&gt;Seuil_aberrant,"",'Historique ajusté'!P134/'Historique ajusté'!P133-1))</f>
        <v/>
      </c>
    </row>
    <row r="135">
      <c r="B135" s="32">
        <f>'Historique ajusté'!B135</f>
        <v/>
      </c>
      <c r="C135" s="34">
        <f>IF(OR('Historique ajusté'!C135="",'Historique ajusté'!C134=""),"",IF(ABS(LN('Historique ajusté'!C135/'Historique ajusté'!C134))&gt;Seuil_aberrant,"",'Historique ajusté'!C135/'Historique ajusté'!C134-1))</f>
        <v/>
      </c>
      <c r="D135" s="34">
        <f>IF(OR('Historique ajusté'!D135="",'Historique ajusté'!D134=""),"",IF(ABS(LN('Historique ajusté'!D135/'Historique ajusté'!D134))&gt;Seuil_aberrant,"",'Historique ajusté'!D135/'Historique ajusté'!D134-1))</f>
        <v/>
      </c>
      <c r="E135" s="34">
        <f>IF(OR('Historique ajusté'!E135="",'Historique ajusté'!E134=""),"",IF(ABS(LN('Historique ajusté'!E135/'Historique ajusté'!E134))&gt;Seuil_aberrant,"",'Historique ajusté'!E135/'Historique ajusté'!E134-1))</f>
        <v/>
      </c>
      <c r="F135" s="34">
        <f>IF(OR('Historique ajusté'!F135="",'Historique ajusté'!F134=""),"",IF(ABS(LN('Historique ajusté'!F135/'Historique ajusté'!F134))&gt;Seuil_aberrant,"",'Historique ajusté'!F135/'Historique ajusté'!F134-1))</f>
        <v/>
      </c>
      <c r="G135" s="34">
        <f>IF(OR('Historique ajusté'!G135="",'Historique ajusté'!G134=""),"",IF(ABS(LN('Historique ajusté'!G135/'Historique ajusté'!G134))&gt;Seuil_aberrant,"",'Historique ajusté'!G135/'Historique ajusté'!G134-1))</f>
        <v/>
      </c>
      <c r="H135" s="34">
        <f>IF(OR('Historique ajusté'!H135="",'Historique ajusté'!H134=""),"",IF(ABS(LN('Historique ajusté'!H135/'Historique ajusté'!H134))&gt;Seuil_aberrant,"",'Historique ajusté'!H135/'Historique ajusté'!H134-1))</f>
        <v/>
      </c>
      <c r="I135" s="34">
        <f>IF(OR('Historique ajusté'!I135="",'Historique ajusté'!I134=""),"",IF(ABS(LN('Historique ajusté'!I135/'Historique ajusté'!I134))&gt;Seuil_aberrant,"",'Historique ajusté'!I135/'Historique ajusté'!I134-1))</f>
        <v/>
      </c>
      <c r="J135" s="34">
        <f>IF(OR('Historique ajusté'!J135="",'Historique ajusté'!J134=""),"",IF(ABS(LN('Historique ajusté'!J135/'Historique ajusté'!J134))&gt;Seuil_aberrant,"",'Historique ajusté'!J135/'Historique ajusté'!J134-1))</f>
        <v/>
      </c>
      <c r="K135" s="34">
        <f>IF(OR('Historique ajusté'!K135="",'Historique ajusté'!K134=""),"",IF(ABS(LN('Historique ajusté'!K135/'Historique ajusté'!K134))&gt;Seuil_aberrant,"",'Historique ajusté'!K135/'Historique ajusté'!K134-1))</f>
        <v/>
      </c>
      <c r="L135" s="34">
        <f>IF(OR('Historique ajusté'!L135="",'Historique ajusté'!L134=""),"",IF(ABS(LN('Historique ajusté'!L135/'Historique ajusté'!L134))&gt;Seuil_aberrant,"",'Historique ajusté'!L135/'Historique ajusté'!L134-1))</f>
        <v/>
      </c>
      <c r="M135" s="34">
        <f>IF(OR('Historique ajusté'!M135="",'Historique ajusté'!M134=""),"",IF(ABS(LN('Historique ajusté'!M135/'Historique ajusté'!M134))&gt;Seuil_aberrant,"",'Historique ajusté'!M135/'Historique ajusté'!M134-1))</f>
        <v/>
      </c>
      <c r="N135" s="34">
        <f>IF(OR('Historique ajusté'!N135="",'Historique ajusté'!N134=""),"",IF(ABS(LN('Historique ajusté'!N135/'Historique ajusté'!N134))&gt;Seuil_aberrant,"",'Historique ajusté'!N135/'Historique ajusté'!N134-1))</f>
        <v/>
      </c>
      <c r="O135" s="34">
        <f>IF(OR('Historique ajusté'!O135="",'Historique ajusté'!O134=""),"",IF(ABS(LN('Historique ajusté'!O135/'Historique ajusté'!O134))&gt;Seuil_aberrant,"",'Historique ajusté'!O135/'Historique ajusté'!O134-1))</f>
        <v/>
      </c>
      <c r="P135" s="34">
        <f>IF(OR('Historique ajusté'!P135="",'Historique ajusté'!P134=""),"",IF(ABS(LN('Historique ajusté'!P135/'Historique ajusté'!P134))&gt;Seuil_aberrant,"",'Historique ajusté'!P135/'Historique ajusté'!P134-1))</f>
        <v/>
      </c>
    </row>
    <row r="136">
      <c r="B136" s="32">
        <f>'Historique ajusté'!B136</f>
        <v/>
      </c>
      <c r="C136" s="34">
        <f>IF(OR('Historique ajusté'!C136="",'Historique ajusté'!C135=""),"",IF(ABS(LN('Historique ajusté'!C136/'Historique ajusté'!C135))&gt;Seuil_aberrant,"",'Historique ajusté'!C136/'Historique ajusté'!C135-1))</f>
        <v/>
      </c>
      <c r="D136" s="34">
        <f>IF(OR('Historique ajusté'!D136="",'Historique ajusté'!D135=""),"",IF(ABS(LN('Historique ajusté'!D136/'Historique ajusté'!D135))&gt;Seuil_aberrant,"",'Historique ajusté'!D136/'Historique ajusté'!D135-1))</f>
        <v/>
      </c>
      <c r="E136" s="34">
        <f>IF(OR('Historique ajusté'!E136="",'Historique ajusté'!E135=""),"",IF(ABS(LN('Historique ajusté'!E136/'Historique ajusté'!E135))&gt;Seuil_aberrant,"",'Historique ajusté'!E136/'Historique ajusté'!E135-1))</f>
        <v/>
      </c>
      <c r="F136" s="34">
        <f>IF(OR('Historique ajusté'!F136="",'Historique ajusté'!F135=""),"",IF(ABS(LN('Historique ajusté'!F136/'Historique ajusté'!F135))&gt;Seuil_aberrant,"",'Historique ajusté'!F136/'Historique ajusté'!F135-1))</f>
        <v/>
      </c>
      <c r="G136" s="34">
        <f>IF(OR('Historique ajusté'!G136="",'Historique ajusté'!G135=""),"",IF(ABS(LN('Historique ajusté'!G136/'Historique ajusté'!G135))&gt;Seuil_aberrant,"",'Historique ajusté'!G136/'Historique ajusté'!G135-1))</f>
        <v/>
      </c>
      <c r="H136" s="34">
        <f>IF(OR('Historique ajusté'!H136="",'Historique ajusté'!H135=""),"",IF(ABS(LN('Historique ajusté'!H136/'Historique ajusté'!H135))&gt;Seuil_aberrant,"",'Historique ajusté'!H136/'Historique ajusté'!H135-1))</f>
        <v/>
      </c>
      <c r="I136" s="34">
        <f>IF(OR('Historique ajusté'!I136="",'Historique ajusté'!I135=""),"",IF(ABS(LN('Historique ajusté'!I136/'Historique ajusté'!I135))&gt;Seuil_aberrant,"",'Historique ajusté'!I136/'Historique ajusté'!I135-1))</f>
        <v/>
      </c>
      <c r="J136" s="34">
        <f>IF(OR('Historique ajusté'!J136="",'Historique ajusté'!J135=""),"",IF(ABS(LN('Historique ajusté'!J136/'Historique ajusté'!J135))&gt;Seuil_aberrant,"",'Historique ajusté'!J136/'Historique ajusté'!J135-1))</f>
        <v/>
      </c>
      <c r="K136" s="34">
        <f>IF(OR('Historique ajusté'!K136="",'Historique ajusté'!K135=""),"",IF(ABS(LN('Historique ajusté'!K136/'Historique ajusté'!K135))&gt;Seuil_aberrant,"",'Historique ajusté'!K136/'Historique ajusté'!K135-1))</f>
        <v/>
      </c>
      <c r="L136" s="34">
        <f>IF(OR('Historique ajusté'!L136="",'Historique ajusté'!L135=""),"",IF(ABS(LN('Historique ajusté'!L136/'Historique ajusté'!L135))&gt;Seuil_aberrant,"",'Historique ajusté'!L136/'Historique ajusté'!L135-1))</f>
        <v/>
      </c>
      <c r="M136" s="34">
        <f>IF(OR('Historique ajusté'!M136="",'Historique ajusté'!M135=""),"",IF(ABS(LN('Historique ajusté'!M136/'Historique ajusté'!M135))&gt;Seuil_aberrant,"",'Historique ajusté'!M136/'Historique ajusté'!M135-1))</f>
        <v/>
      </c>
      <c r="N136" s="34">
        <f>IF(OR('Historique ajusté'!N136="",'Historique ajusté'!N135=""),"",IF(ABS(LN('Historique ajusté'!N136/'Historique ajusté'!N135))&gt;Seuil_aberrant,"",'Historique ajusté'!N136/'Historique ajusté'!N135-1))</f>
        <v/>
      </c>
      <c r="O136" s="34">
        <f>IF(OR('Historique ajusté'!O136="",'Historique ajusté'!O135=""),"",IF(ABS(LN('Historique ajusté'!O136/'Historique ajusté'!O135))&gt;Seuil_aberrant,"",'Historique ajusté'!O136/'Historique ajusté'!O135-1))</f>
        <v/>
      </c>
      <c r="P136" s="34">
        <f>IF(OR('Historique ajusté'!P136="",'Historique ajusté'!P135=""),"",IF(ABS(LN('Historique ajusté'!P136/'Historique ajusté'!P135))&gt;Seuil_aberrant,"",'Historique ajusté'!P136/'Historique ajusté'!P135-1))</f>
        <v/>
      </c>
    </row>
    <row r="137">
      <c r="B137" s="32">
        <f>'Historique ajusté'!B137</f>
        <v/>
      </c>
      <c r="C137" s="34">
        <f>IF(OR('Historique ajusté'!C137="",'Historique ajusté'!C136=""),"",IF(ABS(LN('Historique ajusté'!C137/'Historique ajusté'!C136))&gt;Seuil_aberrant,"",'Historique ajusté'!C137/'Historique ajusté'!C136-1))</f>
        <v/>
      </c>
      <c r="D137" s="34">
        <f>IF(OR('Historique ajusté'!D137="",'Historique ajusté'!D136=""),"",IF(ABS(LN('Historique ajusté'!D137/'Historique ajusté'!D136))&gt;Seuil_aberrant,"",'Historique ajusté'!D137/'Historique ajusté'!D136-1))</f>
        <v/>
      </c>
      <c r="E137" s="34">
        <f>IF(OR('Historique ajusté'!E137="",'Historique ajusté'!E136=""),"",IF(ABS(LN('Historique ajusté'!E137/'Historique ajusté'!E136))&gt;Seuil_aberrant,"",'Historique ajusté'!E137/'Historique ajusté'!E136-1))</f>
        <v/>
      </c>
      <c r="F137" s="34">
        <f>IF(OR('Historique ajusté'!F137="",'Historique ajusté'!F136=""),"",IF(ABS(LN('Historique ajusté'!F137/'Historique ajusté'!F136))&gt;Seuil_aberrant,"",'Historique ajusté'!F137/'Historique ajusté'!F136-1))</f>
        <v/>
      </c>
      <c r="G137" s="34">
        <f>IF(OR('Historique ajusté'!G137="",'Historique ajusté'!G136=""),"",IF(ABS(LN('Historique ajusté'!G137/'Historique ajusté'!G136))&gt;Seuil_aberrant,"",'Historique ajusté'!G137/'Historique ajusté'!G136-1))</f>
        <v/>
      </c>
      <c r="H137" s="34">
        <f>IF(OR('Historique ajusté'!H137="",'Historique ajusté'!H136=""),"",IF(ABS(LN('Historique ajusté'!H137/'Historique ajusté'!H136))&gt;Seuil_aberrant,"",'Historique ajusté'!H137/'Historique ajusté'!H136-1))</f>
        <v/>
      </c>
      <c r="I137" s="34">
        <f>IF(OR('Historique ajusté'!I137="",'Historique ajusté'!I136=""),"",IF(ABS(LN('Historique ajusté'!I137/'Historique ajusté'!I136))&gt;Seuil_aberrant,"",'Historique ajusté'!I137/'Historique ajusté'!I136-1))</f>
        <v/>
      </c>
      <c r="J137" s="34">
        <f>IF(OR('Historique ajusté'!J137="",'Historique ajusté'!J136=""),"",IF(ABS(LN('Historique ajusté'!J137/'Historique ajusté'!J136))&gt;Seuil_aberrant,"",'Historique ajusté'!J137/'Historique ajusté'!J136-1))</f>
        <v/>
      </c>
      <c r="K137" s="34">
        <f>IF(OR('Historique ajusté'!K137="",'Historique ajusté'!K136=""),"",IF(ABS(LN('Historique ajusté'!K137/'Historique ajusté'!K136))&gt;Seuil_aberrant,"",'Historique ajusté'!K137/'Historique ajusté'!K136-1))</f>
        <v/>
      </c>
      <c r="L137" s="34">
        <f>IF(OR('Historique ajusté'!L137="",'Historique ajusté'!L136=""),"",IF(ABS(LN('Historique ajusté'!L137/'Historique ajusté'!L136))&gt;Seuil_aberrant,"",'Historique ajusté'!L137/'Historique ajusté'!L136-1))</f>
        <v/>
      </c>
      <c r="M137" s="34">
        <f>IF(OR('Historique ajusté'!M137="",'Historique ajusté'!M136=""),"",IF(ABS(LN('Historique ajusté'!M137/'Historique ajusté'!M136))&gt;Seuil_aberrant,"",'Historique ajusté'!M137/'Historique ajusté'!M136-1))</f>
        <v/>
      </c>
      <c r="N137" s="34">
        <f>IF(OR('Historique ajusté'!N137="",'Historique ajusté'!N136=""),"",IF(ABS(LN('Historique ajusté'!N137/'Historique ajusté'!N136))&gt;Seuil_aberrant,"",'Historique ajusté'!N137/'Historique ajusté'!N136-1))</f>
        <v/>
      </c>
      <c r="O137" s="34">
        <f>IF(OR('Historique ajusté'!O137="",'Historique ajusté'!O136=""),"",IF(ABS(LN('Historique ajusté'!O137/'Historique ajusté'!O136))&gt;Seuil_aberrant,"",'Historique ajusté'!O137/'Historique ajusté'!O136-1))</f>
        <v/>
      </c>
      <c r="P137" s="34">
        <f>IF(OR('Historique ajusté'!P137="",'Historique ajusté'!P136=""),"",IF(ABS(LN('Historique ajusté'!P137/'Historique ajusté'!P136))&gt;Seuil_aberrant,"",'Historique ajusté'!P137/'Historique ajusté'!P136-1))</f>
        <v/>
      </c>
    </row>
    <row r="138">
      <c r="B138" s="32">
        <f>'Historique ajusté'!B138</f>
        <v/>
      </c>
      <c r="C138" s="34">
        <f>IF(OR('Historique ajusté'!C138="",'Historique ajusté'!C137=""),"",IF(ABS(LN('Historique ajusté'!C138/'Historique ajusté'!C137))&gt;Seuil_aberrant,"",'Historique ajusté'!C138/'Historique ajusté'!C137-1))</f>
        <v/>
      </c>
      <c r="D138" s="34">
        <f>IF(OR('Historique ajusté'!D138="",'Historique ajusté'!D137=""),"",IF(ABS(LN('Historique ajusté'!D138/'Historique ajusté'!D137))&gt;Seuil_aberrant,"",'Historique ajusté'!D138/'Historique ajusté'!D137-1))</f>
        <v/>
      </c>
      <c r="E138" s="34">
        <f>IF(OR('Historique ajusté'!E138="",'Historique ajusté'!E137=""),"",IF(ABS(LN('Historique ajusté'!E138/'Historique ajusté'!E137))&gt;Seuil_aberrant,"",'Historique ajusté'!E138/'Historique ajusté'!E137-1))</f>
        <v/>
      </c>
      <c r="F138" s="34">
        <f>IF(OR('Historique ajusté'!F138="",'Historique ajusté'!F137=""),"",IF(ABS(LN('Historique ajusté'!F138/'Historique ajusté'!F137))&gt;Seuil_aberrant,"",'Historique ajusté'!F138/'Historique ajusté'!F137-1))</f>
        <v/>
      </c>
      <c r="G138" s="34">
        <f>IF(OR('Historique ajusté'!G138="",'Historique ajusté'!G137=""),"",IF(ABS(LN('Historique ajusté'!G138/'Historique ajusté'!G137))&gt;Seuil_aberrant,"",'Historique ajusté'!G138/'Historique ajusté'!G137-1))</f>
        <v/>
      </c>
      <c r="H138" s="34">
        <f>IF(OR('Historique ajusté'!H138="",'Historique ajusté'!H137=""),"",IF(ABS(LN('Historique ajusté'!H138/'Historique ajusté'!H137))&gt;Seuil_aberrant,"",'Historique ajusté'!H138/'Historique ajusté'!H137-1))</f>
        <v/>
      </c>
      <c r="I138" s="34">
        <f>IF(OR('Historique ajusté'!I138="",'Historique ajusté'!I137=""),"",IF(ABS(LN('Historique ajusté'!I138/'Historique ajusté'!I137))&gt;Seuil_aberrant,"",'Historique ajusté'!I138/'Historique ajusté'!I137-1))</f>
        <v/>
      </c>
      <c r="J138" s="34">
        <f>IF(OR('Historique ajusté'!J138="",'Historique ajusté'!J137=""),"",IF(ABS(LN('Historique ajusté'!J138/'Historique ajusté'!J137))&gt;Seuil_aberrant,"",'Historique ajusté'!J138/'Historique ajusté'!J137-1))</f>
        <v/>
      </c>
      <c r="K138" s="34">
        <f>IF(OR('Historique ajusté'!K138="",'Historique ajusté'!K137=""),"",IF(ABS(LN('Historique ajusté'!K138/'Historique ajusté'!K137))&gt;Seuil_aberrant,"",'Historique ajusté'!K138/'Historique ajusté'!K137-1))</f>
        <v/>
      </c>
      <c r="L138" s="34">
        <f>IF(OR('Historique ajusté'!L138="",'Historique ajusté'!L137=""),"",IF(ABS(LN('Historique ajusté'!L138/'Historique ajusté'!L137))&gt;Seuil_aberrant,"",'Historique ajusté'!L138/'Historique ajusté'!L137-1))</f>
        <v/>
      </c>
      <c r="M138" s="34">
        <f>IF(OR('Historique ajusté'!M138="",'Historique ajusté'!M137=""),"",IF(ABS(LN('Historique ajusté'!M138/'Historique ajusté'!M137))&gt;Seuil_aberrant,"",'Historique ajusté'!M138/'Historique ajusté'!M137-1))</f>
        <v/>
      </c>
      <c r="N138" s="34">
        <f>IF(OR('Historique ajusté'!N138="",'Historique ajusté'!N137=""),"",IF(ABS(LN('Historique ajusté'!N138/'Historique ajusté'!N137))&gt;Seuil_aberrant,"",'Historique ajusté'!N138/'Historique ajusté'!N137-1))</f>
        <v/>
      </c>
      <c r="O138" s="34">
        <f>IF(OR('Historique ajusté'!O138="",'Historique ajusté'!O137=""),"",IF(ABS(LN('Historique ajusté'!O138/'Historique ajusté'!O137))&gt;Seuil_aberrant,"",'Historique ajusté'!O138/'Historique ajusté'!O137-1))</f>
        <v/>
      </c>
      <c r="P138" s="34">
        <f>IF(OR('Historique ajusté'!P138="",'Historique ajusté'!P137=""),"",IF(ABS(LN('Historique ajusté'!P138/'Historique ajusté'!P137))&gt;Seuil_aberrant,"",'Historique ajusté'!P138/'Historique ajusté'!P137-1))</f>
        <v/>
      </c>
    </row>
    <row r="139">
      <c r="B139" s="32">
        <f>'Historique ajusté'!B139</f>
        <v/>
      </c>
      <c r="C139" s="34">
        <f>IF(OR('Historique ajusté'!C139="",'Historique ajusté'!C138=""),"",IF(ABS(LN('Historique ajusté'!C139/'Historique ajusté'!C138))&gt;Seuil_aberrant,"",'Historique ajusté'!C139/'Historique ajusté'!C138-1))</f>
        <v/>
      </c>
      <c r="D139" s="34">
        <f>IF(OR('Historique ajusté'!D139="",'Historique ajusté'!D138=""),"",IF(ABS(LN('Historique ajusté'!D139/'Historique ajusté'!D138))&gt;Seuil_aberrant,"",'Historique ajusté'!D139/'Historique ajusté'!D138-1))</f>
        <v/>
      </c>
      <c r="E139" s="34">
        <f>IF(OR('Historique ajusté'!E139="",'Historique ajusté'!E138=""),"",IF(ABS(LN('Historique ajusté'!E139/'Historique ajusté'!E138))&gt;Seuil_aberrant,"",'Historique ajusté'!E139/'Historique ajusté'!E138-1))</f>
        <v/>
      </c>
      <c r="F139" s="34">
        <f>IF(OR('Historique ajusté'!F139="",'Historique ajusté'!F138=""),"",IF(ABS(LN('Historique ajusté'!F139/'Historique ajusté'!F138))&gt;Seuil_aberrant,"",'Historique ajusté'!F139/'Historique ajusté'!F138-1))</f>
        <v/>
      </c>
      <c r="G139" s="34">
        <f>IF(OR('Historique ajusté'!G139="",'Historique ajusté'!G138=""),"",IF(ABS(LN('Historique ajusté'!G139/'Historique ajusté'!G138))&gt;Seuil_aberrant,"",'Historique ajusté'!G139/'Historique ajusté'!G138-1))</f>
        <v/>
      </c>
      <c r="H139" s="34">
        <f>IF(OR('Historique ajusté'!H139="",'Historique ajusté'!H138=""),"",IF(ABS(LN('Historique ajusté'!H139/'Historique ajusté'!H138))&gt;Seuil_aberrant,"",'Historique ajusté'!H139/'Historique ajusté'!H138-1))</f>
        <v/>
      </c>
      <c r="I139" s="34">
        <f>IF(OR('Historique ajusté'!I139="",'Historique ajusté'!I138=""),"",IF(ABS(LN('Historique ajusté'!I139/'Historique ajusté'!I138))&gt;Seuil_aberrant,"",'Historique ajusté'!I139/'Historique ajusté'!I138-1))</f>
        <v/>
      </c>
      <c r="J139" s="34">
        <f>IF(OR('Historique ajusté'!J139="",'Historique ajusté'!J138=""),"",IF(ABS(LN('Historique ajusté'!J139/'Historique ajusté'!J138))&gt;Seuil_aberrant,"",'Historique ajusté'!J139/'Historique ajusté'!J138-1))</f>
        <v/>
      </c>
      <c r="K139" s="34">
        <f>IF(OR('Historique ajusté'!K139="",'Historique ajusté'!K138=""),"",IF(ABS(LN('Historique ajusté'!K139/'Historique ajusté'!K138))&gt;Seuil_aberrant,"",'Historique ajusté'!K139/'Historique ajusté'!K138-1))</f>
        <v/>
      </c>
      <c r="L139" s="34">
        <f>IF(OR('Historique ajusté'!L139="",'Historique ajusté'!L138=""),"",IF(ABS(LN('Historique ajusté'!L139/'Historique ajusté'!L138))&gt;Seuil_aberrant,"",'Historique ajusté'!L139/'Historique ajusté'!L138-1))</f>
        <v/>
      </c>
      <c r="M139" s="34">
        <f>IF(OR('Historique ajusté'!M139="",'Historique ajusté'!M138=""),"",IF(ABS(LN('Historique ajusté'!M139/'Historique ajusté'!M138))&gt;Seuil_aberrant,"",'Historique ajusté'!M139/'Historique ajusté'!M138-1))</f>
        <v/>
      </c>
      <c r="N139" s="34">
        <f>IF(OR('Historique ajusté'!N139="",'Historique ajusté'!N138=""),"",IF(ABS(LN('Historique ajusté'!N139/'Historique ajusté'!N138))&gt;Seuil_aberrant,"",'Historique ajusté'!N139/'Historique ajusté'!N138-1))</f>
        <v/>
      </c>
      <c r="O139" s="34">
        <f>IF(OR('Historique ajusté'!O139="",'Historique ajusté'!O138=""),"",IF(ABS(LN('Historique ajusté'!O139/'Historique ajusté'!O138))&gt;Seuil_aberrant,"",'Historique ajusté'!O139/'Historique ajusté'!O138-1))</f>
        <v/>
      </c>
      <c r="P139" s="34">
        <f>IF(OR('Historique ajusté'!P139="",'Historique ajusté'!P138=""),"",IF(ABS(LN('Historique ajusté'!P139/'Historique ajusté'!P138))&gt;Seuil_aberrant,"",'Historique ajusté'!P139/'Historique ajusté'!P138-1))</f>
        <v/>
      </c>
    </row>
    <row r="140">
      <c r="B140" s="32">
        <f>'Historique ajusté'!B140</f>
        <v/>
      </c>
      <c r="C140" s="34">
        <f>IF(OR('Historique ajusté'!C140="",'Historique ajusté'!C139=""),"",IF(ABS(LN('Historique ajusté'!C140/'Historique ajusté'!C139))&gt;Seuil_aberrant,"",'Historique ajusté'!C140/'Historique ajusté'!C139-1))</f>
        <v/>
      </c>
      <c r="D140" s="34">
        <f>IF(OR('Historique ajusté'!D140="",'Historique ajusté'!D139=""),"",IF(ABS(LN('Historique ajusté'!D140/'Historique ajusté'!D139))&gt;Seuil_aberrant,"",'Historique ajusté'!D140/'Historique ajusté'!D139-1))</f>
        <v/>
      </c>
      <c r="E140" s="34">
        <f>IF(OR('Historique ajusté'!E140="",'Historique ajusté'!E139=""),"",IF(ABS(LN('Historique ajusté'!E140/'Historique ajusté'!E139))&gt;Seuil_aberrant,"",'Historique ajusté'!E140/'Historique ajusté'!E139-1))</f>
        <v/>
      </c>
      <c r="F140" s="34">
        <f>IF(OR('Historique ajusté'!F140="",'Historique ajusté'!F139=""),"",IF(ABS(LN('Historique ajusté'!F140/'Historique ajusté'!F139))&gt;Seuil_aberrant,"",'Historique ajusté'!F140/'Historique ajusté'!F139-1))</f>
        <v/>
      </c>
      <c r="G140" s="34">
        <f>IF(OR('Historique ajusté'!G140="",'Historique ajusté'!G139=""),"",IF(ABS(LN('Historique ajusté'!G140/'Historique ajusté'!G139))&gt;Seuil_aberrant,"",'Historique ajusté'!G140/'Historique ajusté'!G139-1))</f>
        <v/>
      </c>
      <c r="H140" s="34">
        <f>IF(OR('Historique ajusté'!H140="",'Historique ajusté'!H139=""),"",IF(ABS(LN('Historique ajusté'!H140/'Historique ajusté'!H139))&gt;Seuil_aberrant,"",'Historique ajusté'!H140/'Historique ajusté'!H139-1))</f>
        <v/>
      </c>
      <c r="I140" s="34">
        <f>IF(OR('Historique ajusté'!I140="",'Historique ajusté'!I139=""),"",IF(ABS(LN('Historique ajusté'!I140/'Historique ajusté'!I139))&gt;Seuil_aberrant,"",'Historique ajusté'!I140/'Historique ajusté'!I139-1))</f>
        <v/>
      </c>
      <c r="J140" s="34">
        <f>IF(OR('Historique ajusté'!J140="",'Historique ajusté'!J139=""),"",IF(ABS(LN('Historique ajusté'!J140/'Historique ajusté'!J139))&gt;Seuil_aberrant,"",'Historique ajusté'!J140/'Historique ajusté'!J139-1))</f>
        <v/>
      </c>
      <c r="K140" s="34">
        <f>IF(OR('Historique ajusté'!K140="",'Historique ajusté'!K139=""),"",IF(ABS(LN('Historique ajusté'!K140/'Historique ajusté'!K139))&gt;Seuil_aberrant,"",'Historique ajusté'!K140/'Historique ajusté'!K139-1))</f>
        <v/>
      </c>
      <c r="L140" s="34">
        <f>IF(OR('Historique ajusté'!L140="",'Historique ajusté'!L139=""),"",IF(ABS(LN('Historique ajusté'!L140/'Historique ajusté'!L139))&gt;Seuil_aberrant,"",'Historique ajusté'!L140/'Historique ajusté'!L139-1))</f>
        <v/>
      </c>
      <c r="M140" s="34">
        <f>IF(OR('Historique ajusté'!M140="",'Historique ajusté'!M139=""),"",IF(ABS(LN('Historique ajusté'!M140/'Historique ajusté'!M139))&gt;Seuil_aberrant,"",'Historique ajusté'!M140/'Historique ajusté'!M139-1))</f>
        <v/>
      </c>
      <c r="N140" s="34">
        <f>IF(OR('Historique ajusté'!N140="",'Historique ajusté'!N139=""),"",IF(ABS(LN('Historique ajusté'!N140/'Historique ajusté'!N139))&gt;Seuil_aberrant,"",'Historique ajusté'!N140/'Historique ajusté'!N139-1))</f>
        <v/>
      </c>
      <c r="O140" s="34">
        <f>IF(OR('Historique ajusté'!O140="",'Historique ajusté'!O139=""),"",IF(ABS(LN('Historique ajusté'!O140/'Historique ajusté'!O139))&gt;Seuil_aberrant,"",'Historique ajusté'!O140/'Historique ajusté'!O139-1))</f>
        <v/>
      </c>
      <c r="P140" s="34">
        <f>IF(OR('Historique ajusté'!P140="",'Historique ajusté'!P139=""),"",IF(ABS(LN('Historique ajusté'!P140/'Historique ajusté'!P139))&gt;Seuil_aberrant,"",'Historique ajusté'!P140/'Historique ajusté'!P139-1))</f>
        <v/>
      </c>
    </row>
    <row r="141">
      <c r="B141" s="32">
        <f>'Historique ajusté'!B141</f>
        <v/>
      </c>
      <c r="C141" s="34">
        <f>IF(OR('Historique ajusté'!C141="",'Historique ajusté'!C140=""),"",IF(ABS(LN('Historique ajusté'!C141/'Historique ajusté'!C140))&gt;Seuil_aberrant,"",'Historique ajusté'!C141/'Historique ajusté'!C140-1))</f>
        <v/>
      </c>
      <c r="D141" s="34">
        <f>IF(OR('Historique ajusté'!D141="",'Historique ajusté'!D140=""),"",IF(ABS(LN('Historique ajusté'!D141/'Historique ajusté'!D140))&gt;Seuil_aberrant,"",'Historique ajusté'!D141/'Historique ajusté'!D140-1))</f>
        <v/>
      </c>
      <c r="E141" s="34">
        <f>IF(OR('Historique ajusté'!E141="",'Historique ajusté'!E140=""),"",IF(ABS(LN('Historique ajusté'!E141/'Historique ajusté'!E140))&gt;Seuil_aberrant,"",'Historique ajusté'!E141/'Historique ajusté'!E140-1))</f>
        <v/>
      </c>
      <c r="F141" s="34">
        <f>IF(OR('Historique ajusté'!F141="",'Historique ajusté'!F140=""),"",IF(ABS(LN('Historique ajusté'!F141/'Historique ajusté'!F140))&gt;Seuil_aberrant,"",'Historique ajusté'!F141/'Historique ajusté'!F140-1))</f>
        <v/>
      </c>
      <c r="G141" s="34">
        <f>IF(OR('Historique ajusté'!G141="",'Historique ajusté'!G140=""),"",IF(ABS(LN('Historique ajusté'!G141/'Historique ajusté'!G140))&gt;Seuil_aberrant,"",'Historique ajusté'!G141/'Historique ajusté'!G140-1))</f>
        <v/>
      </c>
      <c r="H141" s="34">
        <f>IF(OR('Historique ajusté'!H141="",'Historique ajusté'!H140=""),"",IF(ABS(LN('Historique ajusté'!H141/'Historique ajusté'!H140))&gt;Seuil_aberrant,"",'Historique ajusté'!H141/'Historique ajusté'!H140-1))</f>
        <v/>
      </c>
      <c r="I141" s="34">
        <f>IF(OR('Historique ajusté'!I141="",'Historique ajusté'!I140=""),"",IF(ABS(LN('Historique ajusté'!I141/'Historique ajusté'!I140))&gt;Seuil_aberrant,"",'Historique ajusté'!I141/'Historique ajusté'!I140-1))</f>
        <v/>
      </c>
      <c r="J141" s="34">
        <f>IF(OR('Historique ajusté'!J141="",'Historique ajusté'!J140=""),"",IF(ABS(LN('Historique ajusté'!J141/'Historique ajusté'!J140))&gt;Seuil_aberrant,"",'Historique ajusté'!J141/'Historique ajusté'!J140-1))</f>
        <v/>
      </c>
      <c r="K141" s="34">
        <f>IF(OR('Historique ajusté'!K141="",'Historique ajusté'!K140=""),"",IF(ABS(LN('Historique ajusté'!K141/'Historique ajusté'!K140))&gt;Seuil_aberrant,"",'Historique ajusté'!K141/'Historique ajusté'!K140-1))</f>
        <v/>
      </c>
      <c r="L141" s="34">
        <f>IF(OR('Historique ajusté'!L141="",'Historique ajusté'!L140=""),"",IF(ABS(LN('Historique ajusté'!L141/'Historique ajusté'!L140))&gt;Seuil_aberrant,"",'Historique ajusté'!L141/'Historique ajusté'!L140-1))</f>
        <v/>
      </c>
      <c r="M141" s="34">
        <f>IF(OR('Historique ajusté'!M141="",'Historique ajusté'!M140=""),"",IF(ABS(LN('Historique ajusté'!M141/'Historique ajusté'!M140))&gt;Seuil_aberrant,"",'Historique ajusté'!M141/'Historique ajusté'!M140-1))</f>
        <v/>
      </c>
      <c r="N141" s="34">
        <f>IF(OR('Historique ajusté'!N141="",'Historique ajusté'!N140=""),"",IF(ABS(LN('Historique ajusté'!N141/'Historique ajusté'!N140))&gt;Seuil_aberrant,"",'Historique ajusté'!N141/'Historique ajusté'!N140-1))</f>
        <v/>
      </c>
      <c r="O141" s="34">
        <f>IF(OR('Historique ajusté'!O141="",'Historique ajusté'!O140=""),"",IF(ABS(LN('Historique ajusté'!O141/'Historique ajusté'!O140))&gt;Seuil_aberrant,"",'Historique ajusté'!O141/'Historique ajusté'!O140-1))</f>
        <v/>
      </c>
      <c r="P141" s="34">
        <f>IF(OR('Historique ajusté'!P141="",'Historique ajusté'!P140=""),"",IF(ABS(LN('Historique ajusté'!P141/'Historique ajusté'!P140))&gt;Seuil_aberrant,"",'Historique ajusté'!P141/'Historique ajusté'!P140-1))</f>
        <v/>
      </c>
    </row>
    <row r="142">
      <c r="B142" s="32">
        <f>'Historique ajusté'!B142</f>
        <v/>
      </c>
      <c r="C142" s="34">
        <f>IF(OR('Historique ajusté'!C142="",'Historique ajusté'!C141=""),"",IF(ABS(LN('Historique ajusté'!C142/'Historique ajusté'!C141))&gt;Seuil_aberrant,"",'Historique ajusté'!C142/'Historique ajusté'!C141-1))</f>
        <v/>
      </c>
      <c r="D142" s="34">
        <f>IF(OR('Historique ajusté'!D142="",'Historique ajusté'!D141=""),"",IF(ABS(LN('Historique ajusté'!D142/'Historique ajusté'!D141))&gt;Seuil_aberrant,"",'Historique ajusté'!D142/'Historique ajusté'!D141-1))</f>
        <v/>
      </c>
      <c r="E142" s="34">
        <f>IF(OR('Historique ajusté'!E142="",'Historique ajusté'!E141=""),"",IF(ABS(LN('Historique ajusté'!E142/'Historique ajusté'!E141))&gt;Seuil_aberrant,"",'Historique ajusté'!E142/'Historique ajusté'!E141-1))</f>
        <v/>
      </c>
      <c r="F142" s="34">
        <f>IF(OR('Historique ajusté'!F142="",'Historique ajusté'!F141=""),"",IF(ABS(LN('Historique ajusté'!F142/'Historique ajusté'!F141))&gt;Seuil_aberrant,"",'Historique ajusté'!F142/'Historique ajusté'!F141-1))</f>
        <v/>
      </c>
      <c r="G142" s="34">
        <f>IF(OR('Historique ajusté'!G142="",'Historique ajusté'!G141=""),"",IF(ABS(LN('Historique ajusté'!G142/'Historique ajusté'!G141))&gt;Seuil_aberrant,"",'Historique ajusté'!G142/'Historique ajusté'!G141-1))</f>
        <v/>
      </c>
      <c r="H142" s="34">
        <f>IF(OR('Historique ajusté'!H142="",'Historique ajusté'!H141=""),"",IF(ABS(LN('Historique ajusté'!H142/'Historique ajusté'!H141))&gt;Seuil_aberrant,"",'Historique ajusté'!H142/'Historique ajusté'!H141-1))</f>
        <v/>
      </c>
      <c r="I142" s="34">
        <f>IF(OR('Historique ajusté'!I142="",'Historique ajusté'!I141=""),"",IF(ABS(LN('Historique ajusté'!I142/'Historique ajusté'!I141))&gt;Seuil_aberrant,"",'Historique ajusté'!I142/'Historique ajusté'!I141-1))</f>
        <v/>
      </c>
      <c r="J142" s="34">
        <f>IF(OR('Historique ajusté'!J142="",'Historique ajusté'!J141=""),"",IF(ABS(LN('Historique ajusté'!J142/'Historique ajusté'!J141))&gt;Seuil_aberrant,"",'Historique ajusté'!J142/'Historique ajusté'!J141-1))</f>
        <v/>
      </c>
      <c r="K142" s="34">
        <f>IF(OR('Historique ajusté'!K142="",'Historique ajusté'!K141=""),"",IF(ABS(LN('Historique ajusté'!K142/'Historique ajusté'!K141))&gt;Seuil_aberrant,"",'Historique ajusté'!K142/'Historique ajusté'!K141-1))</f>
        <v/>
      </c>
      <c r="L142" s="34">
        <f>IF(OR('Historique ajusté'!L142="",'Historique ajusté'!L141=""),"",IF(ABS(LN('Historique ajusté'!L142/'Historique ajusté'!L141))&gt;Seuil_aberrant,"",'Historique ajusté'!L142/'Historique ajusté'!L141-1))</f>
        <v/>
      </c>
      <c r="M142" s="34">
        <f>IF(OR('Historique ajusté'!M142="",'Historique ajusté'!M141=""),"",IF(ABS(LN('Historique ajusté'!M142/'Historique ajusté'!M141))&gt;Seuil_aberrant,"",'Historique ajusté'!M142/'Historique ajusté'!M141-1))</f>
        <v/>
      </c>
      <c r="N142" s="34">
        <f>IF(OR('Historique ajusté'!N142="",'Historique ajusté'!N141=""),"",IF(ABS(LN('Historique ajusté'!N142/'Historique ajusté'!N141))&gt;Seuil_aberrant,"",'Historique ajusté'!N142/'Historique ajusté'!N141-1))</f>
        <v/>
      </c>
      <c r="O142" s="34">
        <f>IF(OR('Historique ajusté'!O142="",'Historique ajusté'!O141=""),"",IF(ABS(LN('Historique ajusté'!O142/'Historique ajusté'!O141))&gt;Seuil_aberrant,"",'Historique ajusté'!O142/'Historique ajusté'!O141-1))</f>
        <v/>
      </c>
      <c r="P142" s="34">
        <f>IF(OR('Historique ajusté'!P142="",'Historique ajusté'!P141=""),"",IF(ABS(LN('Historique ajusté'!P142/'Historique ajusté'!P141))&gt;Seuil_aberrant,"",'Historique ajusté'!P142/'Historique ajusté'!P141-1))</f>
        <v/>
      </c>
    </row>
    <row r="143">
      <c r="B143" s="32">
        <f>'Historique ajusté'!B143</f>
        <v/>
      </c>
      <c r="C143" s="34">
        <f>IF(OR('Historique ajusté'!C143="",'Historique ajusté'!C142=""),"",IF(ABS(LN('Historique ajusté'!C143/'Historique ajusté'!C142))&gt;Seuil_aberrant,"",'Historique ajusté'!C143/'Historique ajusté'!C142-1))</f>
        <v/>
      </c>
      <c r="D143" s="34">
        <f>IF(OR('Historique ajusté'!D143="",'Historique ajusté'!D142=""),"",IF(ABS(LN('Historique ajusté'!D143/'Historique ajusté'!D142))&gt;Seuil_aberrant,"",'Historique ajusté'!D143/'Historique ajusté'!D142-1))</f>
        <v/>
      </c>
      <c r="E143" s="34">
        <f>IF(OR('Historique ajusté'!E143="",'Historique ajusté'!E142=""),"",IF(ABS(LN('Historique ajusté'!E143/'Historique ajusté'!E142))&gt;Seuil_aberrant,"",'Historique ajusté'!E143/'Historique ajusté'!E142-1))</f>
        <v/>
      </c>
      <c r="F143" s="34">
        <f>IF(OR('Historique ajusté'!F143="",'Historique ajusté'!F142=""),"",IF(ABS(LN('Historique ajusté'!F143/'Historique ajusté'!F142))&gt;Seuil_aberrant,"",'Historique ajusté'!F143/'Historique ajusté'!F142-1))</f>
        <v/>
      </c>
      <c r="G143" s="34">
        <f>IF(OR('Historique ajusté'!G143="",'Historique ajusté'!G142=""),"",IF(ABS(LN('Historique ajusté'!G143/'Historique ajusté'!G142))&gt;Seuil_aberrant,"",'Historique ajusté'!G143/'Historique ajusté'!G142-1))</f>
        <v/>
      </c>
      <c r="H143" s="34">
        <f>IF(OR('Historique ajusté'!H143="",'Historique ajusté'!H142=""),"",IF(ABS(LN('Historique ajusté'!H143/'Historique ajusté'!H142))&gt;Seuil_aberrant,"",'Historique ajusté'!H143/'Historique ajusté'!H142-1))</f>
        <v/>
      </c>
      <c r="I143" s="34">
        <f>IF(OR('Historique ajusté'!I143="",'Historique ajusté'!I142=""),"",IF(ABS(LN('Historique ajusté'!I143/'Historique ajusté'!I142))&gt;Seuil_aberrant,"",'Historique ajusté'!I143/'Historique ajusté'!I142-1))</f>
        <v/>
      </c>
      <c r="J143" s="34">
        <f>IF(OR('Historique ajusté'!J143="",'Historique ajusté'!J142=""),"",IF(ABS(LN('Historique ajusté'!J143/'Historique ajusté'!J142))&gt;Seuil_aberrant,"",'Historique ajusté'!J143/'Historique ajusté'!J142-1))</f>
        <v/>
      </c>
      <c r="K143" s="34">
        <f>IF(OR('Historique ajusté'!K143="",'Historique ajusté'!K142=""),"",IF(ABS(LN('Historique ajusté'!K143/'Historique ajusté'!K142))&gt;Seuil_aberrant,"",'Historique ajusté'!K143/'Historique ajusté'!K142-1))</f>
        <v/>
      </c>
      <c r="L143" s="34">
        <f>IF(OR('Historique ajusté'!L143="",'Historique ajusté'!L142=""),"",IF(ABS(LN('Historique ajusté'!L143/'Historique ajusté'!L142))&gt;Seuil_aberrant,"",'Historique ajusté'!L143/'Historique ajusté'!L142-1))</f>
        <v/>
      </c>
      <c r="M143" s="34">
        <f>IF(OR('Historique ajusté'!M143="",'Historique ajusté'!M142=""),"",IF(ABS(LN('Historique ajusté'!M143/'Historique ajusté'!M142))&gt;Seuil_aberrant,"",'Historique ajusté'!M143/'Historique ajusté'!M142-1))</f>
        <v/>
      </c>
      <c r="N143" s="34">
        <f>IF(OR('Historique ajusté'!N143="",'Historique ajusté'!N142=""),"",IF(ABS(LN('Historique ajusté'!N143/'Historique ajusté'!N142))&gt;Seuil_aberrant,"",'Historique ajusté'!N143/'Historique ajusté'!N142-1))</f>
        <v/>
      </c>
      <c r="O143" s="34">
        <f>IF(OR('Historique ajusté'!O143="",'Historique ajusté'!O142=""),"",IF(ABS(LN('Historique ajusté'!O143/'Historique ajusté'!O142))&gt;Seuil_aberrant,"",'Historique ajusté'!O143/'Historique ajusté'!O142-1))</f>
        <v/>
      </c>
      <c r="P143" s="34">
        <f>IF(OR('Historique ajusté'!P143="",'Historique ajusté'!P142=""),"",IF(ABS(LN('Historique ajusté'!P143/'Historique ajusté'!P142))&gt;Seuil_aberrant,"",'Historique ajusté'!P143/'Historique ajusté'!P142-1))</f>
        <v/>
      </c>
    </row>
    <row r="144">
      <c r="B144" s="32">
        <f>'Historique ajusté'!B144</f>
        <v/>
      </c>
      <c r="C144" s="34">
        <f>IF(OR('Historique ajusté'!C144="",'Historique ajusté'!C143=""),"",IF(ABS(LN('Historique ajusté'!C144/'Historique ajusté'!C143))&gt;Seuil_aberrant,"",'Historique ajusté'!C144/'Historique ajusté'!C143-1))</f>
        <v/>
      </c>
      <c r="D144" s="34">
        <f>IF(OR('Historique ajusté'!D144="",'Historique ajusté'!D143=""),"",IF(ABS(LN('Historique ajusté'!D144/'Historique ajusté'!D143))&gt;Seuil_aberrant,"",'Historique ajusté'!D144/'Historique ajusté'!D143-1))</f>
        <v/>
      </c>
      <c r="E144" s="34">
        <f>IF(OR('Historique ajusté'!E144="",'Historique ajusté'!E143=""),"",IF(ABS(LN('Historique ajusté'!E144/'Historique ajusté'!E143))&gt;Seuil_aberrant,"",'Historique ajusté'!E144/'Historique ajusté'!E143-1))</f>
        <v/>
      </c>
      <c r="F144" s="34">
        <f>IF(OR('Historique ajusté'!F144="",'Historique ajusté'!F143=""),"",IF(ABS(LN('Historique ajusté'!F144/'Historique ajusté'!F143))&gt;Seuil_aberrant,"",'Historique ajusté'!F144/'Historique ajusté'!F143-1))</f>
        <v/>
      </c>
      <c r="G144" s="34">
        <f>IF(OR('Historique ajusté'!G144="",'Historique ajusté'!G143=""),"",IF(ABS(LN('Historique ajusté'!G144/'Historique ajusté'!G143))&gt;Seuil_aberrant,"",'Historique ajusté'!G144/'Historique ajusté'!G143-1))</f>
        <v/>
      </c>
      <c r="H144" s="34">
        <f>IF(OR('Historique ajusté'!H144="",'Historique ajusté'!H143=""),"",IF(ABS(LN('Historique ajusté'!H144/'Historique ajusté'!H143))&gt;Seuil_aberrant,"",'Historique ajusté'!H144/'Historique ajusté'!H143-1))</f>
        <v/>
      </c>
      <c r="I144" s="34">
        <f>IF(OR('Historique ajusté'!I144="",'Historique ajusté'!I143=""),"",IF(ABS(LN('Historique ajusté'!I144/'Historique ajusté'!I143))&gt;Seuil_aberrant,"",'Historique ajusté'!I144/'Historique ajusté'!I143-1))</f>
        <v/>
      </c>
      <c r="J144" s="34">
        <f>IF(OR('Historique ajusté'!J144="",'Historique ajusté'!J143=""),"",IF(ABS(LN('Historique ajusté'!J144/'Historique ajusté'!J143))&gt;Seuil_aberrant,"",'Historique ajusté'!J144/'Historique ajusté'!J143-1))</f>
        <v/>
      </c>
      <c r="K144" s="34">
        <f>IF(OR('Historique ajusté'!K144="",'Historique ajusté'!K143=""),"",IF(ABS(LN('Historique ajusté'!K144/'Historique ajusté'!K143))&gt;Seuil_aberrant,"",'Historique ajusté'!K144/'Historique ajusté'!K143-1))</f>
        <v/>
      </c>
      <c r="L144" s="34">
        <f>IF(OR('Historique ajusté'!L144="",'Historique ajusté'!L143=""),"",IF(ABS(LN('Historique ajusté'!L144/'Historique ajusté'!L143))&gt;Seuil_aberrant,"",'Historique ajusté'!L144/'Historique ajusté'!L143-1))</f>
        <v/>
      </c>
      <c r="M144" s="34">
        <f>IF(OR('Historique ajusté'!M144="",'Historique ajusté'!M143=""),"",IF(ABS(LN('Historique ajusté'!M144/'Historique ajusté'!M143))&gt;Seuil_aberrant,"",'Historique ajusté'!M144/'Historique ajusté'!M143-1))</f>
        <v/>
      </c>
      <c r="N144" s="34">
        <f>IF(OR('Historique ajusté'!N144="",'Historique ajusté'!N143=""),"",IF(ABS(LN('Historique ajusté'!N144/'Historique ajusté'!N143))&gt;Seuil_aberrant,"",'Historique ajusté'!N144/'Historique ajusté'!N143-1))</f>
        <v/>
      </c>
      <c r="O144" s="34">
        <f>IF(OR('Historique ajusté'!O144="",'Historique ajusté'!O143=""),"",IF(ABS(LN('Historique ajusté'!O144/'Historique ajusté'!O143))&gt;Seuil_aberrant,"",'Historique ajusté'!O144/'Historique ajusté'!O143-1))</f>
        <v/>
      </c>
      <c r="P144" s="34">
        <f>IF(OR('Historique ajusté'!P144="",'Historique ajusté'!P143=""),"",IF(ABS(LN('Historique ajusté'!P144/'Historique ajusté'!P143))&gt;Seuil_aberrant,"",'Historique ajusté'!P144/'Historique ajusté'!P143-1))</f>
        <v/>
      </c>
    </row>
    <row r="145">
      <c r="B145" s="32">
        <f>'Historique ajusté'!B145</f>
        <v/>
      </c>
      <c r="C145" s="34">
        <f>IF(OR('Historique ajusté'!C145="",'Historique ajusté'!C144=""),"",IF(ABS(LN('Historique ajusté'!C145/'Historique ajusté'!C144))&gt;Seuil_aberrant,"",'Historique ajusté'!C145/'Historique ajusté'!C144-1))</f>
        <v/>
      </c>
      <c r="D145" s="34">
        <f>IF(OR('Historique ajusté'!D145="",'Historique ajusté'!D144=""),"",IF(ABS(LN('Historique ajusté'!D145/'Historique ajusté'!D144))&gt;Seuil_aberrant,"",'Historique ajusté'!D145/'Historique ajusté'!D144-1))</f>
        <v/>
      </c>
      <c r="E145" s="34">
        <f>IF(OR('Historique ajusté'!E145="",'Historique ajusté'!E144=""),"",IF(ABS(LN('Historique ajusté'!E145/'Historique ajusté'!E144))&gt;Seuil_aberrant,"",'Historique ajusté'!E145/'Historique ajusté'!E144-1))</f>
        <v/>
      </c>
      <c r="F145" s="34">
        <f>IF(OR('Historique ajusté'!F145="",'Historique ajusté'!F144=""),"",IF(ABS(LN('Historique ajusté'!F145/'Historique ajusté'!F144))&gt;Seuil_aberrant,"",'Historique ajusté'!F145/'Historique ajusté'!F144-1))</f>
        <v/>
      </c>
      <c r="G145" s="34">
        <f>IF(OR('Historique ajusté'!G145="",'Historique ajusté'!G144=""),"",IF(ABS(LN('Historique ajusté'!G145/'Historique ajusté'!G144))&gt;Seuil_aberrant,"",'Historique ajusté'!G145/'Historique ajusté'!G144-1))</f>
        <v/>
      </c>
      <c r="H145" s="34">
        <f>IF(OR('Historique ajusté'!H145="",'Historique ajusté'!H144=""),"",IF(ABS(LN('Historique ajusté'!H145/'Historique ajusté'!H144))&gt;Seuil_aberrant,"",'Historique ajusté'!H145/'Historique ajusté'!H144-1))</f>
        <v/>
      </c>
      <c r="I145" s="34">
        <f>IF(OR('Historique ajusté'!I145="",'Historique ajusté'!I144=""),"",IF(ABS(LN('Historique ajusté'!I145/'Historique ajusté'!I144))&gt;Seuil_aberrant,"",'Historique ajusté'!I145/'Historique ajusté'!I144-1))</f>
        <v/>
      </c>
      <c r="J145" s="34">
        <f>IF(OR('Historique ajusté'!J145="",'Historique ajusté'!J144=""),"",IF(ABS(LN('Historique ajusté'!J145/'Historique ajusté'!J144))&gt;Seuil_aberrant,"",'Historique ajusté'!J145/'Historique ajusté'!J144-1))</f>
        <v/>
      </c>
      <c r="K145" s="34">
        <f>IF(OR('Historique ajusté'!K145="",'Historique ajusté'!K144=""),"",IF(ABS(LN('Historique ajusté'!K145/'Historique ajusté'!K144))&gt;Seuil_aberrant,"",'Historique ajusté'!K145/'Historique ajusté'!K144-1))</f>
        <v/>
      </c>
      <c r="L145" s="34">
        <f>IF(OR('Historique ajusté'!L145="",'Historique ajusté'!L144=""),"",IF(ABS(LN('Historique ajusté'!L145/'Historique ajusté'!L144))&gt;Seuil_aberrant,"",'Historique ajusté'!L145/'Historique ajusté'!L144-1))</f>
        <v/>
      </c>
      <c r="M145" s="34">
        <f>IF(OR('Historique ajusté'!M145="",'Historique ajusté'!M144=""),"",IF(ABS(LN('Historique ajusté'!M145/'Historique ajusté'!M144))&gt;Seuil_aberrant,"",'Historique ajusté'!M145/'Historique ajusté'!M144-1))</f>
        <v/>
      </c>
      <c r="N145" s="34">
        <f>IF(OR('Historique ajusté'!N145="",'Historique ajusté'!N144=""),"",IF(ABS(LN('Historique ajusté'!N145/'Historique ajusté'!N144))&gt;Seuil_aberrant,"",'Historique ajusté'!N145/'Historique ajusté'!N144-1))</f>
        <v/>
      </c>
      <c r="O145" s="34">
        <f>IF(OR('Historique ajusté'!O145="",'Historique ajusté'!O144=""),"",IF(ABS(LN('Historique ajusté'!O145/'Historique ajusté'!O144))&gt;Seuil_aberrant,"",'Historique ajusté'!O145/'Historique ajusté'!O144-1))</f>
        <v/>
      </c>
      <c r="P145" s="34">
        <f>IF(OR('Historique ajusté'!P145="",'Historique ajusté'!P144=""),"",IF(ABS(LN('Historique ajusté'!P145/'Historique ajusté'!P144))&gt;Seuil_aberrant,"",'Historique ajusté'!P145/'Historique ajusté'!P144-1))</f>
        <v/>
      </c>
    </row>
    <row r="146">
      <c r="B146" s="32">
        <f>'Historique ajusté'!B146</f>
        <v/>
      </c>
      <c r="C146" s="34">
        <f>IF(OR('Historique ajusté'!C146="",'Historique ajusté'!C145=""),"",IF(ABS(LN('Historique ajusté'!C146/'Historique ajusté'!C145))&gt;Seuil_aberrant,"",'Historique ajusté'!C146/'Historique ajusté'!C145-1))</f>
        <v/>
      </c>
      <c r="D146" s="34">
        <f>IF(OR('Historique ajusté'!D146="",'Historique ajusté'!D145=""),"",IF(ABS(LN('Historique ajusté'!D146/'Historique ajusté'!D145))&gt;Seuil_aberrant,"",'Historique ajusté'!D146/'Historique ajusté'!D145-1))</f>
        <v/>
      </c>
      <c r="E146" s="34">
        <f>IF(OR('Historique ajusté'!E146="",'Historique ajusté'!E145=""),"",IF(ABS(LN('Historique ajusté'!E146/'Historique ajusté'!E145))&gt;Seuil_aberrant,"",'Historique ajusté'!E146/'Historique ajusté'!E145-1))</f>
        <v/>
      </c>
      <c r="F146" s="34">
        <f>IF(OR('Historique ajusté'!F146="",'Historique ajusté'!F145=""),"",IF(ABS(LN('Historique ajusté'!F146/'Historique ajusté'!F145))&gt;Seuil_aberrant,"",'Historique ajusté'!F146/'Historique ajusté'!F145-1))</f>
        <v/>
      </c>
      <c r="G146" s="34">
        <f>IF(OR('Historique ajusté'!G146="",'Historique ajusté'!G145=""),"",IF(ABS(LN('Historique ajusté'!G146/'Historique ajusté'!G145))&gt;Seuil_aberrant,"",'Historique ajusté'!G146/'Historique ajusté'!G145-1))</f>
        <v/>
      </c>
      <c r="H146" s="34">
        <f>IF(OR('Historique ajusté'!H146="",'Historique ajusté'!H145=""),"",IF(ABS(LN('Historique ajusté'!H146/'Historique ajusté'!H145))&gt;Seuil_aberrant,"",'Historique ajusté'!H146/'Historique ajusté'!H145-1))</f>
        <v/>
      </c>
      <c r="I146" s="34">
        <f>IF(OR('Historique ajusté'!I146="",'Historique ajusté'!I145=""),"",IF(ABS(LN('Historique ajusté'!I146/'Historique ajusté'!I145))&gt;Seuil_aberrant,"",'Historique ajusté'!I146/'Historique ajusté'!I145-1))</f>
        <v/>
      </c>
      <c r="J146" s="34">
        <f>IF(OR('Historique ajusté'!J146="",'Historique ajusté'!J145=""),"",IF(ABS(LN('Historique ajusté'!J146/'Historique ajusté'!J145))&gt;Seuil_aberrant,"",'Historique ajusté'!J146/'Historique ajusté'!J145-1))</f>
        <v/>
      </c>
      <c r="K146" s="34">
        <f>IF(OR('Historique ajusté'!K146="",'Historique ajusté'!K145=""),"",IF(ABS(LN('Historique ajusté'!K146/'Historique ajusté'!K145))&gt;Seuil_aberrant,"",'Historique ajusté'!K146/'Historique ajusté'!K145-1))</f>
        <v/>
      </c>
      <c r="L146" s="34">
        <f>IF(OR('Historique ajusté'!L146="",'Historique ajusté'!L145=""),"",IF(ABS(LN('Historique ajusté'!L146/'Historique ajusté'!L145))&gt;Seuil_aberrant,"",'Historique ajusté'!L146/'Historique ajusté'!L145-1))</f>
        <v/>
      </c>
      <c r="M146" s="34">
        <f>IF(OR('Historique ajusté'!M146="",'Historique ajusté'!M145=""),"",IF(ABS(LN('Historique ajusté'!M146/'Historique ajusté'!M145))&gt;Seuil_aberrant,"",'Historique ajusté'!M146/'Historique ajusté'!M145-1))</f>
        <v/>
      </c>
      <c r="N146" s="34">
        <f>IF(OR('Historique ajusté'!N146="",'Historique ajusté'!N145=""),"",IF(ABS(LN('Historique ajusté'!N146/'Historique ajusté'!N145))&gt;Seuil_aberrant,"",'Historique ajusté'!N146/'Historique ajusté'!N145-1))</f>
        <v/>
      </c>
      <c r="O146" s="34">
        <f>IF(OR('Historique ajusté'!O146="",'Historique ajusté'!O145=""),"",IF(ABS(LN('Historique ajusté'!O146/'Historique ajusté'!O145))&gt;Seuil_aberrant,"",'Historique ajusté'!O146/'Historique ajusté'!O145-1))</f>
        <v/>
      </c>
      <c r="P146" s="34">
        <f>IF(OR('Historique ajusté'!P146="",'Historique ajusté'!P145=""),"",IF(ABS(LN('Historique ajusté'!P146/'Historique ajusté'!P145))&gt;Seuil_aberrant,"",'Historique ajusté'!P146/'Historique ajusté'!P145-1))</f>
        <v/>
      </c>
    </row>
    <row r="147">
      <c r="B147" s="32">
        <f>'Historique ajusté'!B147</f>
        <v/>
      </c>
      <c r="C147" s="34">
        <f>IF(OR('Historique ajusté'!C147="",'Historique ajusté'!C146=""),"",IF(ABS(LN('Historique ajusté'!C147/'Historique ajusté'!C146))&gt;Seuil_aberrant,"",'Historique ajusté'!C147/'Historique ajusté'!C146-1))</f>
        <v/>
      </c>
      <c r="D147" s="34">
        <f>IF(OR('Historique ajusté'!D147="",'Historique ajusté'!D146=""),"",IF(ABS(LN('Historique ajusté'!D147/'Historique ajusté'!D146))&gt;Seuil_aberrant,"",'Historique ajusté'!D147/'Historique ajusté'!D146-1))</f>
        <v/>
      </c>
      <c r="E147" s="34">
        <f>IF(OR('Historique ajusté'!E147="",'Historique ajusté'!E146=""),"",IF(ABS(LN('Historique ajusté'!E147/'Historique ajusté'!E146))&gt;Seuil_aberrant,"",'Historique ajusté'!E147/'Historique ajusté'!E146-1))</f>
        <v/>
      </c>
      <c r="F147" s="34">
        <f>IF(OR('Historique ajusté'!F147="",'Historique ajusté'!F146=""),"",IF(ABS(LN('Historique ajusté'!F147/'Historique ajusté'!F146))&gt;Seuil_aberrant,"",'Historique ajusté'!F147/'Historique ajusté'!F146-1))</f>
        <v/>
      </c>
      <c r="G147" s="34">
        <f>IF(OR('Historique ajusté'!G147="",'Historique ajusté'!G146=""),"",IF(ABS(LN('Historique ajusté'!G147/'Historique ajusté'!G146))&gt;Seuil_aberrant,"",'Historique ajusté'!G147/'Historique ajusté'!G146-1))</f>
        <v/>
      </c>
      <c r="H147" s="34">
        <f>IF(OR('Historique ajusté'!H147="",'Historique ajusté'!H146=""),"",IF(ABS(LN('Historique ajusté'!H147/'Historique ajusté'!H146))&gt;Seuil_aberrant,"",'Historique ajusté'!H147/'Historique ajusté'!H146-1))</f>
        <v/>
      </c>
      <c r="I147" s="34">
        <f>IF(OR('Historique ajusté'!I147="",'Historique ajusté'!I146=""),"",IF(ABS(LN('Historique ajusté'!I147/'Historique ajusté'!I146))&gt;Seuil_aberrant,"",'Historique ajusté'!I147/'Historique ajusté'!I146-1))</f>
        <v/>
      </c>
      <c r="J147" s="34">
        <f>IF(OR('Historique ajusté'!J147="",'Historique ajusté'!J146=""),"",IF(ABS(LN('Historique ajusté'!J147/'Historique ajusté'!J146))&gt;Seuil_aberrant,"",'Historique ajusté'!J147/'Historique ajusté'!J146-1))</f>
        <v/>
      </c>
      <c r="K147" s="34">
        <f>IF(OR('Historique ajusté'!K147="",'Historique ajusté'!K146=""),"",IF(ABS(LN('Historique ajusté'!K147/'Historique ajusté'!K146))&gt;Seuil_aberrant,"",'Historique ajusté'!K147/'Historique ajusté'!K146-1))</f>
        <v/>
      </c>
      <c r="L147" s="34">
        <f>IF(OR('Historique ajusté'!L147="",'Historique ajusté'!L146=""),"",IF(ABS(LN('Historique ajusté'!L147/'Historique ajusté'!L146))&gt;Seuil_aberrant,"",'Historique ajusté'!L147/'Historique ajusté'!L146-1))</f>
        <v/>
      </c>
      <c r="M147" s="34">
        <f>IF(OR('Historique ajusté'!M147="",'Historique ajusté'!M146=""),"",IF(ABS(LN('Historique ajusté'!M147/'Historique ajusté'!M146))&gt;Seuil_aberrant,"",'Historique ajusté'!M147/'Historique ajusté'!M146-1))</f>
        <v/>
      </c>
      <c r="N147" s="34">
        <f>IF(OR('Historique ajusté'!N147="",'Historique ajusté'!N146=""),"",IF(ABS(LN('Historique ajusté'!N147/'Historique ajusté'!N146))&gt;Seuil_aberrant,"",'Historique ajusté'!N147/'Historique ajusté'!N146-1))</f>
        <v/>
      </c>
      <c r="O147" s="34">
        <f>IF(OR('Historique ajusté'!O147="",'Historique ajusté'!O146=""),"",IF(ABS(LN('Historique ajusté'!O147/'Historique ajusté'!O146))&gt;Seuil_aberrant,"",'Historique ajusté'!O147/'Historique ajusté'!O146-1))</f>
        <v/>
      </c>
      <c r="P147" s="34">
        <f>IF(OR('Historique ajusté'!P147="",'Historique ajusté'!P146=""),"",IF(ABS(LN('Historique ajusté'!P147/'Historique ajusté'!P146))&gt;Seuil_aberrant,"",'Historique ajusté'!P147/'Historique ajusté'!P146-1))</f>
        <v/>
      </c>
    </row>
    <row r="148">
      <c r="B148" s="32">
        <f>'Historique ajusté'!B148</f>
        <v/>
      </c>
      <c r="C148" s="34">
        <f>IF(OR('Historique ajusté'!C148="",'Historique ajusté'!C147=""),"",IF(ABS(LN('Historique ajusté'!C148/'Historique ajusté'!C147))&gt;Seuil_aberrant,"",'Historique ajusté'!C148/'Historique ajusté'!C147-1))</f>
        <v/>
      </c>
      <c r="D148" s="34">
        <f>IF(OR('Historique ajusté'!D148="",'Historique ajusté'!D147=""),"",IF(ABS(LN('Historique ajusté'!D148/'Historique ajusté'!D147))&gt;Seuil_aberrant,"",'Historique ajusté'!D148/'Historique ajusté'!D147-1))</f>
        <v/>
      </c>
      <c r="E148" s="34">
        <f>IF(OR('Historique ajusté'!E148="",'Historique ajusté'!E147=""),"",IF(ABS(LN('Historique ajusté'!E148/'Historique ajusté'!E147))&gt;Seuil_aberrant,"",'Historique ajusté'!E148/'Historique ajusté'!E147-1))</f>
        <v/>
      </c>
      <c r="F148" s="34">
        <f>IF(OR('Historique ajusté'!F148="",'Historique ajusté'!F147=""),"",IF(ABS(LN('Historique ajusté'!F148/'Historique ajusté'!F147))&gt;Seuil_aberrant,"",'Historique ajusté'!F148/'Historique ajusté'!F147-1))</f>
        <v/>
      </c>
      <c r="G148" s="34">
        <f>IF(OR('Historique ajusté'!G148="",'Historique ajusté'!G147=""),"",IF(ABS(LN('Historique ajusté'!G148/'Historique ajusté'!G147))&gt;Seuil_aberrant,"",'Historique ajusté'!G148/'Historique ajusté'!G147-1))</f>
        <v/>
      </c>
      <c r="H148" s="34">
        <f>IF(OR('Historique ajusté'!H148="",'Historique ajusté'!H147=""),"",IF(ABS(LN('Historique ajusté'!H148/'Historique ajusté'!H147))&gt;Seuil_aberrant,"",'Historique ajusté'!H148/'Historique ajusté'!H147-1))</f>
        <v/>
      </c>
      <c r="I148" s="34">
        <f>IF(OR('Historique ajusté'!I148="",'Historique ajusté'!I147=""),"",IF(ABS(LN('Historique ajusté'!I148/'Historique ajusté'!I147))&gt;Seuil_aberrant,"",'Historique ajusté'!I148/'Historique ajusté'!I147-1))</f>
        <v/>
      </c>
      <c r="J148" s="34">
        <f>IF(OR('Historique ajusté'!J148="",'Historique ajusté'!J147=""),"",IF(ABS(LN('Historique ajusté'!J148/'Historique ajusté'!J147))&gt;Seuil_aberrant,"",'Historique ajusté'!J148/'Historique ajusté'!J147-1))</f>
        <v/>
      </c>
      <c r="K148" s="34">
        <f>IF(OR('Historique ajusté'!K148="",'Historique ajusté'!K147=""),"",IF(ABS(LN('Historique ajusté'!K148/'Historique ajusté'!K147))&gt;Seuil_aberrant,"",'Historique ajusté'!K148/'Historique ajusté'!K147-1))</f>
        <v/>
      </c>
      <c r="L148" s="34">
        <f>IF(OR('Historique ajusté'!L148="",'Historique ajusté'!L147=""),"",IF(ABS(LN('Historique ajusté'!L148/'Historique ajusté'!L147))&gt;Seuil_aberrant,"",'Historique ajusté'!L148/'Historique ajusté'!L147-1))</f>
        <v/>
      </c>
      <c r="M148" s="34">
        <f>IF(OR('Historique ajusté'!M148="",'Historique ajusté'!M147=""),"",IF(ABS(LN('Historique ajusté'!M148/'Historique ajusté'!M147))&gt;Seuil_aberrant,"",'Historique ajusté'!M148/'Historique ajusté'!M147-1))</f>
        <v/>
      </c>
      <c r="N148" s="34">
        <f>IF(OR('Historique ajusté'!N148="",'Historique ajusté'!N147=""),"",IF(ABS(LN('Historique ajusté'!N148/'Historique ajusté'!N147))&gt;Seuil_aberrant,"",'Historique ajusté'!N148/'Historique ajusté'!N147-1))</f>
        <v/>
      </c>
      <c r="O148" s="34">
        <f>IF(OR('Historique ajusté'!O148="",'Historique ajusté'!O147=""),"",IF(ABS(LN('Historique ajusté'!O148/'Historique ajusté'!O147))&gt;Seuil_aberrant,"",'Historique ajusté'!O148/'Historique ajusté'!O147-1))</f>
        <v/>
      </c>
      <c r="P148" s="34">
        <f>IF(OR('Historique ajusté'!P148="",'Historique ajusté'!P147=""),"",IF(ABS(LN('Historique ajusté'!P148/'Historique ajusté'!P147))&gt;Seuil_aberrant,"",'Historique ajusté'!P148/'Historique ajusté'!P147-1))</f>
        <v/>
      </c>
    </row>
    <row r="149">
      <c r="B149" s="32">
        <f>'Historique ajusté'!B149</f>
        <v/>
      </c>
      <c r="C149" s="34">
        <f>IF(OR('Historique ajusté'!C149="",'Historique ajusté'!C148=""),"",IF(ABS(LN('Historique ajusté'!C149/'Historique ajusté'!C148))&gt;Seuil_aberrant,"",'Historique ajusté'!C149/'Historique ajusté'!C148-1))</f>
        <v/>
      </c>
      <c r="D149" s="34">
        <f>IF(OR('Historique ajusté'!D149="",'Historique ajusté'!D148=""),"",IF(ABS(LN('Historique ajusté'!D149/'Historique ajusté'!D148))&gt;Seuil_aberrant,"",'Historique ajusté'!D149/'Historique ajusté'!D148-1))</f>
        <v/>
      </c>
      <c r="E149" s="34">
        <f>IF(OR('Historique ajusté'!E149="",'Historique ajusté'!E148=""),"",IF(ABS(LN('Historique ajusté'!E149/'Historique ajusté'!E148))&gt;Seuil_aberrant,"",'Historique ajusté'!E149/'Historique ajusté'!E148-1))</f>
        <v/>
      </c>
      <c r="F149" s="34">
        <f>IF(OR('Historique ajusté'!F149="",'Historique ajusté'!F148=""),"",IF(ABS(LN('Historique ajusté'!F149/'Historique ajusté'!F148))&gt;Seuil_aberrant,"",'Historique ajusté'!F149/'Historique ajusté'!F148-1))</f>
        <v/>
      </c>
      <c r="G149" s="34">
        <f>IF(OR('Historique ajusté'!G149="",'Historique ajusté'!G148=""),"",IF(ABS(LN('Historique ajusté'!G149/'Historique ajusté'!G148))&gt;Seuil_aberrant,"",'Historique ajusté'!G149/'Historique ajusté'!G148-1))</f>
        <v/>
      </c>
      <c r="H149" s="34">
        <f>IF(OR('Historique ajusté'!H149="",'Historique ajusté'!H148=""),"",IF(ABS(LN('Historique ajusté'!H149/'Historique ajusté'!H148))&gt;Seuil_aberrant,"",'Historique ajusté'!H149/'Historique ajusté'!H148-1))</f>
        <v/>
      </c>
      <c r="I149" s="34">
        <f>IF(OR('Historique ajusté'!I149="",'Historique ajusté'!I148=""),"",IF(ABS(LN('Historique ajusté'!I149/'Historique ajusté'!I148))&gt;Seuil_aberrant,"",'Historique ajusté'!I149/'Historique ajusté'!I148-1))</f>
        <v/>
      </c>
      <c r="J149" s="34">
        <f>IF(OR('Historique ajusté'!J149="",'Historique ajusté'!J148=""),"",IF(ABS(LN('Historique ajusté'!J149/'Historique ajusté'!J148))&gt;Seuil_aberrant,"",'Historique ajusté'!J149/'Historique ajusté'!J148-1))</f>
        <v/>
      </c>
      <c r="K149" s="34">
        <f>IF(OR('Historique ajusté'!K149="",'Historique ajusté'!K148=""),"",IF(ABS(LN('Historique ajusté'!K149/'Historique ajusté'!K148))&gt;Seuil_aberrant,"",'Historique ajusté'!K149/'Historique ajusté'!K148-1))</f>
        <v/>
      </c>
      <c r="L149" s="34">
        <f>IF(OR('Historique ajusté'!L149="",'Historique ajusté'!L148=""),"",IF(ABS(LN('Historique ajusté'!L149/'Historique ajusté'!L148))&gt;Seuil_aberrant,"",'Historique ajusté'!L149/'Historique ajusté'!L148-1))</f>
        <v/>
      </c>
      <c r="M149" s="34">
        <f>IF(OR('Historique ajusté'!M149="",'Historique ajusté'!M148=""),"",IF(ABS(LN('Historique ajusté'!M149/'Historique ajusté'!M148))&gt;Seuil_aberrant,"",'Historique ajusté'!M149/'Historique ajusté'!M148-1))</f>
        <v/>
      </c>
      <c r="N149" s="34">
        <f>IF(OR('Historique ajusté'!N149="",'Historique ajusté'!N148=""),"",IF(ABS(LN('Historique ajusté'!N149/'Historique ajusté'!N148))&gt;Seuil_aberrant,"",'Historique ajusté'!N149/'Historique ajusté'!N148-1))</f>
        <v/>
      </c>
      <c r="O149" s="34">
        <f>IF(OR('Historique ajusté'!O149="",'Historique ajusté'!O148=""),"",IF(ABS(LN('Historique ajusté'!O149/'Historique ajusté'!O148))&gt;Seuil_aberrant,"",'Historique ajusté'!O149/'Historique ajusté'!O148-1))</f>
        <v/>
      </c>
      <c r="P149" s="34">
        <f>IF(OR('Historique ajusté'!P149="",'Historique ajusté'!P148=""),"",IF(ABS(LN('Historique ajusté'!P149/'Historique ajusté'!P148))&gt;Seuil_aberrant,"",'Historique ajusté'!P149/'Historique ajusté'!P148-1))</f>
        <v/>
      </c>
    </row>
    <row r="150">
      <c r="B150" s="32">
        <f>'Historique ajusté'!B150</f>
        <v/>
      </c>
      <c r="C150" s="34">
        <f>IF(OR('Historique ajusté'!C150="",'Historique ajusté'!C149=""),"",IF(ABS(LN('Historique ajusté'!C150/'Historique ajusté'!C149))&gt;Seuil_aberrant,"",'Historique ajusté'!C150/'Historique ajusté'!C149-1))</f>
        <v/>
      </c>
      <c r="D150" s="34">
        <f>IF(OR('Historique ajusté'!D150="",'Historique ajusté'!D149=""),"",IF(ABS(LN('Historique ajusté'!D150/'Historique ajusté'!D149))&gt;Seuil_aberrant,"",'Historique ajusté'!D150/'Historique ajusté'!D149-1))</f>
        <v/>
      </c>
      <c r="E150" s="34">
        <f>IF(OR('Historique ajusté'!E150="",'Historique ajusté'!E149=""),"",IF(ABS(LN('Historique ajusté'!E150/'Historique ajusté'!E149))&gt;Seuil_aberrant,"",'Historique ajusté'!E150/'Historique ajusté'!E149-1))</f>
        <v/>
      </c>
      <c r="F150" s="34">
        <f>IF(OR('Historique ajusté'!F150="",'Historique ajusté'!F149=""),"",IF(ABS(LN('Historique ajusté'!F150/'Historique ajusté'!F149))&gt;Seuil_aberrant,"",'Historique ajusté'!F150/'Historique ajusté'!F149-1))</f>
        <v/>
      </c>
      <c r="G150" s="34">
        <f>IF(OR('Historique ajusté'!G150="",'Historique ajusté'!G149=""),"",IF(ABS(LN('Historique ajusté'!G150/'Historique ajusté'!G149))&gt;Seuil_aberrant,"",'Historique ajusté'!G150/'Historique ajusté'!G149-1))</f>
        <v/>
      </c>
      <c r="H150" s="34">
        <f>IF(OR('Historique ajusté'!H150="",'Historique ajusté'!H149=""),"",IF(ABS(LN('Historique ajusté'!H150/'Historique ajusté'!H149))&gt;Seuil_aberrant,"",'Historique ajusté'!H150/'Historique ajusté'!H149-1))</f>
        <v/>
      </c>
      <c r="I150" s="34">
        <f>IF(OR('Historique ajusté'!I150="",'Historique ajusté'!I149=""),"",IF(ABS(LN('Historique ajusté'!I150/'Historique ajusté'!I149))&gt;Seuil_aberrant,"",'Historique ajusté'!I150/'Historique ajusté'!I149-1))</f>
        <v/>
      </c>
      <c r="J150" s="34">
        <f>IF(OR('Historique ajusté'!J150="",'Historique ajusté'!J149=""),"",IF(ABS(LN('Historique ajusté'!J150/'Historique ajusté'!J149))&gt;Seuil_aberrant,"",'Historique ajusté'!J150/'Historique ajusté'!J149-1))</f>
        <v/>
      </c>
      <c r="K150" s="34">
        <f>IF(OR('Historique ajusté'!K150="",'Historique ajusté'!K149=""),"",IF(ABS(LN('Historique ajusté'!K150/'Historique ajusté'!K149))&gt;Seuil_aberrant,"",'Historique ajusté'!K150/'Historique ajusté'!K149-1))</f>
        <v/>
      </c>
      <c r="L150" s="34">
        <f>IF(OR('Historique ajusté'!L150="",'Historique ajusté'!L149=""),"",IF(ABS(LN('Historique ajusté'!L150/'Historique ajusté'!L149))&gt;Seuil_aberrant,"",'Historique ajusté'!L150/'Historique ajusté'!L149-1))</f>
        <v/>
      </c>
      <c r="M150" s="34">
        <f>IF(OR('Historique ajusté'!M150="",'Historique ajusté'!M149=""),"",IF(ABS(LN('Historique ajusté'!M150/'Historique ajusté'!M149))&gt;Seuil_aberrant,"",'Historique ajusté'!M150/'Historique ajusté'!M149-1))</f>
        <v/>
      </c>
      <c r="N150" s="34">
        <f>IF(OR('Historique ajusté'!N150="",'Historique ajusté'!N149=""),"",IF(ABS(LN('Historique ajusté'!N150/'Historique ajusté'!N149))&gt;Seuil_aberrant,"",'Historique ajusté'!N150/'Historique ajusté'!N149-1))</f>
        <v/>
      </c>
      <c r="O150" s="34">
        <f>IF(OR('Historique ajusté'!O150="",'Historique ajusté'!O149=""),"",IF(ABS(LN('Historique ajusté'!O150/'Historique ajusté'!O149))&gt;Seuil_aberrant,"",'Historique ajusté'!O150/'Historique ajusté'!O149-1))</f>
        <v/>
      </c>
      <c r="P150" s="34">
        <f>IF(OR('Historique ajusté'!P150="",'Historique ajusté'!P149=""),"",IF(ABS(LN('Historique ajusté'!P150/'Historique ajusté'!P149))&gt;Seuil_aberrant,"",'Historique ajusté'!P150/'Historique ajusté'!P149-1))</f>
        <v/>
      </c>
    </row>
    <row r="151">
      <c r="B151" s="32">
        <f>'Historique ajusté'!B151</f>
        <v/>
      </c>
      <c r="C151" s="34">
        <f>IF(OR('Historique ajusté'!C151="",'Historique ajusté'!C150=""),"",IF(ABS(LN('Historique ajusté'!C151/'Historique ajusté'!C150))&gt;Seuil_aberrant,"",'Historique ajusté'!C151/'Historique ajusté'!C150-1))</f>
        <v/>
      </c>
      <c r="D151" s="34">
        <f>IF(OR('Historique ajusté'!D151="",'Historique ajusté'!D150=""),"",IF(ABS(LN('Historique ajusté'!D151/'Historique ajusté'!D150))&gt;Seuil_aberrant,"",'Historique ajusté'!D151/'Historique ajusté'!D150-1))</f>
        <v/>
      </c>
      <c r="E151" s="34">
        <f>IF(OR('Historique ajusté'!E151="",'Historique ajusté'!E150=""),"",IF(ABS(LN('Historique ajusté'!E151/'Historique ajusté'!E150))&gt;Seuil_aberrant,"",'Historique ajusté'!E151/'Historique ajusté'!E150-1))</f>
        <v/>
      </c>
      <c r="F151" s="34">
        <f>IF(OR('Historique ajusté'!F151="",'Historique ajusté'!F150=""),"",IF(ABS(LN('Historique ajusté'!F151/'Historique ajusté'!F150))&gt;Seuil_aberrant,"",'Historique ajusté'!F151/'Historique ajusté'!F150-1))</f>
        <v/>
      </c>
      <c r="G151" s="34">
        <f>IF(OR('Historique ajusté'!G151="",'Historique ajusté'!G150=""),"",IF(ABS(LN('Historique ajusté'!G151/'Historique ajusté'!G150))&gt;Seuil_aberrant,"",'Historique ajusté'!G151/'Historique ajusté'!G150-1))</f>
        <v/>
      </c>
      <c r="H151" s="34">
        <f>IF(OR('Historique ajusté'!H151="",'Historique ajusté'!H150=""),"",IF(ABS(LN('Historique ajusté'!H151/'Historique ajusté'!H150))&gt;Seuil_aberrant,"",'Historique ajusté'!H151/'Historique ajusté'!H150-1))</f>
        <v/>
      </c>
      <c r="I151" s="34">
        <f>IF(OR('Historique ajusté'!I151="",'Historique ajusté'!I150=""),"",IF(ABS(LN('Historique ajusté'!I151/'Historique ajusté'!I150))&gt;Seuil_aberrant,"",'Historique ajusté'!I151/'Historique ajusté'!I150-1))</f>
        <v/>
      </c>
      <c r="J151" s="34">
        <f>IF(OR('Historique ajusté'!J151="",'Historique ajusté'!J150=""),"",IF(ABS(LN('Historique ajusté'!J151/'Historique ajusté'!J150))&gt;Seuil_aberrant,"",'Historique ajusté'!J151/'Historique ajusté'!J150-1))</f>
        <v/>
      </c>
      <c r="K151" s="34">
        <f>IF(OR('Historique ajusté'!K151="",'Historique ajusté'!K150=""),"",IF(ABS(LN('Historique ajusté'!K151/'Historique ajusté'!K150))&gt;Seuil_aberrant,"",'Historique ajusté'!K151/'Historique ajusté'!K150-1))</f>
        <v/>
      </c>
      <c r="L151" s="34">
        <f>IF(OR('Historique ajusté'!L151="",'Historique ajusté'!L150=""),"",IF(ABS(LN('Historique ajusté'!L151/'Historique ajusté'!L150))&gt;Seuil_aberrant,"",'Historique ajusté'!L151/'Historique ajusté'!L150-1))</f>
        <v/>
      </c>
      <c r="M151" s="34">
        <f>IF(OR('Historique ajusté'!M151="",'Historique ajusté'!M150=""),"",IF(ABS(LN('Historique ajusté'!M151/'Historique ajusté'!M150))&gt;Seuil_aberrant,"",'Historique ajusté'!M151/'Historique ajusté'!M150-1))</f>
        <v/>
      </c>
      <c r="N151" s="34">
        <f>IF(OR('Historique ajusté'!N151="",'Historique ajusté'!N150=""),"",IF(ABS(LN('Historique ajusté'!N151/'Historique ajusté'!N150))&gt;Seuil_aberrant,"",'Historique ajusté'!N151/'Historique ajusté'!N150-1))</f>
        <v/>
      </c>
      <c r="O151" s="34">
        <f>IF(OR('Historique ajusté'!O151="",'Historique ajusté'!O150=""),"",IF(ABS(LN('Historique ajusté'!O151/'Historique ajusté'!O150))&gt;Seuil_aberrant,"",'Historique ajusté'!O151/'Historique ajusté'!O150-1))</f>
        <v/>
      </c>
      <c r="P151" s="34">
        <f>IF(OR('Historique ajusté'!P151="",'Historique ajusté'!P150=""),"",IF(ABS(LN('Historique ajusté'!P151/'Historique ajusté'!P150))&gt;Seuil_aberrant,"",'Historique ajusté'!P151/'Historique ajusté'!P150-1))</f>
        <v/>
      </c>
    </row>
    <row r="152">
      <c r="B152" s="32">
        <f>'Historique ajusté'!B152</f>
        <v/>
      </c>
      <c r="C152" s="34">
        <f>IF(OR('Historique ajusté'!C152="",'Historique ajusté'!C151=""),"",IF(ABS(LN('Historique ajusté'!C152/'Historique ajusté'!C151))&gt;Seuil_aberrant,"",'Historique ajusté'!C152/'Historique ajusté'!C151-1))</f>
        <v/>
      </c>
      <c r="D152" s="34">
        <f>IF(OR('Historique ajusté'!D152="",'Historique ajusté'!D151=""),"",IF(ABS(LN('Historique ajusté'!D152/'Historique ajusté'!D151))&gt;Seuil_aberrant,"",'Historique ajusté'!D152/'Historique ajusté'!D151-1))</f>
        <v/>
      </c>
      <c r="E152" s="34">
        <f>IF(OR('Historique ajusté'!E152="",'Historique ajusté'!E151=""),"",IF(ABS(LN('Historique ajusté'!E152/'Historique ajusté'!E151))&gt;Seuil_aberrant,"",'Historique ajusté'!E152/'Historique ajusté'!E151-1))</f>
        <v/>
      </c>
      <c r="F152" s="34">
        <f>IF(OR('Historique ajusté'!F152="",'Historique ajusté'!F151=""),"",IF(ABS(LN('Historique ajusté'!F152/'Historique ajusté'!F151))&gt;Seuil_aberrant,"",'Historique ajusté'!F152/'Historique ajusté'!F151-1))</f>
        <v/>
      </c>
      <c r="G152" s="34">
        <f>IF(OR('Historique ajusté'!G152="",'Historique ajusté'!G151=""),"",IF(ABS(LN('Historique ajusté'!G152/'Historique ajusté'!G151))&gt;Seuil_aberrant,"",'Historique ajusté'!G152/'Historique ajusté'!G151-1))</f>
        <v/>
      </c>
      <c r="H152" s="34">
        <f>IF(OR('Historique ajusté'!H152="",'Historique ajusté'!H151=""),"",IF(ABS(LN('Historique ajusté'!H152/'Historique ajusté'!H151))&gt;Seuil_aberrant,"",'Historique ajusté'!H152/'Historique ajusté'!H151-1))</f>
        <v/>
      </c>
      <c r="I152" s="34">
        <f>IF(OR('Historique ajusté'!I152="",'Historique ajusté'!I151=""),"",IF(ABS(LN('Historique ajusté'!I152/'Historique ajusté'!I151))&gt;Seuil_aberrant,"",'Historique ajusté'!I152/'Historique ajusté'!I151-1))</f>
        <v/>
      </c>
      <c r="J152" s="34">
        <f>IF(OR('Historique ajusté'!J152="",'Historique ajusté'!J151=""),"",IF(ABS(LN('Historique ajusté'!J152/'Historique ajusté'!J151))&gt;Seuil_aberrant,"",'Historique ajusté'!J152/'Historique ajusté'!J151-1))</f>
        <v/>
      </c>
      <c r="K152" s="34">
        <f>IF(OR('Historique ajusté'!K152="",'Historique ajusté'!K151=""),"",IF(ABS(LN('Historique ajusté'!K152/'Historique ajusté'!K151))&gt;Seuil_aberrant,"",'Historique ajusté'!K152/'Historique ajusté'!K151-1))</f>
        <v/>
      </c>
      <c r="L152" s="34">
        <f>IF(OR('Historique ajusté'!L152="",'Historique ajusté'!L151=""),"",IF(ABS(LN('Historique ajusté'!L152/'Historique ajusté'!L151))&gt;Seuil_aberrant,"",'Historique ajusté'!L152/'Historique ajusté'!L151-1))</f>
        <v/>
      </c>
      <c r="M152" s="34">
        <f>IF(OR('Historique ajusté'!M152="",'Historique ajusté'!M151=""),"",IF(ABS(LN('Historique ajusté'!M152/'Historique ajusté'!M151))&gt;Seuil_aberrant,"",'Historique ajusté'!M152/'Historique ajusté'!M151-1))</f>
        <v/>
      </c>
      <c r="N152" s="34">
        <f>IF(OR('Historique ajusté'!N152="",'Historique ajusté'!N151=""),"",IF(ABS(LN('Historique ajusté'!N152/'Historique ajusté'!N151))&gt;Seuil_aberrant,"",'Historique ajusté'!N152/'Historique ajusté'!N151-1))</f>
        <v/>
      </c>
      <c r="O152" s="34">
        <f>IF(OR('Historique ajusté'!O152="",'Historique ajusté'!O151=""),"",IF(ABS(LN('Historique ajusté'!O152/'Historique ajusté'!O151))&gt;Seuil_aberrant,"",'Historique ajusté'!O152/'Historique ajusté'!O151-1))</f>
        <v/>
      </c>
      <c r="P152" s="34">
        <f>IF(OR('Historique ajusté'!P152="",'Historique ajusté'!P151=""),"",IF(ABS(LN('Historique ajusté'!P152/'Historique ajusté'!P151))&gt;Seuil_aberrant,"",'Historique ajusté'!P152/'Historique ajusté'!P151-1))</f>
        <v/>
      </c>
    </row>
    <row r="153">
      <c r="B153" s="32">
        <f>'Historique ajusté'!B153</f>
        <v/>
      </c>
      <c r="C153" s="34">
        <f>IF(OR('Historique ajusté'!C153="",'Historique ajusté'!C152=""),"",IF(ABS(LN('Historique ajusté'!C153/'Historique ajusté'!C152))&gt;Seuil_aberrant,"",'Historique ajusté'!C153/'Historique ajusté'!C152-1))</f>
        <v/>
      </c>
      <c r="D153" s="34">
        <f>IF(OR('Historique ajusté'!D153="",'Historique ajusté'!D152=""),"",IF(ABS(LN('Historique ajusté'!D153/'Historique ajusté'!D152))&gt;Seuil_aberrant,"",'Historique ajusté'!D153/'Historique ajusté'!D152-1))</f>
        <v/>
      </c>
      <c r="E153" s="34">
        <f>IF(OR('Historique ajusté'!E153="",'Historique ajusté'!E152=""),"",IF(ABS(LN('Historique ajusté'!E153/'Historique ajusté'!E152))&gt;Seuil_aberrant,"",'Historique ajusté'!E153/'Historique ajusté'!E152-1))</f>
        <v/>
      </c>
      <c r="F153" s="34">
        <f>IF(OR('Historique ajusté'!F153="",'Historique ajusté'!F152=""),"",IF(ABS(LN('Historique ajusté'!F153/'Historique ajusté'!F152))&gt;Seuil_aberrant,"",'Historique ajusté'!F153/'Historique ajusté'!F152-1))</f>
        <v/>
      </c>
      <c r="G153" s="34">
        <f>IF(OR('Historique ajusté'!G153="",'Historique ajusté'!G152=""),"",IF(ABS(LN('Historique ajusté'!G153/'Historique ajusté'!G152))&gt;Seuil_aberrant,"",'Historique ajusté'!G153/'Historique ajusté'!G152-1))</f>
        <v/>
      </c>
      <c r="H153" s="34">
        <f>IF(OR('Historique ajusté'!H153="",'Historique ajusté'!H152=""),"",IF(ABS(LN('Historique ajusté'!H153/'Historique ajusté'!H152))&gt;Seuil_aberrant,"",'Historique ajusté'!H153/'Historique ajusté'!H152-1))</f>
        <v/>
      </c>
      <c r="I153" s="34">
        <f>IF(OR('Historique ajusté'!I153="",'Historique ajusté'!I152=""),"",IF(ABS(LN('Historique ajusté'!I153/'Historique ajusté'!I152))&gt;Seuil_aberrant,"",'Historique ajusté'!I153/'Historique ajusté'!I152-1))</f>
        <v/>
      </c>
      <c r="J153" s="34">
        <f>IF(OR('Historique ajusté'!J153="",'Historique ajusté'!J152=""),"",IF(ABS(LN('Historique ajusté'!J153/'Historique ajusté'!J152))&gt;Seuil_aberrant,"",'Historique ajusté'!J153/'Historique ajusté'!J152-1))</f>
        <v/>
      </c>
      <c r="K153" s="34">
        <f>IF(OR('Historique ajusté'!K153="",'Historique ajusté'!K152=""),"",IF(ABS(LN('Historique ajusté'!K153/'Historique ajusté'!K152))&gt;Seuil_aberrant,"",'Historique ajusté'!K153/'Historique ajusté'!K152-1))</f>
        <v/>
      </c>
      <c r="L153" s="34">
        <f>IF(OR('Historique ajusté'!L153="",'Historique ajusté'!L152=""),"",IF(ABS(LN('Historique ajusté'!L153/'Historique ajusté'!L152))&gt;Seuil_aberrant,"",'Historique ajusté'!L153/'Historique ajusté'!L152-1))</f>
        <v/>
      </c>
      <c r="M153" s="34">
        <f>IF(OR('Historique ajusté'!M153="",'Historique ajusté'!M152=""),"",IF(ABS(LN('Historique ajusté'!M153/'Historique ajusté'!M152))&gt;Seuil_aberrant,"",'Historique ajusté'!M153/'Historique ajusté'!M152-1))</f>
        <v/>
      </c>
      <c r="N153" s="34">
        <f>IF(OR('Historique ajusté'!N153="",'Historique ajusté'!N152=""),"",IF(ABS(LN('Historique ajusté'!N153/'Historique ajusté'!N152))&gt;Seuil_aberrant,"",'Historique ajusté'!N153/'Historique ajusté'!N152-1))</f>
        <v/>
      </c>
      <c r="O153" s="34">
        <f>IF(OR('Historique ajusté'!O153="",'Historique ajusté'!O152=""),"",IF(ABS(LN('Historique ajusté'!O153/'Historique ajusté'!O152))&gt;Seuil_aberrant,"",'Historique ajusté'!O153/'Historique ajusté'!O152-1))</f>
        <v/>
      </c>
      <c r="P153" s="34">
        <f>IF(OR('Historique ajusté'!P153="",'Historique ajusté'!P152=""),"",IF(ABS(LN('Historique ajusté'!P153/'Historique ajusté'!P152))&gt;Seuil_aberrant,"",'Historique ajusté'!P153/'Historique ajusté'!P152-1))</f>
        <v/>
      </c>
    </row>
    <row r="154">
      <c r="B154" s="32">
        <f>'Historique ajusté'!B154</f>
        <v/>
      </c>
      <c r="C154" s="34">
        <f>IF(OR('Historique ajusté'!C154="",'Historique ajusté'!C153=""),"",IF(ABS(LN('Historique ajusté'!C154/'Historique ajusté'!C153))&gt;Seuil_aberrant,"",'Historique ajusté'!C154/'Historique ajusté'!C153-1))</f>
        <v/>
      </c>
      <c r="D154" s="34">
        <f>IF(OR('Historique ajusté'!D154="",'Historique ajusté'!D153=""),"",IF(ABS(LN('Historique ajusté'!D154/'Historique ajusté'!D153))&gt;Seuil_aberrant,"",'Historique ajusté'!D154/'Historique ajusté'!D153-1))</f>
        <v/>
      </c>
      <c r="E154" s="34">
        <f>IF(OR('Historique ajusté'!E154="",'Historique ajusté'!E153=""),"",IF(ABS(LN('Historique ajusté'!E154/'Historique ajusté'!E153))&gt;Seuil_aberrant,"",'Historique ajusté'!E154/'Historique ajusté'!E153-1))</f>
        <v/>
      </c>
      <c r="F154" s="34">
        <f>IF(OR('Historique ajusté'!F154="",'Historique ajusté'!F153=""),"",IF(ABS(LN('Historique ajusté'!F154/'Historique ajusté'!F153))&gt;Seuil_aberrant,"",'Historique ajusté'!F154/'Historique ajusté'!F153-1))</f>
        <v/>
      </c>
      <c r="G154" s="34">
        <f>IF(OR('Historique ajusté'!G154="",'Historique ajusté'!G153=""),"",IF(ABS(LN('Historique ajusté'!G154/'Historique ajusté'!G153))&gt;Seuil_aberrant,"",'Historique ajusté'!G154/'Historique ajusté'!G153-1))</f>
        <v/>
      </c>
      <c r="H154" s="34">
        <f>IF(OR('Historique ajusté'!H154="",'Historique ajusté'!H153=""),"",IF(ABS(LN('Historique ajusté'!H154/'Historique ajusté'!H153))&gt;Seuil_aberrant,"",'Historique ajusté'!H154/'Historique ajusté'!H153-1))</f>
        <v/>
      </c>
      <c r="I154" s="34">
        <f>IF(OR('Historique ajusté'!I154="",'Historique ajusté'!I153=""),"",IF(ABS(LN('Historique ajusté'!I154/'Historique ajusté'!I153))&gt;Seuil_aberrant,"",'Historique ajusté'!I154/'Historique ajusté'!I153-1))</f>
        <v/>
      </c>
      <c r="J154" s="34">
        <f>IF(OR('Historique ajusté'!J154="",'Historique ajusté'!J153=""),"",IF(ABS(LN('Historique ajusté'!J154/'Historique ajusté'!J153))&gt;Seuil_aberrant,"",'Historique ajusté'!J154/'Historique ajusté'!J153-1))</f>
        <v/>
      </c>
      <c r="K154" s="34">
        <f>IF(OR('Historique ajusté'!K154="",'Historique ajusté'!K153=""),"",IF(ABS(LN('Historique ajusté'!K154/'Historique ajusté'!K153))&gt;Seuil_aberrant,"",'Historique ajusté'!K154/'Historique ajusté'!K153-1))</f>
        <v/>
      </c>
      <c r="L154" s="34">
        <f>IF(OR('Historique ajusté'!L154="",'Historique ajusté'!L153=""),"",IF(ABS(LN('Historique ajusté'!L154/'Historique ajusté'!L153))&gt;Seuil_aberrant,"",'Historique ajusté'!L154/'Historique ajusté'!L153-1))</f>
        <v/>
      </c>
      <c r="M154" s="34">
        <f>IF(OR('Historique ajusté'!M154="",'Historique ajusté'!M153=""),"",IF(ABS(LN('Historique ajusté'!M154/'Historique ajusté'!M153))&gt;Seuil_aberrant,"",'Historique ajusté'!M154/'Historique ajusté'!M153-1))</f>
        <v/>
      </c>
      <c r="N154" s="34">
        <f>IF(OR('Historique ajusté'!N154="",'Historique ajusté'!N153=""),"",IF(ABS(LN('Historique ajusté'!N154/'Historique ajusté'!N153))&gt;Seuil_aberrant,"",'Historique ajusté'!N154/'Historique ajusté'!N153-1))</f>
        <v/>
      </c>
      <c r="O154" s="34">
        <f>IF(OR('Historique ajusté'!O154="",'Historique ajusté'!O153=""),"",IF(ABS(LN('Historique ajusté'!O154/'Historique ajusté'!O153))&gt;Seuil_aberrant,"",'Historique ajusté'!O154/'Historique ajusté'!O153-1))</f>
        <v/>
      </c>
      <c r="P154" s="34">
        <f>IF(OR('Historique ajusté'!P154="",'Historique ajusté'!P153=""),"",IF(ABS(LN('Historique ajusté'!P154/'Historique ajusté'!P153))&gt;Seuil_aberrant,"",'Historique ajusté'!P154/'Historique ajusté'!P153-1))</f>
        <v/>
      </c>
    </row>
    <row r="155">
      <c r="B155" s="32">
        <f>'Historique ajusté'!B155</f>
        <v/>
      </c>
      <c r="C155" s="34">
        <f>IF(OR('Historique ajusté'!C155="",'Historique ajusté'!C154=""),"",IF(ABS(LN('Historique ajusté'!C155/'Historique ajusté'!C154))&gt;Seuil_aberrant,"",'Historique ajusté'!C155/'Historique ajusté'!C154-1))</f>
        <v/>
      </c>
      <c r="D155" s="34">
        <f>IF(OR('Historique ajusté'!D155="",'Historique ajusté'!D154=""),"",IF(ABS(LN('Historique ajusté'!D155/'Historique ajusté'!D154))&gt;Seuil_aberrant,"",'Historique ajusté'!D155/'Historique ajusté'!D154-1))</f>
        <v/>
      </c>
      <c r="E155" s="34">
        <f>IF(OR('Historique ajusté'!E155="",'Historique ajusté'!E154=""),"",IF(ABS(LN('Historique ajusté'!E155/'Historique ajusté'!E154))&gt;Seuil_aberrant,"",'Historique ajusté'!E155/'Historique ajusté'!E154-1))</f>
        <v/>
      </c>
      <c r="F155" s="34">
        <f>IF(OR('Historique ajusté'!F155="",'Historique ajusté'!F154=""),"",IF(ABS(LN('Historique ajusté'!F155/'Historique ajusté'!F154))&gt;Seuil_aberrant,"",'Historique ajusté'!F155/'Historique ajusté'!F154-1))</f>
        <v/>
      </c>
      <c r="G155" s="34">
        <f>IF(OR('Historique ajusté'!G155="",'Historique ajusté'!G154=""),"",IF(ABS(LN('Historique ajusté'!G155/'Historique ajusté'!G154))&gt;Seuil_aberrant,"",'Historique ajusté'!G155/'Historique ajusté'!G154-1))</f>
        <v/>
      </c>
      <c r="H155" s="34">
        <f>IF(OR('Historique ajusté'!H155="",'Historique ajusté'!H154=""),"",IF(ABS(LN('Historique ajusté'!H155/'Historique ajusté'!H154))&gt;Seuil_aberrant,"",'Historique ajusté'!H155/'Historique ajusté'!H154-1))</f>
        <v/>
      </c>
      <c r="I155" s="34">
        <f>IF(OR('Historique ajusté'!I155="",'Historique ajusté'!I154=""),"",IF(ABS(LN('Historique ajusté'!I155/'Historique ajusté'!I154))&gt;Seuil_aberrant,"",'Historique ajusté'!I155/'Historique ajusté'!I154-1))</f>
        <v/>
      </c>
      <c r="J155" s="34">
        <f>IF(OR('Historique ajusté'!J155="",'Historique ajusté'!J154=""),"",IF(ABS(LN('Historique ajusté'!J155/'Historique ajusté'!J154))&gt;Seuil_aberrant,"",'Historique ajusté'!J155/'Historique ajusté'!J154-1))</f>
        <v/>
      </c>
      <c r="K155" s="34">
        <f>IF(OR('Historique ajusté'!K155="",'Historique ajusté'!K154=""),"",IF(ABS(LN('Historique ajusté'!K155/'Historique ajusté'!K154))&gt;Seuil_aberrant,"",'Historique ajusté'!K155/'Historique ajusté'!K154-1))</f>
        <v/>
      </c>
      <c r="L155" s="34">
        <f>IF(OR('Historique ajusté'!L155="",'Historique ajusté'!L154=""),"",IF(ABS(LN('Historique ajusté'!L155/'Historique ajusté'!L154))&gt;Seuil_aberrant,"",'Historique ajusté'!L155/'Historique ajusté'!L154-1))</f>
        <v/>
      </c>
      <c r="M155" s="34">
        <f>IF(OR('Historique ajusté'!M155="",'Historique ajusté'!M154=""),"",IF(ABS(LN('Historique ajusté'!M155/'Historique ajusté'!M154))&gt;Seuil_aberrant,"",'Historique ajusté'!M155/'Historique ajusté'!M154-1))</f>
        <v/>
      </c>
      <c r="N155" s="34">
        <f>IF(OR('Historique ajusté'!N155="",'Historique ajusté'!N154=""),"",IF(ABS(LN('Historique ajusté'!N155/'Historique ajusté'!N154))&gt;Seuil_aberrant,"",'Historique ajusté'!N155/'Historique ajusté'!N154-1))</f>
        <v/>
      </c>
      <c r="O155" s="34">
        <f>IF(OR('Historique ajusté'!O155="",'Historique ajusté'!O154=""),"",IF(ABS(LN('Historique ajusté'!O155/'Historique ajusté'!O154))&gt;Seuil_aberrant,"",'Historique ajusté'!O155/'Historique ajusté'!O154-1))</f>
        <v/>
      </c>
      <c r="P155" s="34">
        <f>IF(OR('Historique ajusté'!P155="",'Historique ajusté'!P154=""),"",IF(ABS(LN('Historique ajusté'!P155/'Historique ajusté'!P154))&gt;Seuil_aberrant,"",'Historique ajusté'!P155/'Historique ajusté'!P154-1))</f>
        <v/>
      </c>
    </row>
    <row r="156">
      <c r="B156" s="32">
        <f>'Historique ajusté'!B156</f>
        <v/>
      </c>
      <c r="C156" s="34">
        <f>IF(OR('Historique ajusté'!C156="",'Historique ajusté'!C155=""),"",IF(ABS(LN('Historique ajusté'!C156/'Historique ajusté'!C155))&gt;Seuil_aberrant,"",'Historique ajusté'!C156/'Historique ajusté'!C155-1))</f>
        <v/>
      </c>
      <c r="D156" s="34">
        <f>IF(OR('Historique ajusté'!D156="",'Historique ajusté'!D155=""),"",IF(ABS(LN('Historique ajusté'!D156/'Historique ajusté'!D155))&gt;Seuil_aberrant,"",'Historique ajusté'!D156/'Historique ajusté'!D155-1))</f>
        <v/>
      </c>
      <c r="E156" s="34">
        <f>IF(OR('Historique ajusté'!E156="",'Historique ajusté'!E155=""),"",IF(ABS(LN('Historique ajusté'!E156/'Historique ajusté'!E155))&gt;Seuil_aberrant,"",'Historique ajusté'!E156/'Historique ajusté'!E155-1))</f>
        <v/>
      </c>
      <c r="F156" s="34">
        <f>IF(OR('Historique ajusté'!F156="",'Historique ajusté'!F155=""),"",IF(ABS(LN('Historique ajusté'!F156/'Historique ajusté'!F155))&gt;Seuil_aberrant,"",'Historique ajusté'!F156/'Historique ajusté'!F155-1))</f>
        <v/>
      </c>
      <c r="G156" s="34">
        <f>IF(OR('Historique ajusté'!G156="",'Historique ajusté'!G155=""),"",IF(ABS(LN('Historique ajusté'!G156/'Historique ajusté'!G155))&gt;Seuil_aberrant,"",'Historique ajusté'!G156/'Historique ajusté'!G155-1))</f>
        <v/>
      </c>
      <c r="H156" s="34">
        <f>IF(OR('Historique ajusté'!H156="",'Historique ajusté'!H155=""),"",IF(ABS(LN('Historique ajusté'!H156/'Historique ajusté'!H155))&gt;Seuil_aberrant,"",'Historique ajusté'!H156/'Historique ajusté'!H155-1))</f>
        <v/>
      </c>
      <c r="I156" s="34">
        <f>IF(OR('Historique ajusté'!I156="",'Historique ajusté'!I155=""),"",IF(ABS(LN('Historique ajusté'!I156/'Historique ajusté'!I155))&gt;Seuil_aberrant,"",'Historique ajusté'!I156/'Historique ajusté'!I155-1))</f>
        <v/>
      </c>
      <c r="J156" s="34">
        <f>IF(OR('Historique ajusté'!J156="",'Historique ajusté'!J155=""),"",IF(ABS(LN('Historique ajusté'!J156/'Historique ajusté'!J155))&gt;Seuil_aberrant,"",'Historique ajusté'!J156/'Historique ajusté'!J155-1))</f>
        <v/>
      </c>
      <c r="K156" s="34">
        <f>IF(OR('Historique ajusté'!K156="",'Historique ajusté'!K155=""),"",IF(ABS(LN('Historique ajusté'!K156/'Historique ajusté'!K155))&gt;Seuil_aberrant,"",'Historique ajusté'!K156/'Historique ajusté'!K155-1))</f>
        <v/>
      </c>
      <c r="L156" s="34">
        <f>IF(OR('Historique ajusté'!L156="",'Historique ajusté'!L155=""),"",IF(ABS(LN('Historique ajusté'!L156/'Historique ajusté'!L155))&gt;Seuil_aberrant,"",'Historique ajusté'!L156/'Historique ajusté'!L155-1))</f>
        <v/>
      </c>
      <c r="M156" s="34">
        <f>IF(OR('Historique ajusté'!M156="",'Historique ajusté'!M155=""),"",IF(ABS(LN('Historique ajusté'!M156/'Historique ajusté'!M155))&gt;Seuil_aberrant,"",'Historique ajusté'!M156/'Historique ajusté'!M155-1))</f>
        <v/>
      </c>
      <c r="N156" s="34">
        <f>IF(OR('Historique ajusté'!N156="",'Historique ajusté'!N155=""),"",IF(ABS(LN('Historique ajusté'!N156/'Historique ajusté'!N155))&gt;Seuil_aberrant,"",'Historique ajusté'!N156/'Historique ajusté'!N155-1))</f>
        <v/>
      </c>
      <c r="O156" s="34">
        <f>IF(OR('Historique ajusté'!O156="",'Historique ajusté'!O155=""),"",IF(ABS(LN('Historique ajusté'!O156/'Historique ajusté'!O155))&gt;Seuil_aberrant,"",'Historique ajusté'!O156/'Historique ajusté'!O155-1))</f>
        <v/>
      </c>
      <c r="P156" s="34">
        <f>IF(OR('Historique ajusté'!P156="",'Historique ajusté'!P155=""),"",IF(ABS(LN('Historique ajusté'!P156/'Historique ajusté'!P155))&gt;Seuil_aberrant,"",'Historique ajusté'!P156/'Historique ajusté'!P155-1))</f>
        <v/>
      </c>
    </row>
    <row r="157">
      <c r="B157" s="32">
        <f>'Historique ajusté'!B157</f>
        <v/>
      </c>
      <c r="C157" s="34">
        <f>IF(OR('Historique ajusté'!C157="",'Historique ajusté'!C156=""),"",IF(ABS(LN('Historique ajusté'!C157/'Historique ajusté'!C156))&gt;Seuil_aberrant,"",'Historique ajusté'!C157/'Historique ajusté'!C156-1))</f>
        <v/>
      </c>
      <c r="D157" s="34">
        <f>IF(OR('Historique ajusté'!D157="",'Historique ajusté'!D156=""),"",IF(ABS(LN('Historique ajusté'!D157/'Historique ajusté'!D156))&gt;Seuil_aberrant,"",'Historique ajusté'!D157/'Historique ajusté'!D156-1))</f>
        <v/>
      </c>
      <c r="E157" s="34">
        <f>IF(OR('Historique ajusté'!E157="",'Historique ajusté'!E156=""),"",IF(ABS(LN('Historique ajusté'!E157/'Historique ajusté'!E156))&gt;Seuil_aberrant,"",'Historique ajusté'!E157/'Historique ajusté'!E156-1))</f>
        <v/>
      </c>
      <c r="F157" s="34">
        <f>IF(OR('Historique ajusté'!F157="",'Historique ajusté'!F156=""),"",IF(ABS(LN('Historique ajusté'!F157/'Historique ajusté'!F156))&gt;Seuil_aberrant,"",'Historique ajusté'!F157/'Historique ajusté'!F156-1))</f>
        <v/>
      </c>
      <c r="G157" s="34">
        <f>IF(OR('Historique ajusté'!G157="",'Historique ajusté'!G156=""),"",IF(ABS(LN('Historique ajusté'!G157/'Historique ajusté'!G156))&gt;Seuil_aberrant,"",'Historique ajusté'!G157/'Historique ajusté'!G156-1))</f>
        <v/>
      </c>
      <c r="H157" s="34">
        <f>IF(OR('Historique ajusté'!H157="",'Historique ajusté'!H156=""),"",IF(ABS(LN('Historique ajusté'!H157/'Historique ajusté'!H156))&gt;Seuil_aberrant,"",'Historique ajusté'!H157/'Historique ajusté'!H156-1))</f>
        <v/>
      </c>
      <c r="I157" s="34">
        <f>IF(OR('Historique ajusté'!I157="",'Historique ajusté'!I156=""),"",IF(ABS(LN('Historique ajusté'!I157/'Historique ajusté'!I156))&gt;Seuil_aberrant,"",'Historique ajusté'!I157/'Historique ajusté'!I156-1))</f>
        <v/>
      </c>
      <c r="J157" s="34">
        <f>IF(OR('Historique ajusté'!J157="",'Historique ajusté'!J156=""),"",IF(ABS(LN('Historique ajusté'!J157/'Historique ajusté'!J156))&gt;Seuil_aberrant,"",'Historique ajusté'!J157/'Historique ajusté'!J156-1))</f>
        <v/>
      </c>
      <c r="K157" s="34">
        <f>IF(OR('Historique ajusté'!K157="",'Historique ajusté'!K156=""),"",IF(ABS(LN('Historique ajusté'!K157/'Historique ajusté'!K156))&gt;Seuil_aberrant,"",'Historique ajusté'!K157/'Historique ajusté'!K156-1))</f>
        <v/>
      </c>
      <c r="L157" s="34">
        <f>IF(OR('Historique ajusté'!L157="",'Historique ajusté'!L156=""),"",IF(ABS(LN('Historique ajusté'!L157/'Historique ajusté'!L156))&gt;Seuil_aberrant,"",'Historique ajusté'!L157/'Historique ajusté'!L156-1))</f>
        <v/>
      </c>
      <c r="M157" s="34">
        <f>IF(OR('Historique ajusté'!M157="",'Historique ajusté'!M156=""),"",IF(ABS(LN('Historique ajusté'!M157/'Historique ajusté'!M156))&gt;Seuil_aberrant,"",'Historique ajusté'!M157/'Historique ajusté'!M156-1))</f>
        <v/>
      </c>
      <c r="N157" s="34">
        <f>IF(OR('Historique ajusté'!N157="",'Historique ajusté'!N156=""),"",IF(ABS(LN('Historique ajusté'!N157/'Historique ajusté'!N156))&gt;Seuil_aberrant,"",'Historique ajusté'!N157/'Historique ajusté'!N156-1))</f>
        <v/>
      </c>
      <c r="O157" s="34">
        <f>IF(OR('Historique ajusté'!O157="",'Historique ajusté'!O156=""),"",IF(ABS(LN('Historique ajusté'!O157/'Historique ajusté'!O156))&gt;Seuil_aberrant,"",'Historique ajusté'!O157/'Historique ajusté'!O156-1))</f>
        <v/>
      </c>
      <c r="P157" s="34">
        <f>IF(OR('Historique ajusté'!P157="",'Historique ajusté'!P156=""),"",IF(ABS(LN('Historique ajusté'!P157/'Historique ajusté'!P156))&gt;Seuil_aberrant,"",'Historique ajusté'!P157/'Historique ajusté'!P156-1))</f>
        <v/>
      </c>
    </row>
    <row r="158">
      <c r="B158" s="32">
        <f>'Historique ajusté'!B158</f>
        <v/>
      </c>
      <c r="C158" s="34">
        <f>IF(OR('Historique ajusté'!C158="",'Historique ajusté'!C157=""),"",IF(ABS(LN('Historique ajusté'!C158/'Historique ajusté'!C157))&gt;Seuil_aberrant,"",'Historique ajusté'!C158/'Historique ajusté'!C157-1))</f>
        <v/>
      </c>
      <c r="D158" s="34">
        <f>IF(OR('Historique ajusté'!D158="",'Historique ajusté'!D157=""),"",IF(ABS(LN('Historique ajusté'!D158/'Historique ajusté'!D157))&gt;Seuil_aberrant,"",'Historique ajusté'!D158/'Historique ajusté'!D157-1))</f>
        <v/>
      </c>
      <c r="E158" s="34">
        <f>IF(OR('Historique ajusté'!E158="",'Historique ajusté'!E157=""),"",IF(ABS(LN('Historique ajusté'!E158/'Historique ajusté'!E157))&gt;Seuil_aberrant,"",'Historique ajusté'!E158/'Historique ajusté'!E157-1))</f>
        <v/>
      </c>
      <c r="F158" s="34">
        <f>IF(OR('Historique ajusté'!F158="",'Historique ajusté'!F157=""),"",IF(ABS(LN('Historique ajusté'!F158/'Historique ajusté'!F157))&gt;Seuil_aberrant,"",'Historique ajusté'!F158/'Historique ajusté'!F157-1))</f>
        <v/>
      </c>
      <c r="G158" s="34">
        <f>IF(OR('Historique ajusté'!G158="",'Historique ajusté'!G157=""),"",IF(ABS(LN('Historique ajusté'!G158/'Historique ajusté'!G157))&gt;Seuil_aberrant,"",'Historique ajusté'!G158/'Historique ajusté'!G157-1))</f>
        <v/>
      </c>
      <c r="H158" s="34">
        <f>IF(OR('Historique ajusté'!H158="",'Historique ajusté'!H157=""),"",IF(ABS(LN('Historique ajusté'!H158/'Historique ajusté'!H157))&gt;Seuil_aberrant,"",'Historique ajusté'!H158/'Historique ajusté'!H157-1))</f>
        <v/>
      </c>
      <c r="I158" s="34">
        <f>IF(OR('Historique ajusté'!I158="",'Historique ajusté'!I157=""),"",IF(ABS(LN('Historique ajusté'!I158/'Historique ajusté'!I157))&gt;Seuil_aberrant,"",'Historique ajusté'!I158/'Historique ajusté'!I157-1))</f>
        <v/>
      </c>
      <c r="J158" s="34">
        <f>IF(OR('Historique ajusté'!J158="",'Historique ajusté'!J157=""),"",IF(ABS(LN('Historique ajusté'!J158/'Historique ajusté'!J157))&gt;Seuil_aberrant,"",'Historique ajusté'!J158/'Historique ajusté'!J157-1))</f>
        <v/>
      </c>
      <c r="K158" s="34">
        <f>IF(OR('Historique ajusté'!K158="",'Historique ajusté'!K157=""),"",IF(ABS(LN('Historique ajusté'!K158/'Historique ajusté'!K157))&gt;Seuil_aberrant,"",'Historique ajusté'!K158/'Historique ajusté'!K157-1))</f>
        <v/>
      </c>
      <c r="L158" s="34">
        <f>IF(OR('Historique ajusté'!L158="",'Historique ajusté'!L157=""),"",IF(ABS(LN('Historique ajusté'!L158/'Historique ajusté'!L157))&gt;Seuil_aberrant,"",'Historique ajusté'!L158/'Historique ajusté'!L157-1))</f>
        <v/>
      </c>
      <c r="M158" s="34">
        <f>IF(OR('Historique ajusté'!M158="",'Historique ajusté'!M157=""),"",IF(ABS(LN('Historique ajusté'!M158/'Historique ajusté'!M157))&gt;Seuil_aberrant,"",'Historique ajusté'!M158/'Historique ajusté'!M157-1))</f>
        <v/>
      </c>
      <c r="N158" s="34">
        <f>IF(OR('Historique ajusté'!N158="",'Historique ajusté'!N157=""),"",IF(ABS(LN('Historique ajusté'!N158/'Historique ajusté'!N157))&gt;Seuil_aberrant,"",'Historique ajusté'!N158/'Historique ajusté'!N157-1))</f>
        <v/>
      </c>
      <c r="O158" s="34">
        <f>IF(OR('Historique ajusté'!O158="",'Historique ajusté'!O157=""),"",IF(ABS(LN('Historique ajusté'!O158/'Historique ajusté'!O157))&gt;Seuil_aberrant,"",'Historique ajusté'!O158/'Historique ajusté'!O157-1))</f>
        <v/>
      </c>
      <c r="P158" s="34">
        <f>IF(OR('Historique ajusté'!P158="",'Historique ajusté'!P157=""),"",IF(ABS(LN('Historique ajusté'!P158/'Historique ajusté'!P157))&gt;Seuil_aberrant,"",'Historique ajusté'!P158/'Historique ajusté'!P157-1))</f>
        <v/>
      </c>
    </row>
    <row r="159">
      <c r="B159" s="32">
        <f>'Historique ajusté'!B159</f>
        <v/>
      </c>
      <c r="C159" s="34">
        <f>IF(OR('Historique ajusté'!C159="",'Historique ajusté'!C158=""),"",IF(ABS(LN('Historique ajusté'!C159/'Historique ajusté'!C158))&gt;Seuil_aberrant,"",'Historique ajusté'!C159/'Historique ajusté'!C158-1))</f>
        <v/>
      </c>
      <c r="D159" s="34">
        <f>IF(OR('Historique ajusté'!D159="",'Historique ajusté'!D158=""),"",IF(ABS(LN('Historique ajusté'!D159/'Historique ajusté'!D158))&gt;Seuil_aberrant,"",'Historique ajusté'!D159/'Historique ajusté'!D158-1))</f>
        <v/>
      </c>
      <c r="E159" s="34">
        <f>IF(OR('Historique ajusté'!E159="",'Historique ajusté'!E158=""),"",IF(ABS(LN('Historique ajusté'!E159/'Historique ajusté'!E158))&gt;Seuil_aberrant,"",'Historique ajusté'!E159/'Historique ajusté'!E158-1))</f>
        <v/>
      </c>
      <c r="F159" s="34">
        <f>IF(OR('Historique ajusté'!F159="",'Historique ajusté'!F158=""),"",IF(ABS(LN('Historique ajusté'!F159/'Historique ajusté'!F158))&gt;Seuil_aberrant,"",'Historique ajusté'!F159/'Historique ajusté'!F158-1))</f>
        <v/>
      </c>
      <c r="G159" s="34">
        <f>IF(OR('Historique ajusté'!G159="",'Historique ajusté'!G158=""),"",IF(ABS(LN('Historique ajusté'!G159/'Historique ajusté'!G158))&gt;Seuil_aberrant,"",'Historique ajusté'!G159/'Historique ajusté'!G158-1))</f>
        <v/>
      </c>
      <c r="H159" s="34">
        <f>IF(OR('Historique ajusté'!H159="",'Historique ajusté'!H158=""),"",IF(ABS(LN('Historique ajusté'!H159/'Historique ajusté'!H158))&gt;Seuil_aberrant,"",'Historique ajusté'!H159/'Historique ajusté'!H158-1))</f>
        <v/>
      </c>
      <c r="I159" s="34">
        <f>IF(OR('Historique ajusté'!I159="",'Historique ajusté'!I158=""),"",IF(ABS(LN('Historique ajusté'!I159/'Historique ajusté'!I158))&gt;Seuil_aberrant,"",'Historique ajusté'!I159/'Historique ajusté'!I158-1))</f>
        <v/>
      </c>
      <c r="J159" s="34">
        <f>IF(OR('Historique ajusté'!J159="",'Historique ajusté'!J158=""),"",IF(ABS(LN('Historique ajusté'!J159/'Historique ajusté'!J158))&gt;Seuil_aberrant,"",'Historique ajusté'!J159/'Historique ajusté'!J158-1))</f>
        <v/>
      </c>
      <c r="K159" s="34">
        <f>IF(OR('Historique ajusté'!K159="",'Historique ajusté'!K158=""),"",IF(ABS(LN('Historique ajusté'!K159/'Historique ajusté'!K158))&gt;Seuil_aberrant,"",'Historique ajusté'!K159/'Historique ajusté'!K158-1))</f>
        <v/>
      </c>
      <c r="L159" s="34">
        <f>IF(OR('Historique ajusté'!L159="",'Historique ajusté'!L158=""),"",IF(ABS(LN('Historique ajusté'!L159/'Historique ajusté'!L158))&gt;Seuil_aberrant,"",'Historique ajusté'!L159/'Historique ajusté'!L158-1))</f>
        <v/>
      </c>
      <c r="M159" s="34">
        <f>IF(OR('Historique ajusté'!M159="",'Historique ajusté'!M158=""),"",IF(ABS(LN('Historique ajusté'!M159/'Historique ajusté'!M158))&gt;Seuil_aberrant,"",'Historique ajusté'!M159/'Historique ajusté'!M158-1))</f>
        <v/>
      </c>
      <c r="N159" s="34">
        <f>IF(OR('Historique ajusté'!N159="",'Historique ajusté'!N158=""),"",IF(ABS(LN('Historique ajusté'!N159/'Historique ajusté'!N158))&gt;Seuil_aberrant,"",'Historique ajusté'!N159/'Historique ajusté'!N158-1))</f>
        <v/>
      </c>
      <c r="O159" s="34">
        <f>IF(OR('Historique ajusté'!O159="",'Historique ajusté'!O158=""),"",IF(ABS(LN('Historique ajusté'!O159/'Historique ajusté'!O158))&gt;Seuil_aberrant,"",'Historique ajusté'!O159/'Historique ajusté'!O158-1))</f>
        <v/>
      </c>
      <c r="P159" s="34">
        <f>IF(OR('Historique ajusté'!P159="",'Historique ajusté'!P158=""),"",IF(ABS(LN('Historique ajusté'!P159/'Historique ajusté'!P158))&gt;Seuil_aberrant,"",'Historique ajusté'!P159/'Historique ajusté'!P158-1))</f>
        <v/>
      </c>
    </row>
    <row r="160">
      <c r="B160" s="32">
        <f>'Historique ajusté'!B160</f>
        <v/>
      </c>
      <c r="C160" s="34">
        <f>IF(OR('Historique ajusté'!C160="",'Historique ajusté'!C159=""),"",IF(ABS(LN('Historique ajusté'!C160/'Historique ajusté'!C159))&gt;Seuil_aberrant,"",'Historique ajusté'!C160/'Historique ajusté'!C159-1))</f>
        <v/>
      </c>
      <c r="D160" s="34">
        <f>IF(OR('Historique ajusté'!D160="",'Historique ajusté'!D159=""),"",IF(ABS(LN('Historique ajusté'!D160/'Historique ajusté'!D159))&gt;Seuil_aberrant,"",'Historique ajusté'!D160/'Historique ajusté'!D159-1))</f>
        <v/>
      </c>
      <c r="E160" s="34">
        <f>IF(OR('Historique ajusté'!E160="",'Historique ajusté'!E159=""),"",IF(ABS(LN('Historique ajusté'!E160/'Historique ajusté'!E159))&gt;Seuil_aberrant,"",'Historique ajusté'!E160/'Historique ajusté'!E159-1))</f>
        <v/>
      </c>
      <c r="F160" s="34">
        <f>IF(OR('Historique ajusté'!F160="",'Historique ajusté'!F159=""),"",IF(ABS(LN('Historique ajusté'!F160/'Historique ajusté'!F159))&gt;Seuil_aberrant,"",'Historique ajusté'!F160/'Historique ajusté'!F159-1))</f>
        <v/>
      </c>
      <c r="G160" s="34">
        <f>IF(OR('Historique ajusté'!G160="",'Historique ajusté'!G159=""),"",IF(ABS(LN('Historique ajusté'!G160/'Historique ajusté'!G159))&gt;Seuil_aberrant,"",'Historique ajusté'!G160/'Historique ajusté'!G159-1))</f>
        <v/>
      </c>
      <c r="H160" s="34">
        <f>IF(OR('Historique ajusté'!H160="",'Historique ajusté'!H159=""),"",IF(ABS(LN('Historique ajusté'!H160/'Historique ajusté'!H159))&gt;Seuil_aberrant,"",'Historique ajusté'!H160/'Historique ajusté'!H159-1))</f>
        <v/>
      </c>
      <c r="I160" s="34">
        <f>IF(OR('Historique ajusté'!I160="",'Historique ajusté'!I159=""),"",IF(ABS(LN('Historique ajusté'!I160/'Historique ajusté'!I159))&gt;Seuil_aberrant,"",'Historique ajusté'!I160/'Historique ajusté'!I159-1))</f>
        <v/>
      </c>
      <c r="J160" s="34">
        <f>IF(OR('Historique ajusté'!J160="",'Historique ajusté'!J159=""),"",IF(ABS(LN('Historique ajusté'!J160/'Historique ajusté'!J159))&gt;Seuil_aberrant,"",'Historique ajusté'!J160/'Historique ajusté'!J159-1))</f>
        <v/>
      </c>
      <c r="K160" s="34">
        <f>IF(OR('Historique ajusté'!K160="",'Historique ajusté'!K159=""),"",IF(ABS(LN('Historique ajusté'!K160/'Historique ajusté'!K159))&gt;Seuil_aberrant,"",'Historique ajusté'!K160/'Historique ajusté'!K159-1))</f>
        <v/>
      </c>
      <c r="L160" s="34">
        <f>IF(OR('Historique ajusté'!L160="",'Historique ajusté'!L159=""),"",IF(ABS(LN('Historique ajusté'!L160/'Historique ajusté'!L159))&gt;Seuil_aberrant,"",'Historique ajusté'!L160/'Historique ajusté'!L159-1))</f>
        <v/>
      </c>
      <c r="M160" s="34">
        <f>IF(OR('Historique ajusté'!M160="",'Historique ajusté'!M159=""),"",IF(ABS(LN('Historique ajusté'!M160/'Historique ajusté'!M159))&gt;Seuil_aberrant,"",'Historique ajusté'!M160/'Historique ajusté'!M159-1))</f>
        <v/>
      </c>
      <c r="N160" s="34">
        <f>IF(OR('Historique ajusté'!N160="",'Historique ajusté'!N159=""),"",IF(ABS(LN('Historique ajusté'!N160/'Historique ajusté'!N159))&gt;Seuil_aberrant,"",'Historique ajusté'!N160/'Historique ajusté'!N159-1))</f>
        <v/>
      </c>
      <c r="O160" s="34">
        <f>IF(OR('Historique ajusté'!O160="",'Historique ajusté'!O159=""),"",IF(ABS(LN('Historique ajusté'!O160/'Historique ajusté'!O159))&gt;Seuil_aberrant,"",'Historique ajusté'!O160/'Historique ajusté'!O159-1))</f>
        <v/>
      </c>
      <c r="P160" s="34">
        <f>IF(OR('Historique ajusté'!P160="",'Historique ajusté'!P159=""),"",IF(ABS(LN('Historique ajusté'!P160/'Historique ajusté'!P159))&gt;Seuil_aberrant,"",'Historique ajusté'!P160/'Historique ajusté'!P159-1))</f>
        <v/>
      </c>
    </row>
    <row r="161">
      <c r="B161" s="32">
        <f>'Historique ajusté'!B161</f>
        <v/>
      </c>
      <c r="C161" s="34">
        <f>IF(OR('Historique ajusté'!C161="",'Historique ajusté'!C160=""),"",IF(ABS(LN('Historique ajusté'!C161/'Historique ajusté'!C160))&gt;Seuil_aberrant,"",'Historique ajusté'!C161/'Historique ajusté'!C160-1))</f>
        <v/>
      </c>
      <c r="D161" s="34">
        <f>IF(OR('Historique ajusté'!D161="",'Historique ajusté'!D160=""),"",IF(ABS(LN('Historique ajusté'!D161/'Historique ajusté'!D160))&gt;Seuil_aberrant,"",'Historique ajusté'!D161/'Historique ajusté'!D160-1))</f>
        <v/>
      </c>
      <c r="E161" s="34">
        <f>IF(OR('Historique ajusté'!E161="",'Historique ajusté'!E160=""),"",IF(ABS(LN('Historique ajusté'!E161/'Historique ajusté'!E160))&gt;Seuil_aberrant,"",'Historique ajusté'!E161/'Historique ajusté'!E160-1))</f>
        <v/>
      </c>
      <c r="F161" s="34">
        <f>IF(OR('Historique ajusté'!F161="",'Historique ajusté'!F160=""),"",IF(ABS(LN('Historique ajusté'!F161/'Historique ajusté'!F160))&gt;Seuil_aberrant,"",'Historique ajusté'!F161/'Historique ajusté'!F160-1))</f>
        <v/>
      </c>
      <c r="G161" s="34">
        <f>IF(OR('Historique ajusté'!G161="",'Historique ajusté'!G160=""),"",IF(ABS(LN('Historique ajusté'!G161/'Historique ajusté'!G160))&gt;Seuil_aberrant,"",'Historique ajusté'!G161/'Historique ajusté'!G160-1))</f>
        <v/>
      </c>
      <c r="H161" s="34">
        <f>IF(OR('Historique ajusté'!H161="",'Historique ajusté'!H160=""),"",IF(ABS(LN('Historique ajusté'!H161/'Historique ajusté'!H160))&gt;Seuil_aberrant,"",'Historique ajusté'!H161/'Historique ajusté'!H160-1))</f>
        <v/>
      </c>
      <c r="I161" s="34">
        <f>IF(OR('Historique ajusté'!I161="",'Historique ajusté'!I160=""),"",IF(ABS(LN('Historique ajusté'!I161/'Historique ajusté'!I160))&gt;Seuil_aberrant,"",'Historique ajusté'!I161/'Historique ajusté'!I160-1))</f>
        <v/>
      </c>
      <c r="J161" s="34">
        <f>IF(OR('Historique ajusté'!J161="",'Historique ajusté'!J160=""),"",IF(ABS(LN('Historique ajusté'!J161/'Historique ajusté'!J160))&gt;Seuil_aberrant,"",'Historique ajusté'!J161/'Historique ajusté'!J160-1))</f>
        <v/>
      </c>
      <c r="K161" s="34">
        <f>IF(OR('Historique ajusté'!K161="",'Historique ajusté'!K160=""),"",IF(ABS(LN('Historique ajusté'!K161/'Historique ajusté'!K160))&gt;Seuil_aberrant,"",'Historique ajusté'!K161/'Historique ajusté'!K160-1))</f>
        <v/>
      </c>
      <c r="L161" s="34">
        <f>IF(OR('Historique ajusté'!L161="",'Historique ajusté'!L160=""),"",IF(ABS(LN('Historique ajusté'!L161/'Historique ajusté'!L160))&gt;Seuil_aberrant,"",'Historique ajusté'!L161/'Historique ajusté'!L160-1))</f>
        <v/>
      </c>
      <c r="M161" s="34">
        <f>IF(OR('Historique ajusté'!M161="",'Historique ajusté'!M160=""),"",IF(ABS(LN('Historique ajusté'!M161/'Historique ajusté'!M160))&gt;Seuil_aberrant,"",'Historique ajusté'!M161/'Historique ajusté'!M160-1))</f>
        <v/>
      </c>
      <c r="N161" s="34">
        <f>IF(OR('Historique ajusté'!N161="",'Historique ajusté'!N160=""),"",IF(ABS(LN('Historique ajusté'!N161/'Historique ajusté'!N160))&gt;Seuil_aberrant,"",'Historique ajusté'!N161/'Historique ajusté'!N160-1))</f>
        <v/>
      </c>
      <c r="O161" s="34">
        <f>IF(OR('Historique ajusté'!O161="",'Historique ajusté'!O160=""),"",IF(ABS(LN('Historique ajusté'!O161/'Historique ajusté'!O160))&gt;Seuil_aberrant,"",'Historique ajusté'!O161/'Historique ajusté'!O160-1))</f>
        <v/>
      </c>
      <c r="P161" s="34">
        <f>IF(OR('Historique ajusté'!P161="",'Historique ajusté'!P160=""),"",IF(ABS(LN('Historique ajusté'!P161/'Historique ajusté'!P160))&gt;Seuil_aberrant,"",'Historique ajusté'!P161/'Historique ajusté'!P160-1))</f>
        <v/>
      </c>
    </row>
    <row r="162">
      <c r="B162" s="32">
        <f>'Historique ajusté'!B162</f>
        <v/>
      </c>
      <c r="C162" s="34">
        <f>IF(OR('Historique ajusté'!C162="",'Historique ajusté'!C161=""),"",IF(ABS(LN('Historique ajusté'!C162/'Historique ajusté'!C161))&gt;Seuil_aberrant,"",'Historique ajusté'!C162/'Historique ajusté'!C161-1))</f>
        <v/>
      </c>
      <c r="D162" s="34">
        <f>IF(OR('Historique ajusté'!D162="",'Historique ajusté'!D161=""),"",IF(ABS(LN('Historique ajusté'!D162/'Historique ajusté'!D161))&gt;Seuil_aberrant,"",'Historique ajusté'!D162/'Historique ajusté'!D161-1))</f>
        <v/>
      </c>
      <c r="E162" s="34">
        <f>IF(OR('Historique ajusté'!E162="",'Historique ajusté'!E161=""),"",IF(ABS(LN('Historique ajusté'!E162/'Historique ajusté'!E161))&gt;Seuil_aberrant,"",'Historique ajusté'!E162/'Historique ajusté'!E161-1))</f>
        <v/>
      </c>
      <c r="F162" s="34">
        <f>IF(OR('Historique ajusté'!F162="",'Historique ajusté'!F161=""),"",IF(ABS(LN('Historique ajusté'!F162/'Historique ajusté'!F161))&gt;Seuil_aberrant,"",'Historique ajusté'!F162/'Historique ajusté'!F161-1))</f>
        <v/>
      </c>
      <c r="G162" s="34">
        <f>IF(OR('Historique ajusté'!G162="",'Historique ajusté'!G161=""),"",IF(ABS(LN('Historique ajusté'!G162/'Historique ajusté'!G161))&gt;Seuil_aberrant,"",'Historique ajusté'!G162/'Historique ajusté'!G161-1))</f>
        <v/>
      </c>
      <c r="H162" s="34">
        <f>IF(OR('Historique ajusté'!H162="",'Historique ajusté'!H161=""),"",IF(ABS(LN('Historique ajusté'!H162/'Historique ajusté'!H161))&gt;Seuil_aberrant,"",'Historique ajusté'!H162/'Historique ajusté'!H161-1))</f>
        <v/>
      </c>
      <c r="I162" s="34">
        <f>IF(OR('Historique ajusté'!I162="",'Historique ajusté'!I161=""),"",IF(ABS(LN('Historique ajusté'!I162/'Historique ajusté'!I161))&gt;Seuil_aberrant,"",'Historique ajusté'!I162/'Historique ajusté'!I161-1))</f>
        <v/>
      </c>
      <c r="J162" s="34">
        <f>IF(OR('Historique ajusté'!J162="",'Historique ajusté'!J161=""),"",IF(ABS(LN('Historique ajusté'!J162/'Historique ajusté'!J161))&gt;Seuil_aberrant,"",'Historique ajusté'!J162/'Historique ajusté'!J161-1))</f>
        <v/>
      </c>
      <c r="K162" s="34">
        <f>IF(OR('Historique ajusté'!K162="",'Historique ajusté'!K161=""),"",IF(ABS(LN('Historique ajusté'!K162/'Historique ajusté'!K161))&gt;Seuil_aberrant,"",'Historique ajusté'!K162/'Historique ajusté'!K161-1))</f>
        <v/>
      </c>
      <c r="L162" s="34">
        <f>IF(OR('Historique ajusté'!L162="",'Historique ajusté'!L161=""),"",IF(ABS(LN('Historique ajusté'!L162/'Historique ajusté'!L161))&gt;Seuil_aberrant,"",'Historique ajusté'!L162/'Historique ajusté'!L161-1))</f>
        <v/>
      </c>
      <c r="M162" s="34">
        <f>IF(OR('Historique ajusté'!M162="",'Historique ajusté'!M161=""),"",IF(ABS(LN('Historique ajusté'!M162/'Historique ajusté'!M161))&gt;Seuil_aberrant,"",'Historique ajusté'!M162/'Historique ajusté'!M161-1))</f>
        <v/>
      </c>
      <c r="N162" s="34">
        <f>IF(OR('Historique ajusté'!N162="",'Historique ajusté'!N161=""),"",IF(ABS(LN('Historique ajusté'!N162/'Historique ajusté'!N161))&gt;Seuil_aberrant,"",'Historique ajusté'!N162/'Historique ajusté'!N161-1))</f>
        <v/>
      </c>
      <c r="O162" s="34">
        <f>IF(OR('Historique ajusté'!O162="",'Historique ajusté'!O161=""),"",IF(ABS(LN('Historique ajusté'!O162/'Historique ajusté'!O161))&gt;Seuil_aberrant,"",'Historique ajusté'!O162/'Historique ajusté'!O161-1))</f>
        <v/>
      </c>
      <c r="P162" s="34">
        <f>IF(OR('Historique ajusté'!P162="",'Historique ajusté'!P161=""),"",IF(ABS(LN('Historique ajusté'!P162/'Historique ajusté'!P161))&gt;Seuil_aberrant,"",'Historique ajusté'!P162/'Historique ajusté'!P161-1))</f>
        <v/>
      </c>
    </row>
    <row r="163">
      <c r="B163" s="32">
        <f>'Historique ajusté'!B163</f>
        <v/>
      </c>
      <c r="C163" s="34">
        <f>IF(OR('Historique ajusté'!C163="",'Historique ajusté'!C162=""),"",IF(ABS(LN('Historique ajusté'!C163/'Historique ajusté'!C162))&gt;Seuil_aberrant,"",'Historique ajusté'!C163/'Historique ajusté'!C162-1))</f>
        <v/>
      </c>
      <c r="D163" s="34">
        <f>IF(OR('Historique ajusté'!D163="",'Historique ajusté'!D162=""),"",IF(ABS(LN('Historique ajusté'!D163/'Historique ajusté'!D162))&gt;Seuil_aberrant,"",'Historique ajusté'!D163/'Historique ajusté'!D162-1))</f>
        <v/>
      </c>
      <c r="E163" s="34">
        <f>IF(OR('Historique ajusté'!E163="",'Historique ajusté'!E162=""),"",IF(ABS(LN('Historique ajusté'!E163/'Historique ajusté'!E162))&gt;Seuil_aberrant,"",'Historique ajusté'!E163/'Historique ajusté'!E162-1))</f>
        <v/>
      </c>
      <c r="F163" s="34">
        <f>IF(OR('Historique ajusté'!F163="",'Historique ajusté'!F162=""),"",IF(ABS(LN('Historique ajusté'!F163/'Historique ajusté'!F162))&gt;Seuil_aberrant,"",'Historique ajusté'!F163/'Historique ajusté'!F162-1))</f>
        <v/>
      </c>
      <c r="G163" s="34">
        <f>IF(OR('Historique ajusté'!G163="",'Historique ajusté'!G162=""),"",IF(ABS(LN('Historique ajusté'!G163/'Historique ajusté'!G162))&gt;Seuil_aberrant,"",'Historique ajusté'!G163/'Historique ajusté'!G162-1))</f>
        <v/>
      </c>
      <c r="H163" s="34">
        <f>IF(OR('Historique ajusté'!H163="",'Historique ajusté'!H162=""),"",IF(ABS(LN('Historique ajusté'!H163/'Historique ajusté'!H162))&gt;Seuil_aberrant,"",'Historique ajusté'!H163/'Historique ajusté'!H162-1))</f>
        <v/>
      </c>
      <c r="I163" s="34">
        <f>IF(OR('Historique ajusté'!I163="",'Historique ajusté'!I162=""),"",IF(ABS(LN('Historique ajusté'!I163/'Historique ajusté'!I162))&gt;Seuil_aberrant,"",'Historique ajusté'!I163/'Historique ajusté'!I162-1))</f>
        <v/>
      </c>
      <c r="J163" s="34">
        <f>IF(OR('Historique ajusté'!J163="",'Historique ajusté'!J162=""),"",IF(ABS(LN('Historique ajusté'!J163/'Historique ajusté'!J162))&gt;Seuil_aberrant,"",'Historique ajusté'!J163/'Historique ajusté'!J162-1))</f>
        <v/>
      </c>
      <c r="K163" s="34">
        <f>IF(OR('Historique ajusté'!K163="",'Historique ajusté'!K162=""),"",IF(ABS(LN('Historique ajusté'!K163/'Historique ajusté'!K162))&gt;Seuil_aberrant,"",'Historique ajusté'!K163/'Historique ajusté'!K162-1))</f>
        <v/>
      </c>
      <c r="L163" s="34">
        <f>IF(OR('Historique ajusté'!L163="",'Historique ajusté'!L162=""),"",IF(ABS(LN('Historique ajusté'!L163/'Historique ajusté'!L162))&gt;Seuil_aberrant,"",'Historique ajusté'!L163/'Historique ajusté'!L162-1))</f>
        <v/>
      </c>
      <c r="M163" s="34">
        <f>IF(OR('Historique ajusté'!M163="",'Historique ajusté'!M162=""),"",IF(ABS(LN('Historique ajusté'!M163/'Historique ajusté'!M162))&gt;Seuil_aberrant,"",'Historique ajusté'!M163/'Historique ajusté'!M162-1))</f>
        <v/>
      </c>
      <c r="N163" s="34">
        <f>IF(OR('Historique ajusté'!N163="",'Historique ajusté'!N162=""),"",IF(ABS(LN('Historique ajusté'!N163/'Historique ajusté'!N162))&gt;Seuil_aberrant,"",'Historique ajusté'!N163/'Historique ajusté'!N162-1))</f>
        <v/>
      </c>
      <c r="O163" s="34">
        <f>IF(OR('Historique ajusté'!O163="",'Historique ajusté'!O162=""),"",IF(ABS(LN('Historique ajusté'!O163/'Historique ajusté'!O162))&gt;Seuil_aberrant,"",'Historique ajusté'!O163/'Historique ajusté'!O162-1))</f>
        <v/>
      </c>
      <c r="P163" s="34">
        <f>IF(OR('Historique ajusté'!P163="",'Historique ajusté'!P162=""),"",IF(ABS(LN('Historique ajusté'!P163/'Historique ajusté'!P162))&gt;Seuil_aberrant,"",'Historique ajusté'!P163/'Historique ajusté'!P162-1))</f>
        <v/>
      </c>
    </row>
    <row r="164">
      <c r="B164" s="32">
        <f>'Historique ajusté'!B164</f>
        <v/>
      </c>
      <c r="C164" s="34">
        <f>IF(OR('Historique ajusté'!C164="",'Historique ajusté'!C163=""),"",IF(ABS(LN('Historique ajusté'!C164/'Historique ajusté'!C163))&gt;Seuil_aberrant,"",'Historique ajusté'!C164/'Historique ajusté'!C163-1))</f>
        <v/>
      </c>
      <c r="D164" s="34">
        <f>IF(OR('Historique ajusté'!D164="",'Historique ajusté'!D163=""),"",IF(ABS(LN('Historique ajusté'!D164/'Historique ajusté'!D163))&gt;Seuil_aberrant,"",'Historique ajusté'!D164/'Historique ajusté'!D163-1))</f>
        <v/>
      </c>
      <c r="E164" s="34">
        <f>IF(OR('Historique ajusté'!E164="",'Historique ajusté'!E163=""),"",IF(ABS(LN('Historique ajusté'!E164/'Historique ajusté'!E163))&gt;Seuil_aberrant,"",'Historique ajusté'!E164/'Historique ajusté'!E163-1))</f>
        <v/>
      </c>
      <c r="F164" s="34">
        <f>IF(OR('Historique ajusté'!F164="",'Historique ajusté'!F163=""),"",IF(ABS(LN('Historique ajusté'!F164/'Historique ajusté'!F163))&gt;Seuil_aberrant,"",'Historique ajusté'!F164/'Historique ajusté'!F163-1))</f>
        <v/>
      </c>
      <c r="G164" s="34">
        <f>IF(OR('Historique ajusté'!G164="",'Historique ajusté'!G163=""),"",IF(ABS(LN('Historique ajusté'!G164/'Historique ajusté'!G163))&gt;Seuil_aberrant,"",'Historique ajusté'!G164/'Historique ajusté'!G163-1))</f>
        <v/>
      </c>
      <c r="H164" s="34">
        <f>IF(OR('Historique ajusté'!H164="",'Historique ajusté'!H163=""),"",IF(ABS(LN('Historique ajusté'!H164/'Historique ajusté'!H163))&gt;Seuil_aberrant,"",'Historique ajusté'!H164/'Historique ajusté'!H163-1))</f>
        <v/>
      </c>
      <c r="I164" s="34">
        <f>IF(OR('Historique ajusté'!I164="",'Historique ajusté'!I163=""),"",IF(ABS(LN('Historique ajusté'!I164/'Historique ajusté'!I163))&gt;Seuil_aberrant,"",'Historique ajusté'!I164/'Historique ajusté'!I163-1))</f>
        <v/>
      </c>
      <c r="J164" s="34">
        <f>IF(OR('Historique ajusté'!J164="",'Historique ajusté'!J163=""),"",IF(ABS(LN('Historique ajusté'!J164/'Historique ajusté'!J163))&gt;Seuil_aberrant,"",'Historique ajusté'!J164/'Historique ajusté'!J163-1))</f>
        <v/>
      </c>
      <c r="K164" s="34">
        <f>IF(OR('Historique ajusté'!K164="",'Historique ajusté'!K163=""),"",IF(ABS(LN('Historique ajusté'!K164/'Historique ajusté'!K163))&gt;Seuil_aberrant,"",'Historique ajusté'!K164/'Historique ajusté'!K163-1))</f>
        <v/>
      </c>
      <c r="L164" s="34">
        <f>IF(OR('Historique ajusté'!L164="",'Historique ajusté'!L163=""),"",IF(ABS(LN('Historique ajusté'!L164/'Historique ajusté'!L163))&gt;Seuil_aberrant,"",'Historique ajusté'!L164/'Historique ajusté'!L163-1))</f>
        <v/>
      </c>
      <c r="M164" s="34">
        <f>IF(OR('Historique ajusté'!M164="",'Historique ajusté'!M163=""),"",IF(ABS(LN('Historique ajusté'!M164/'Historique ajusté'!M163))&gt;Seuil_aberrant,"",'Historique ajusté'!M164/'Historique ajusté'!M163-1))</f>
        <v/>
      </c>
      <c r="N164" s="34">
        <f>IF(OR('Historique ajusté'!N164="",'Historique ajusté'!N163=""),"",IF(ABS(LN('Historique ajusté'!N164/'Historique ajusté'!N163))&gt;Seuil_aberrant,"",'Historique ajusté'!N164/'Historique ajusté'!N163-1))</f>
        <v/>
      </c>
      <c r="O164" s="34">
        <f>IF(OR('Historique ajusté'!O164="",'Historique ajusté'!O163=""),"",IF(ABS(LN('Historique ajusté'!O164/'Historique ajusté'!O163))&gt;Seuil_aberrant,"",'Historique ajusté'!O164/'Historique ajusté'!O163-1))</f>
        <v/>
      </c>
      <c r="P164" s="34">
        <f>IF(OR('Historique ajusté'!P164="",'Historique ajusté'!P163=""),"",IF(ABS(LN('Historique ajusté'!P164/'Historique ajusté'!P163))&gt;Seuil_aberrant,"",'Historique ajusté'!P164/'Historique ajusté'!P163-1))</f>
        <v/>
      </c>
    </row>
    <row r="165">
      <c r="B165" s="32">
        <f>'Historique ajusté'!B165</f>
        <v/>
      </c>
      <c r="C165" s="34">
        <f>IF(OR('Historique ajusté'!C165="",'Historique ajusté'!C164=""),"",IF(ABS(LN('Historique ajusté'!C165/'Historique ajusté'!C164))&gt;Seuil_aberrant,"",'Historique ajusté'!C165/'Historique ajusté'!C164-1))</f>
        <v/>
      </c>
      <c r="D165" s="34">
        <f>IF(OR('Historique ajusté'!D165="",'Historique ajusté'!D164=""),"",IF(ABS(LN('Historique ajusté'!D165/'Historique ajusté'!D164))&gt;Seuil_aberrant,"",'Historique ajusté'!D165/'Historique ajusté'!D164-1))</f>
        <v/>
      </c>
      <c r="E165" s="34">
        <f>IF(OR('Historique ajusté'!E165="",'Historique ajusté'!E164=""),"",IF(ABS(LN('Historique ajusté'!E165/'Historique ajusté'!E164))&gt;Seuil_aberrant,"",'Historique ajusté'!E165/'Historique ajusté'!E164-1))</f>
        <v/>
      </c>
      <c r="F165" s="34">
        <f>IF(OR('Historique ajusté'!F165="",'Historique ajusté'!F164=""),"",IF(ABS(LN('Historique ajusté'!F165/'Historique ajusté'!F164))&gt;Seuil_aberrant,"",'Historique ajusté'!F165/'Historique ajusté'!F164-1))</f>
        <v/>
      </c>
      <c r="G165" s="34">
        <f>IF(OR('Historique ajusté'!G165="",'Historique ajusté'!G164=""),"",IF(ABS(LN('Historique ajusté'!G165/'Historique ajusté'!G164))&gt;Seuil_aberrant,"",'Historique ajusté'!G165/'Historique ajusté'!G164-1))</f>
        <v/>
      </c>
      <c r="H165" s="34">
        <f>IF(OR('Historique ajusté'!H165="",'Historique ajusté'!H164=""),"",IF(ABS(LN('Historique ajusté'!H165/'Historique ajusté'!H164))&gt;Seuil_aberrant,"",'Historique ajusté'!H165/'Historique ajusté'!H164-1))</f>
        <v/>
      </c>
      <c r="I165" s="34">
        <f>IF(OR('Historique ajusté'!I165="",'Historique ajusté'!I164=""),"",IF(ABS(LN('Historique ajusté'!I165/'Historique ajusté'!I164))&gt;Seuil_aberrant,"",'Historique ajusté'!I165/'Historique ajusté'!I164-1))</f>
        <v/>
      </c>
      <c r="J165" s="34">
        <f>IF(OR('Historique ajusté'!J165="",'Historique ajusté'!J164=""),"",IF(ABS(LN('Historique ajusté'!J165/'Historique ajusté'!J164))&gt;Seuil_aberrant,"",'Historique ajusté'!J165/'Historique ajusté'!J164-1))</f>
        <v/>
      </c>
      <c r="K165" s="34">
        <f>IF(OR('Historique ajusté'!K165="",'Historique ajusté'!K164=""),"",IF(ABS(LN('Historique ajusté'!K165/'Historique ajusté'!K164))&gt;Seuil_aberrant,"",'Historique ajusté'!K165/'Historique ajusté'!K164-1))</f>
        <v/>
      </c>
      <c r="L165" s="34">
        <f>IF(OR('Historique ajusté'!L165="",'Historique ajusté'!L164=""),"",IF(ABS(LN('Historique ajusté'!L165/'Historique ajusté'!L164))&gt;Seuil_aberrant,"",'Historique ajusté'!L165/'Historique ajusté'!L164-1))</f>
        <v/>
      </c>
      <c r="M165" s="34">
        <f>IF(OR('Historique ajusté'!M165="",'Historique ajusté'!M164=""),"",IF(ABS(LN('Historique ajusté'!M165/'Historique ajusté'!M164))&gt;Seuil_aberrant,"",'Historique ajusté'!M165/'Historique ajusté'!M164-1))</f>
        <v/>
      </c>
      <c r="N165" s="34">
        <f>IF(OR('Historique ajusté'!N165="",'Historique ajusté'!N164=""),"",IF(ABS(LN('Historique ajusté'!N165/'Historique ajusté'!N164))&gt;Seuil_aberrant,"",'Historique ajusté'!N165/'Historique ajusté'!N164-1))</f>
        <v/>
      </c>
      <c r="O165" s="34">
        <f>IF(OR('Historique ajusté'!O165="",'Historique ajusté'!O164=""),"",IF(ABS(LN('Historique ajusté'!O165/'Historique ajusté'!O164))&gt;Seuil_aberrant,"",'Historique ajusté'!O165/'Historique ajusté'!O164-1))</f>
        <v/>
      </c>
      <c r="P165" s="34">
        <f>IF(OR('Historique ajusté'!P165="",'Historique ajusté'!P164=""),"",IF(ABS(LN('Historique ajusté'!P165/'Historique ajusté'!P164))&gt;Seuil_aberrant,"",'Historique ajusté'!P165/'Historique ajusté'!P164-1))</f>
        <v/>
      </c>
    </row>
    <row r="166">
      <c r="B166" s="32">
        <f>'Historique ajusté'!B166</f>
        <v/>
      </c>
      <c r="C166" s="34">
        <f>IF(OR('Historique ajusté'!C166="",'Historique ajusté'!C165=""),"",IF(ABS(LN('Historique ajusté'!C166/'Historique ajusté'!C165))&gt;Seuil_aberrant,"",'Historique ajusté'!C166/'Historique ajusté'!C165-1))</f>
        <v/>
      </c>
      <c r="D166" s="34">
        <f>IF(OR('Historique ajusté'!D166="",'Historique ajusté'!D165=""),"",IF(ABS(LN('Historique ajusté'!D166/'Historique ajusté'!D165))&gt;Seuil_aberrant,"",'Historique ajusté'!D166/'Historique ajusté'!D165-1))</f>
        <v/>
      </c>
      <c r="E166" s="34">
        <f>IF(OR('Historique ajusté'!E166="",'Historique ajusté'!E165=""),"",IF(ABS(LN('Historique ajusté'!E166/'Historique ajusté'!E165))&gt;Seuil_aberrant,"",'Historique ajusté'!E166/'Historique ajusté'!E165-1))</f>
        <v/>
      </c>
      <c r="F166" s="34">
        <f>IF(OR('Historique ajusté'!F166="",'Historique ajusté'!F165=""),"",IF(ABS(LN('Historique ajusté'!F166/'Historique ajusté'!F165))&gt;Seuil_aberrant,"",'Historique ajusté'!F166/'Historique ajusté'!F165-1))</f>
        <v/>
      </c>
      <c r="G166" s="34">
        <f>IF(OR('Historique ajusté'!G166="",'Historique ajusté'!G165=""),"",IF(ABS(LN('Historique ajusté'!G166/'Historique ajusté'!G165))&gt;Seuil_aberrant,"",'Historique ajusté'!G166/'Historique ajusté'!G165-1))</f>
        <v/>
      </c>
      <c r="H166" s="34">
        <f>IF(OR('Historique ajusté'!H166="",'Historique ajusté'!H165=""),"",IF(ABS(LN('Historique ajusté'!H166/'Historique ajusté'!H165))&gt;Seuil_aberrant,"",'Historique ajusté'!H166/'Historique ajusté'!H165-1))</f>
        <v/>
      </c>
      <c r="I166" s="34">
        <f>IF(OR('Historique ajusté'!I166="",'Historique ajusté'!I165=""),"",IF(ABS(LN('Historique ajusté'!I166/'Historique ajusté'!I165))&gt;Seuil_aberrant,"",'Historique ajusté'!I166/'Historique ajusté'!I165-1))</f>
        <v/>
      </c>
      <c r="J166" s="34">
        <f>IF(OR('Historique ajusté'!J166="",'Historique ajusté'!J165=""),"",IF(ABS(LN('Historique ajusté'!J166/'Historique ajusté'!J165))&gt;Seuil_aberrant,"",'Historique ajusté'!J166/'Historique ajusté'!J165-1))</f>
        <v/>
      </c>
      <c r="K166" s="34">
        <f>IF(OR('Historique ajusté'!K166="",'Historique ajusté'!K165=""),"",IF(ABS(LN('Historique ajusté'!K166/'Historique ajusté'!K165))&gt;Seuil_aberrant,"",'Historique ajusté'!K166/'Historique ajusté'!K165-1))</f>
        <v/>
      </c>
      <c r="L166" s="34">
        <f>IF(OR('Historique ajusté'!L166="",'Historique ajusté'!L165=""),"",IF(ABS(LN('Historique ajusté'!L166/'Historique ajusté'!L165))&gt;Seuil_aberrant,"",'Historique ajusté'!L166/'Historique ajusté'!L165-1))</f>
        <v/>
      </c>
      <c r="M166" s="34">
        <f>IF(OR('Historique ajusté'!M166="",'Historique ajusté'!M165=""),"",IF(ABS(LN('Historique ajusté'!M166/'Historique ajusté'!M165))&gt;Seuil_aberrant,"",'Historique ajusté'!M166/'Historique ajusté'!M165-1))</f>
        <v/>
      </c>
      <c r="N166" s="34">
        <f>IF(OR('Historique ajusté'!N166="",'Historique ajusté'!N165=""),"",IF(ABS(LN('Historique ajusté'!N166/'Historique ajusté'!N165))&gt;Seuil_aberrant,"",'Historique ajusté'!N166/'Historique ajusté'!N165-1))</f>
        <v/>
      </c>
      <c r="O166" s="34">
        <f>IF(OR('Historique ajusté'!O166="",'Historique ajusté'!O165=""),"",IF(ABS(LN('Historique ajusté'!O166/'Historique ajusté'!O165))&gt;Seuil_aberrant,"",'Historique ajusté'!O166/'Historique ajusté'!O165-1))</f>
        <v/>
      </c>
      <c r="P166" s="34">
        <f>IF(OR('Historique ajusté'!P166="",'Historique ajusté'!P165=""),"",IF(ABS(LN('Historique ajusté'!P166/'Historique ajusté'!P165))&gt;Seuil_aberrant,"",'Historique ajusté'!P166/'Historique ajusté'!P165-1))</f>
        <v/>
      </c>
    </row>
    <row r="167">
      <c r="B167" s="32">
        <f>'Historique ajusté'!B167</f>
        <v/>
      </c>
      <c r="C167" s="34">
        <f>IF(OR('Historique ajusté'!C167="",'Historique ajusté'!C166=""),"",IF(ABS(LN('Historique ajusté'!C167/'Historique ajusté'!C166))&gt;Seuil_aberrant,"",'Historique ajusté'!C167/'Historique ajusté'!C166-1))</f>
        <v/>
      </c>
      <c r="D167" s="34">
        <f>IF(OR('Historique ajusté'!D167="",'Historique ajusté'!D166=""),"",IF(ABS(LN('Historique ajusté'!D167/'Historique ajusté'!D166))&gt;Seuil_aberrant,"",'Historique ajusté'!D167/'Historique ajusté'!D166-1))</f>
        <v/>
      </c>
      <c r="E167" s="34">
        <f>IF(OR('Historique ajusté'!E167="",'Historique ajusté'!E166=""),"",IF(ABS(LN('Historique ajusté'!E167/'Historique ajusté'!E166))&gt;Seuil_aberrant,"",'Historique ajusté'!E167/'Historique ajusté'!E166-1))</f>
        <v/>
      </c>
      <c r="F167" s="34">
        <f>IF(OR('Historique ajusté'!F167="",'Historique ajusté'!F166=""),"",IF(ABS(LN('Historique ajusté'!F167/'Historique ajusté'!F166))&gt;Seuil_aberrant,"",'Historique ajusté'!F167/'Historique ajusté'!F166-1))</f>
        <v/>
      </c>
      <c r="G167" s="34">
        <f>IF(OR('Historique ajusté'!G167="",'Historique ajusté'!G166=""),"",IF(ABS(LN('Historique ajusté'!G167/'Historique ajusté'!G166))&gt;Seuil_aberrant,"",'Historique ajusté'!G167/'Historique ajusté'!G166-1))</f>
        <v/>
      </c>
      <c r="H167" s="34">
        <f>IF(OR('Historique ajusté'!H167="",'Historique ajusté'!H166=""),"",IF(ABS(LN('Historique ajusté'!H167/'Historique ajusté'!H166))&gt;Seuil_aberrant,"",'Historique ajusté'!H167/'Historique ajusté'!H166-1))</f>
        <v/>
      </c>
      <c r="I167" s="34">
        <f>IF(OR('Historique ajusté'!I167="",'Historique ajusté'!I166=""),"",IF(ABS(LN('Historique ajusté'!I167/'Historique ajusté'!I166))&gt;Seuil_aberrant,"",'Historique ajusté'!I167/'Historique ajusté'!I166-1))</f>
        <v/>
      </c>
      <c r="J167" s="34">
        <f>IF(OR('Historique ajusté'!J167="",'Historique ajusté'!J166=""),"",IF(ABS(LN('Historique ajusté'!J167/'Historique ajusté'!J166))&gt;Seuil_aberrant,"",'Historique ajusté'!J167/'Historique ajusté'!J166-1))</f>
        <v/>
      </c>
      <c r="K167" s="34">
        <f>IF(OR('Historique ajusté'!K167="",'Historique ajusté'!K166=""),"",IF(ABS(LN('Historique ajusté'!K167/'Historique ajusté'!K166))&gt;Seuil_aberrant,"",'Historique ajusté'!K167/'Historique ajusté'!K166-1))</f>
        <v/>
      </c>
      <c r="L167" s="34">
        <f>IF(OR('Historique ajusté'!L167="",'Historique ajusté'!L166=""),"",IF(ABS(LN('Historique ajusté'!L167/'Historique ajusté'!L166))&gt;Seuil_aberrant,"",'Historique ajusté'!L167/'Historique ajusté'!L166-1))</f>
        <v/>
      </c>
      <c r="M167" s="34">
        <f>IF(OR('Historique ajusté'!M167="",'Historique ajusté'!M166=""),"",IF(ABS(LN('Historique ajusté'!M167/'Historique ajusté'!M166))&gt;Seuil_aberrant,"",'Historique ajusté'!M167/'Historique ajusté'!M166-1))</f>
        <v/>
      </c>
      <c r="N167" s="34">
        <f>IF(OR('Historique ajusté'!N167="",'Historique ajusté'!N166=""),"",IF(ABS(LN('Historique ajusté'!N167/'Historique ajusté'!N166))&gt;Seuil_aberrant,"",'Historique ajusté'!N167/'Historique ajusté'!N166-1))</f>
        <v/>
      </c>
      <c r="O167" s="34">
        <f>IF(OR('Historique ajusté'!O167="",'Historique ajusté'!O166=""),"",IF(ABS(LN('Historique ajusté'!O167/'Historique ajusté'!O166))&gt;Seuil_aberrant,"",'Historique ajusté'!O167/'Historique ajusté'!O166-1))</f>
        <v/>
      </c>
      <c r="P167" s="34">
        <f>IF(OR('Historique ajusté'!P167="",'Historique ajusté'!P166=""),"",IF(ABS(LN('Historique ajusté'!P167/'Historique ajusté'!P166))&gt;Seuil_aberrant,"",'Historique ajusté'!P167/'Historique ajusté'!P166-1))</f>
        <v/>
      </c>
    </row>
    <row r="168">
      <c r="B168" s="32">
        <f>'Historique ajusté'!B168</f>
        <v/>
      </c>
      <c r="C168" s="34">
        <f>IF(OR('Historique ajusté'!C168="",'Historique ajusté'!C167=""),"",IF(ABS(LN('Historique ajusté'!C168/'Historique ajusté'!C167))&gt;Seuil_aberrant,"",'Historique ajusté'!C168/'Historique ajusté'!C167-1))</f>
        <v/>
      </c>
      <c r="D168" s="34">
        <f>IF(OR('Historique ajusté'!D168="",'Historique ajusté'!D167=""),"",IF(ABS(LN('Historique ajusté'!D168/'Historique ajusté'!D167))&gt;Seuil_aberrant,"",'Historique ajusté'!D168/'Historique ajusté'!D167-1))</f>
        <v/>
      </c>
      <c r="E168" s="34">
        <f>IF(OR('Historique ajusté'!E168="",'Historique ajusté'!E167=""),"",IF(ABS(LN('Historique ajusté'!E168/'Historique ajusté'!E167))&gt;Seuil_aberrant,"",'Historique ajusté'!E168/'Historique ajusté'!E167-1))</f>
        <v/>
      </c>
      <c r="F168" s="34">
        <f>IF(OR('Historique ajusté'!F168="",'Historique ajusté'!F167=""),"",IF(ABS(LN('Historique ajusté'!F168/'Historique ajusté'!F167))&gt;Seuil_aberrant,"",'Historique ajusté'!F168/'Historique ajusté'!F167-1))</f>
        <v/>
      </c>
      <c r="G168" s="34">
        <f>IF(OR('Historique ajusté'!G168="",'Historique ajusté'!G167=""),"",IF(ABS(LN('Historique ajusté'!G168/'Historique ajusté'!G167))&gt;Seuil_aberrant,"",'Historique ajusté'!G168/'Historique ajusté'!G167-1))</f>
        <v/>
      </c>
      <c r="H168" s="34">
        <f>IF(OR('Historique ajusté'!H168="",'Historique ajusté'!H167=""),"",IF(ABS(LN('Historique ajusté'!H168/'Historique ajusté'!H167))&gt;Seuil_aberrant,"",'Historique ajusté'!H168/'Historique ajusté'!H167-1))</f>
        <v/>
      </c>
      <c r="I168" s="34">
        <f>IF(OR('Historique ajusté'!I168="",'Historique ajusté'!I167=""),"",IF(ABS(LN('Historique ajusté'!I168/'Historique ajusté'!I167))&gt;Seuil_aberrant,"",'Historique ajusté'!I168/'Historique ajusté'!I167-1))</f>
        <v/>
      </c>
      <c r="J168" s="34">
        <f>IF(OR('Historique ajusté'!J168="",'Historique ajusté'!J167=""),"",IF(ABS(LN('Historique ajusté'!J168/'Historique ajusté'!J167))&gt;Seuil_aberrant,"",'Historique ajusté'!J168/'Historique ajusté'!J167-1))</f>
        <v/>
      </c>
      <c r="K168" s="34">
        <f>IF(OR('Historique ajusté'!K168="",'Historique ajusté'!K167=""),"",IF(ABS(LN('Historique ajusté'!K168/'Historique ajusté'!K167))&gt;Seuil_aberrant,"",'Historique ajusté'!K168/'Historique ajusté'!K167-1))</f>
        <v/>
      </c>
      <c r="L168" s="34">
        <f>IF(OR('Historique ajusté'!L168="",'Historique ajusté'!L167=""),"",IF(ABS(LN('Historique ajusté'!L168/'Historique ajusté'!L167))&gt;Seuil_aberrant,"",'Historique ajusté'!L168/'Historique ajusté'!L167-1))</f>
        <v/>
      </c>
      <c r="M168" s="34">
        <f>IF(OR('Historique ajusté'!M168="",'Historique ajusté'!M167=""),"",IF(ABS(LN('Historique ajusté'!M168/'Historique ajusté'!M167))&gt;Seuil_aberrant,"",'Historique ajusté'!M168/'Historique ajusté'!M167-1))</f>
        <v/>
      </c>
      <c r="N168" s="34">
        <f>IF(OR('Historique ajusté'!N168="",'Historique ajusté'!N167=""),"",IF(ABS(LN('Historique ajusté'!N168/'Historique ajusté'!N167))&gt;Seuil_aberrant,"",'Historique ajusté'!N168/'Historique ajusté'!N167-1))</f>
        <v/>
      </c>
      <c r="O168" s="34">
        <f>IF(OR('Historique ajusté'!O168="",'Historique ajusté'!O167=""),"",IF(ABS(LN('Historique ajusté'!O168/'Historique ajusté'!O167))&gt;Seuil_aberrant,"",'Historique ajusté'!O168/'Historique ajusté'!O167-1))</f>
        <v/>
      </c>
      <c r="P168" s="34">
        <f>IF(OR('Historique ajusté'!P168="",'Historique ajusté'!P167=""),"",IF(ABS(LN('Historique ajusté'!P168/'Historique ajusté'!P167))&gt;Seuil_aberrant,"",'Historique ajusté'!P168/'Historique ajusté'!P167-1))</f>
        <v/>
      </c>
    </row>
    <row r="169">
      <c r="B169" s="32">
        <f>'Historique ajusté'!B169</f>
        <v/>
      </c>
      <c r="C169" s="34">
        <f>IF(OR('Historique ajusté'!C169="",'Historique ajusté'!C168=""),"",IF(ABS(LN('Historique ajusté'!C169/'Historique ajusté'!C168))&gt;Seuil_aberrant,"",'Historique ajusté'!C169/'Historique ajusté'!C168-1))</f>
        <v/>
      </c>
      <c r="D169" s="34">
        <f>IF(OR('Historique ajusté'!D169="",'Historique ajusté'!D168=""),"",IF(ABS(LN('Historique ajusté'!D169/'Historique ajusté'!D168))&gt;Seuil_aberrant,"",'Historique ajusté'!D169/'Historique ajusté'!D168-1))</f>
        <v/>
      </c>
      <c r="E169" s="34">
        <f>IF(OR('Historique ajusté'!E169="",'Historique ajusté'!E168=""),"",IF(ABS(LN('Historique ajusté'!E169/'Historique ajusté'!E168))&gt;Seuil_aberrant,"",'Historique ajusté'!E169/'Historique ajusté'!E168-1))</f>
        <v/>
      </c>
      <c r="F169" s="34">
        <f>IF(OR('Historique ajusté'!F169="",'Historique ajusté'!F168=""),"",IF(ABS(LN('Historique ajusté'!F169/'Historique ajusté'!F168))&gt;Seuil_aberrant,"",'Historique ajusté'!F169/'Historique ajusté'!F168-1))</f>
        <v/>
      </c>
      <c r="G169" s="34">
        <f>IF(OR('Historique ajusté'!G169="",'Historique ajusté'!G168=""),"",IF(ABS(LN('Historique ajusté'!G169/'Historique ajusté'!G168))&gt;Seuil_aberrant,"",'Historique ajusté'!G169/'Historique ajusté'!G168-1))</f>
        <v/>
      </c>
      <c r="H169" s="34">
        <f>IF(OR('Historique ajusté'!H169="",'Historique ajusté'!H168=""),"",IF(ABS(LN('Historique ajusté'!H169/'Historique ajusté'!H168))&gt;Seuil_aberrant,"",'Historique ajusté'!H169/'Historique ajusté'!H168-1))</f>
        <v/>
      </c>
      <c r="I169" s="34">
        <f>IF(OR('Historique ajusté'!I169="",'Historique ajusté'!I168=""),"",IF(ABS(LN('Historique ajusté'!I169/'Historique ajusté'!I168))&gt;Seuil_aberrant,"",'Historique ajusté'!I169/'Historique ajusté'!I168-1))</f>
        <v/>
      </c>
      <c r="J169" s="34">
        <f>IF(OR('Historique ajusté'!J169="",'Historique ajusté'!J168=""),"",IF(ABS(LN('Historique ajusté'!J169/'Historique ajusté'!J168))&gt;Seuil_aberrant,"",'Historique ajusté'!J169/'Historique ajusté'!J168-1))</f>
        <v/>
      </c>
      <c r="K169" s="34">
        <f>IF(OR('Historique ajusté'!K169="",'Historique ajusté'!K168=""),"",IF(ABS(LN('Historique ajusté'!K169/'Historique ajusté'!K168))&gt;Seuil_aberrant,"",'Historique ajusté'!K169/'Historique ajusté'!K168-1))</f>
        <v/>
      </c>
      <c r="L169" s="34">
        <f>IF(OR('Historique ajusté'!L169="",'Historique ajusté'!L168=""),"",IF(ABS(LN('Historique ajusté'!L169/'Historique ajusté'!L168))&gt;Seuil_aberrant,"",'Historique ajusté'!L169/'Historique ajusté'!L168-1))</f>
        <v/>
      </c>
      <c r="M169" s="34">
        <f>IF(OR('Historique ajusté'!M169="",'Historique ajusté'!M168=""),"",IF(ABS(LN('Historique ajusté'!M169/'Historique ajusté'!M168))&gt;Seuil_aberrant,"",'Historique ajusté'!M169/'Historique ajusté'!M168-1))</f>
        <v/>
      </c>
      <c r="N169" s="34">
        <f>IF(OR('Historique ajusté'!N169="",'Historique ajusté'!N168=""),"",IF(ABS(LN('Historique ajusté'!N169/'Historique ajusté'!N168))&gt;Seuil_aberrant,"",'Historique ajusté'!N169/'Historique ajusté'!N168-1))</f>
        <v/>
      </c>
      <c r="O169" s="34">
        <f>IF(OR('Historique ajusté'!O169="",'Historique ajusté'!O168=""),"",IF(ABS(LN('Historique ajusté'!O169/'Historique ajusté'!O168))&gt;Seuil_aberrant,"",'Historique ajusté'!O169/'Historique ajusté'!O168-1))</f>
        <v/>
      </c>
      <c r="P169" s="34">
        <f>IF(OR('Historique ajusté'!P169="",'Historique ajusté'!P168=""),"",IF(ABS(LN('Historique ajusté'!P169/'Historique ajusté'!P168))&gt;Seuil_aberrant,"",'Historique ajusté'!P169/'Historique ajusté'!P168-1))</f>
        <v/>
      </c>
    </row>
    <row r="170">
      <c r="B170" s="32">
        <f>'Historique ajusté'!B170</f>
        <v/>
      </c>
      <c r="C170" s="34">
        <f>IF(OR('Historique ajusté'!C170="",'Historique ajusté'!C169=""),"",IF(ABS(LN('Historique ajusté'!C170/'Historique ajusté'!C169))&gt;Seuil_aberrant,"",'Historique ajusté'!C170/'Historique ajusté'!C169-1))</f>
        <v/>
      </c>
      <c r="D170" s="34">
        <f>IF(OR('Historique ajusté'!D170="",'Historique ajusté'!D169=""),"",IF(ABS(LN('Historique ajusté'!D170/'Historique ajusté'!D169))&gt;Seuil_aberrant,"",'Historique ajusté'!D170/'Historique ajusté'!D169-1))</f>
        <v/>
      </c>
      <c r="E170" s="34">
        <f>IF(OR('Historique ajusté'!E170="",'Historique ajusté'!E169=""),"",IF(ABS(LN('Historique ajusté'!E170/'Historique ajusté'!E169))&gt;Seuil_aberrant,"",'Historique ajusté'!E170/'Historique ajusté'!E169-1))</f>
        <v/>
      </c>
      <c r="F170" s="34">
        <f>IF(OR('Historique ajusté'!F170="",'Historique ajusté'!F169=""),"",IF(ABS(LN('Historique ajusté'!F170/'Historique ajusté'!F169))&gt;Seuil_aberrant,"",'Historique ajusté'!F170/'Historique ajusté'!F169-1))</f>
        <v/>
      </c>
      <c r="G170" s="34">
        <f>IF(OR('Historique ajusté'!G170="",'Historique ajusté'!G169=""),"",IF(ABS(LN('Historique ajusté'!G170/'Historique ajusté'!G169))&gt;Seuil_aberrant,"",'Historique ajusté'!G170/'Historique ajusté'!G169-1))</f>
        <v/>
      </c>
      <c r="H170" s="34">
        <f>IF(OR('Historique ajusté'!H170="",'Historique ajusté'!H169=""),"",IF(ABS(LN('Historique ajusté'!H170/'Historique ajusté'!H169))&gt;Seuil_aberrant,"",'Historique ajusté'!H170/'Historique ajusté'!H169-1))</f>
        <v/>
      </c>
      <c r="I170" s="34">
        <f>IF(OR('Historique ajusté'!I170="",'Historique ajusté'!I169=""),"",IF(ABS(LN('Historique ajusté'!I170/'Historique ajusté'!I169))&gt;Seuil_aberrant,"",'Historique ajusté'!I170/'Historique ajusté'!I169-1))</f>
        <v/>
      </c>
      <c r="J170" s="34">
        <f>IF(OR('Historique ajusté'!J170="",'Historique ajusté'!J169=""),"",IF(ABS(LN('Historique ajusté'!J170/'Historique ajusté'!J169))&gt;Seuil_aberrant,"",'Historique ajusté'!J170/'Historique ajusté'!J169-1))</f>
        <v/>
      </c>
      <c r="K170" s="34">
        <f>IF(OR('Historique ajusté'!K170="",'Historique ajusté'!K169=""),"",IF(ABS(LN('Historique ajusté'!K170/'Historique ajusté'!K169))&gt;Seuil_aberrant,"",'Historique ajusté'!K170/'Historique ajusté'!K169-1))</f>
        <v/>
      </c>
      <c r="L170" s="34">
        <f>IF(OR('Historique ajusté'!L170="",'Historique ajusté'!L169=""),"",IF(ABS(LN('Historique ajusté'!L170/'Historique ajusté'!L169))&gt;Seuil_aberrant,"",'Historique ajusté'!L170/'Historique ajusté'!L169-1))</f>
        <v/>
      </c>
      <c r="M170" s="34">
        <f>IF(OR('Historique ajusté'!M170="",'Historique ajusté'!M169=""),"",IF(ABS(LN('Historique ajusté'!M170/'Historique ajusté'!M169))&gt;Seuil_aberrant,"",'Historique ajusté'!M170/'Historique ajusté'!M169-1))</f>
        <v/>
      </c>
      <c r="N170" s="34">
        <f>IF(OR('Historique ajusté'!N170="",'Historique ajusté'!N169=""),"",IF(ABS(LN('Historique ajusté'!N170/'Historique ajusté'!N169))&gt;Seuil_aberrant,"",'Historique ajusté'!N170/'Historique ajusté'!N169-1))</f>
        <v/>
      </c>
      <c r="O170" s="34">
        <f>IF(OR('Historique ajusté'!O170="",'Historique ajusté'!O169=""),"",IF(ABS(LN('Historique ajusté'!O170/'Historique ajusté'!O169))&gt;Seuil_aberrant,"",'Historique ajusté'!O170/'Historique ajusté'!O169-1))</f>
        <v/>
      </c>
      <c r="P170" s="34">
        <f>IF(OR('Historique ajusté'!P170="",'Historique ajusté'!P169=""),"",IF(ABS(LN('Historique ajusté'!P170/'Historique ajusté'!P169))&gt;Seuil_aberrant,"",'Historique ajusté'!P170/'Historique ajusté'!P169-1))</f>
        <v/>
      </c>
    </row>
    <row r="171">
      <c r="B171" s="32">
        <f>'Historique ajusté'!B171</f>
        <v/>
      </c>
      <c r="C171" s="34">
        <f>IF(OR('Historique ajusté'!C171="",'Historique ajusté'!C170=""),"",IF(ABS(LN('Historique ajusté'!C171/'Historique ajusté'!C170))&gt;Seuil_aberrant,"",'Historique ajusté'!C171/'Historique ajusté'!C170-1))</f>
        <v/>
      </c>
      <c r="D171" s="34">
        <f>IF(OR('Historique ajusté'!D171="",'Historique ajusté'!D170=""),"",IF(ABS(LN('Historique ajusté'!D171/'Historique ajusté'!D170))&gt;Seuil_aberrant,"",'Historique ajusté'!D171/'Historique ajusté'!D170-1))</f>
        <v/>
      </c>
      <c r="E171" s="34">
        <f>IF(OR('Historique ajusté'!E171="",'Historique ajusté'!E170=""),"",IF(ABS(LN('Historique ajusté'!E171/'Historique ajusté'!E170))&gt;Seuil_aberrant,"",'Historique ajusté'!E171/'Historique ajusté'!E170-1))</f>
        <v/>
      </c>
      <c r="F171" s="34">
        <f>IF(OR('Historique ajusté'!F171="",'Historique ajusté'!F170=""),"",IF(ABS(LN('Historique ajusté'!F171/'Historique ajusté'!F170))&gt;Seuil_aberrant,"",'Historique ajusté'!F171/'Historique ajusté'!F170-1))</f>
        <v/>
      </c>
      <c r="G171" s="34">
        <f>IF(OR('Historique ajusté'!G171="",'Historique ajusté'!G170=""),"",IF(ABS(LN('Historique ajusté'!G171/'Historique ajusté'!G170))&gt;Seuil_aberrant,"",'Historique ajusté'!G171/'Historique ajusté'!G170-1))</f>
        <v/>
      </c>
      <c r="H171" s="34">
        <f>IF(OR('Historique ajusté'!H171="",'Historique ajusté'!H170=""),"",IF(ABS(LN('Historique ajusté'!H171/'Historique ajusté'!H170))&gt;Seuil_aberrant,"",'Historique ajusté'!H171/'Historique ajusté'!H170-1))</f>
        <v/>
      </c>
      <c r="I171" s="34">
        <f>IF(OR('Historique ajusté'!I171="",'Historique ajusté'!I170=""),"",IF(ABS(LN('Historique ajusté'!I171/'Historique ajusté'!I170))&gt;Seuil_aberrant,"",'Historique ajusté'!I171/'Historique ajusté'!I170-1))</f>
        <v/>
      </c>
      <c r="J171" s="34">
        <f>IF(OR('Historique ajusté'!J171="",'Historique ajusté'!J170=""),"",IF(ABS(LN('Historique ajusté'!J171/'Historique ajusté'!J170))&gt;Seuil_aberrant,"",'Historique ajusté'!J171/'Historique ajusté'!J170-1))</f>
        <v/>
      </c>
      <c r="K171" s="34">
        <f>IF(OR('Historique ajusté'!K171="",'Historique ajusté'!K170=""),"",IF(ABS(LN('Historique ajusté'!K171/'Historique ajusté'!K170))&gt;Seuil_aberrant,"",'Historique ajusté'!K171/'Historique ajusté'!K170-1))</f>
        <v/>
      </c>
      <c r="L171" s="34">
        <f>IF(OR('Historique ajusté'!L171="",'Historique ajusté'!L170=""),"",IF(ABS(LN('Historique ajusté'!L171/'Historique ajusté'!L170))&gt;Seuil_aberrant,"",'Historique ajusté'!L171/'Historique ajusté'!L170-1))</f>
        <v/>
      </c>
      <c r="M171" s="34">
        <f>IF(OR('Historique ajusté'!M171="",'Historique ajusté'!M170=""),"",IF(ABS(LN('Historique ajusté'!M171/'Historique ajusté'!M170))&gt;Seuil_aberrant,"",'Historique ajusté'!M171/'Historique ajusté'!M170-1))</f>
        <v/>
      </c>
      <c r="N171" s="34">
        <f>IF(OR('Historique ajusté'!N171="",'Historique ajusté'!N170=""),"",IF(ABS(LN('Historique ajusté'!N171/'Historique ajusté'!N170))&gt;Seuil_aberrant,"",'Historique ajusté'!N171/'Historique ajusté'!N170-1))</f>
        <v/>
      </c>
      <c r="O171" s="34">
        <f>IF(OR('Historique ajusté'!O171="",'Historique ajusté'!O170=""),"",IF(ABS(LN('Historique ajusté'!O171/'Historique ajusté'!O170))&gt;Seuil_aberrant,"",'Historique ajusté'!O171/'Historique ajusté'!O170-1))</f>
        <v/>
      </c>
      <c r="P171" s="34">
        <f>IF(OR('Historique ajusté'!P171="",'Historique ajusté'!P170=""),"",IF(ABS(LN('Historique ajusté'!P171/'Historique ajusté'!P170))&gt;Seuil_aberrant,"",'Historique ajusté'!P171/'Historique ajusté'!P170-1))</f>
        <v/>
      </c>
    </row>
    <row r="172">
      <c r="B172" s="32">
        <f>'Historique ajusté'!B172</f>
        <v/>
      </c>
      <c r="C172" s="34">
        <f>IF(OR('Historique ajusté'!C172="",'Historique ajusté'!C171=""),"",IF(ABS(LN('Historique ajusté'!C172/'Historique ajusté'!C171))&gt;Seuil_aberrant,"",'Historique ajusté'!C172/'Historique ajusté'!C171-1))</f>
        <v/>
      </c>
      <c r="D172" s="34">
        <f>IF(OR('Historique ajusté'!D172="",'Historique ajusté'!D171=""),"",IF(ABS(LN('Historique ajusté'!D172/'Historique ajusté'!D171))&gt;Seuil_aberrant,"",'Historique ajusté'!D172/'Historique ajusté'!D171-1))</f>
        <v/>
      </c>
      <c r="E172" s="34">
        <f>IF(OR('Historique ajusté'!E172="",'Historique ajusté'!E171=""),"",IF(ABS(LN('Historique ajusté'!E172/'Historique ajusté'!E171))&gt;Seuil_aberrant,"",'Historique ajusté'!E172/'Historique ajusté'!E171-1))</f>
        <v/>
      </c>
      <c r="F172" s="34">
        <f>IF(OR('Historique ajusté'!F172="",'Historique ajusté'!F171=""),"",IF(ABS(LN('Historique ajusté'!F172/'Historique ajusté'!F171))&gt;Seuil_aberrant,"",'Historique ajusté'!F172/'Historique ajusté'!F171-1))</f>
        <v/>
      </c>
      <c r="G172" s="34">
        <f>IF(OR('Historique ajusté'!G172="",'Historique ajusté'!G171=""),"",IF(ABS(LN('Historique ajusté'!G172/'Historique ajusté'!G171))&gt;Seuil_aberrant,"",'Historique ajusté'!G172/'Historique ajusté'!G171-1))</f>
        <v/>
      </c>
      <c r="H172" s="34">
        <f>IF(OR('Historique ajusté'!H172="",'Historique ajusté'!H171=""),"",IF(ABS(LN('Historique ajusté'!H172/'Historique ajusté'!H171))&gt;Seuil_aberrant,"",'Historique ajusté'!H172/'Historique ajusté'!H171-1))</f>
        <v/>
      </c>
      <c r="I172" s="34">
        <f>IF(OR('Historique ajusté'!I172="",'Historique ajusté'!I171=""),"",IF(ABS(LN('Historique ajusté'!I172/'Historique ajusté'!I171))&gt;Seuil_aberrant,"",'Historique ajusté'!I172/'Historique ajusté'!I171-1))</f>
        <v/>
      </c>
      <c r="J172" s="34">
        <f>IF(OR('Historique ajusté'!J172="",'Historique ajusté'!J171=""),"",IF(ABS(LN('Historique ajusté'!J172/'Historique ajusté'!J171))&gt;Seuil_aberrant,"",'Historique ajusté'!J172/'Historique ajusté'!J171-1))</f>
        <v/>
      </c>
      <c r="K172" s="34">
        <f>IF(OR('Historique ajusté'!K172="",'Historique ajusté'!K171=""),"",IF(ABS(LN('Historique ajusté'!K172/'Historique ajusté'!K171))&gt;Seuil_aberrant,"",'Historique ajusté'!K172/'Historique ajusté'!K171-1))</f>
        <v/>
      </c>
      <c r="L172" s="34">
        <f>IF(OR('Historique ajusté'!L172="",'Historique ajusté'!L171=""),"",IF(ABS(LN('Historique ajusté'!L172/'Historique ajusté'!L171))&gt;Seuil_aberrant,"",'Historique ajusté'!L172/'Historique ajusté'!L171-1))</f>
        <v/>
      </c>
      <c r="M172" s="34">
        <f>IF(OR('Historique ajusté'!M172="",'Historique ajusté'!M171=""),"",IF(ABS(LN('Historique ajusté'!M172/'Historique ajusté'!M171))&gt;Seuil_aberrant,"",'Historique ajusté'!M172/'Historique ajusté'!M171-1))</f>
        <v/>
      </c>
      <c r="N172" s="34">
        <f>IF(OR('Historique ajusté'!N172="",'Historique ajusté'!N171=""),"",IF(ABS(LN('Historique ajusté'!N172/'Historique ajusté'!N171))&gt;Seuil_aberrant,"",'Historique ajusté'!N172/'Historique ajusté'!N171-1))</f>
        <v/>
      </c>
      <c r="O172" s="34">
        <f>IF(OR('Historique ajusté'!O172="",'Historique ajusté'!O171=""),"",IF(ABS(LN('Historique ajusté'!O172/'Historique ajusté'!O171))&gt;Seuil_aberrant,"",'Historique ajusté'!O172/'Historique ajusté'!O171-1))</f>
        <v/>
      </c>
      <c r="P172" s="34">
        <f>IF(OR('Historique ajusté'!P172="",'Historique ajusté'!P171=""),"",IF(ABS(LN('Historique ajusté'!P172/'Historique ajusté'!P171))&gt;Seuil_aberrant,"",'Historique ajusté'!P172/'Historique ajusté'!P171-1))</f>
        <v/>
      </c>
    </row>
    <row r="173">
      <c r="B173" s="32">
        <f>'Historique ajusté'!B173</f>
        <v/>
      </c>
      <c r="C173" s="34">
        <f>IF(OR('Historique ajusté'!C173="",'Historique ajusté'!C172=""),"",IF(ABS(LN('Historique ajusté'!C173/'Historique ajusté'!C172))&gt;Seuil_aberrant,"",'Historique ajusté'!C173/'Historique ajusté'!C172-1))</f>
        <v/>
      </c>
      <c r="D173" s="34">
        <f>IF(OR('Historique ajusté'!D173="",'Historique ajusté'!D172=""),"",IF(ABS(LN('Historique ajusté'!D173/'Historique ajusté'!D172))&gt;Seuil_aberrant,"",'Historique ajusté'!D173/'Historique ajusté'!D172-1))</f>
        <v/>
      </c>
      <c r="E173" s="34">
        <f>IF(OR('Historique ajusté'!E173="",'Historique ajusté'!E172=""),"",IF(ABS(LN('Historique ajusté'!E173/'Historique ajusté'!E172))&gt;Seuil_aberrant,"",'Historique ajusté'!E173/'Historique ajusté'!E172-1))</f>
        <v/>
      </c>
      <c r="F173" s="34">
        <f>IF(OR('Historique ajusté'!F173="",'Historique ajusté'!F172=""),"",IF(ABS(LN('Historique ajusté'!F173/'Historique ajusté'!F172))&gt;Seuil_aberrant,"",'Historique ajusté'!F173/'Historique ajusté'!F172-1))</f>
        <v/>
      </c>
      <c r="G173" s="34">
        <f>IF(OR('Historique ajusté'!G173="",'Historique ajusté'!G172=""),"",IF(ABS(LN('Historique ajusté'!G173/'Historique ajusté'!G172))&gt;Seuil_aberrant,"",'Historique ajusté'!G173/'Historique ajusté'!G172-1))</f>
        <v/>
      </c>
      <c r="H173" s="34">
        <f>IF(OR('Historique ajusté'!H173="",'Historique ajusté'!H172=""),"",IF(ABS(LN('Historique ajusté'!H173/'Historique ajusté'!H172))&gt;Seuil_aberrant,"",'Historique ajusté'!H173/'Historique ajusté'!H172-1))</f>
        <v/>
      </c>
      <c r="I173" s="34">
        <f>IF(OR('Historique ajusté'!I173="",'Historique ajusté'!I172=""),"",IF(ABS(LN('Historique ajusté'!I173/'Historique ajusté'!I172))&gt;Seuil_aberrant,"",'Historique ajusté'!I173/'Historique ajusté'!I172-1))</f>
        <v/>
      </c>
      <c r="J173" s="34">
        <f>IF(OR('Historique ajusté'!J173="",'Historique ajusté'!J172=""),"",IF(ABS(LN('Historique ajusté'!J173/'Historique ajusté'!J172))&gt;Seuil_aberrant,"",'Historique ajusté'!J173/'Historique ajusté'!J172-1))</f>
        <v/>
      </c>
      <c r="K173" s="34">
        <f>IF(OR('Historique ajusté'!K173="",'Historique ajusté'!K172=""),"",IF(ABS(LN('Historique ajusté'!K173/'Historique ajusté'!K172))&gt;Seuil_aberrant,"",'Historique ajusté'!K173/'Historique ajusté'!K172-1))</f>
        <v/>
      </c>
      <c r="L173" s="34">
        <f>IF(OR('Historique ajusté'!L173="",'Historique ajusté'!L172=""),"",IF(ABS(LN('Historique ajusté'!L173/'Historique ajusté'!L172))&gt;Seuil_aberrant,"",'Historique ajusté'!L173/'Historique ajusté'!L172-1))</f>
        <v/>
      </c>
      <c r="M173" s="34">
        <f>IF(OR('Historique ajusté'!M173="",'Historique ajusté'!M172=""),"",IF(ABS(LN('Historique ajusté'!M173/'Historique ajusté'!M172))&gt;Seuil_aberrant,"",'Historique ajusté'!M173/'Historique ajusté'!M172-1))</f>
        <v/>
      </c>
      <c r="N173" s="34">
        <f>IF(OR('Historique ajusté'!N173="",'Historique ajusté'!N172=""),"",IF(ABS(LN('Historique ajusté'!N173/'Historique ajusté'!N172))&gt;Seuil_aberrant,"",'Historique ajusté'!N173/'Historique ajusté'!N172-1))</f>
        <v/>
      </c>
      <c r="O173" s="34">
        <f>IF(OR('Historique ajusté'!O173="",'Historique ajusté'!O172=""),"",IF(ABS(LN('Historique ajusté'!O173/'Historique ajusté'!O172))&gt;Seuil_aberrant,"",'Historique ajusté'!O173/'Historique ajusté'!O172-1))</f>
        <v/>
      </c>
      <c r="P173" s="34">
        <f>IF(OR('Historique ajusté'!P173="",'Historique ajusté'!P172=""),"",IF(ABS(LN('Historique ajusté'!P173/'Historique ajusté'!P172))&gt;Seuil_aberrant,"",'Historique ajusté'!P173/'Historique ajusté'!P172-1))</f>
        <v/>
      </c>
    </row>
    <row r="174">
      <c r="B174" s="32">
        <f>'Historique ajusté'!B174</f>
        <v/>
      </c>
      <c r="C174" s="34">
        <f>IF(OR('Historique ajusté'!C174="",'Historique ajusté'!C173=""),"",IF(ABS(LN('Historique ajusté'!C174/'Historique ajusté'!C173))&gt;Seuil_aberrant,"",'Historique ajusté'!C174/'Historique ajusté'!C173-1))</f>
        <v/>
      </c>
      <c r="D174" s="34">
        <f>IF(OR('Historique ajusté'!D174="",'Historique ajusté'!D173=""),"",IF(ABS(LN('Historique ajusté'!D174/'Historique ajusté'!D173))&gt;Seuil_aberrant,"",'Historique ajusté'!D174/'Historique ajusté'!D173-1))</f>
        <v/>
      </c>
      <c r="E174" s="34">
        <f>IF(OR('Historique ajusté'!E174="",'Historique ajusté'!E173=""),"",IF(ABS(LN('Historique ajusté'!E174/'Historique ajusté'!E173))&gt;Seuil_aberrant,"",'Historique ajusté'!E174/'Historique ajusté'!E173-1))</f>
        <v/>
      </c>
      <c r="F174" s="34">
        <f>IF(OR('Historique ajusté'!F174="",'Historique ajusté'!F173=""),"",IF(ABS(LN('Historique ajusté'!F174/'Historique ajusté'!F173))&gt;Seuil_aberrant,"",'Historique ajusté'!F174/'Historique ajusté'!F173-1))</f>
        <v/>
      </c>
      <c r="G174" s="34">
        <f>IF(OR('Historique ajusté'!G174="",'Historique ajusté'!G173=""),"",IF(ABS(LN('Historique ajusté'!G174/'Historique ajusté'!G173))&gt;Seuil_aberrant,"",'Historique ajusté'!G174/'Historique ajusté'!G173-1))</f>
        <v/>
      </c>
      <c r="H174" s="34">
        <f>IF(OR('Historique ajusté'!H174="",'Historique ajusté'!H173=""),"",IF(ABS(LN('Historique ajusté'!H174/'Historique ajusté'!H173))&gt;Seuil_aberrant,"",'Historique ajusté'!H174/'Historique ajusté'!H173-1))</f>
        <v/>
      </c>
      <c r="I174" s="34">
        <f>IF(OR('Historique ajusté'!I174="",'Historique ajusté'!I173=""),"",IF(ABS(LN('Historique ajusté'!I174/'Historique ajusté'!I173))&gt;Seuil_aberrant,"",'Historique ajusté'!I174/'Historique ajusté'!I173-1))</f>
        <v/>
      </c>
      <c r="J174" s="34">
        <f>IF(OR('Historique ajusté'!J174="",'Historique ajusté'!J173=""),"",IF(ABS(LN('Historique ajusté'!J174/'Historique ajusté'!J173))&gt;Seuil_aberrant,"",'Historique ajusté'!J174/'Historique ajusté'!J173-1))</f>
        <v/>
      </c>
      <c r="K174" s="34">
        <f>IF(OR('Historique ajusté'!K174="",'Historique ajusté'!K173=""),"",IF(ABS(LN('Historique ajusté'!K174/'Historique ajusté'!K173))&gt;Seuil_aberrant,"",'Historique ajusté'!K174/'Historique ajusté'!K173-1))</f>
        <v/>
      </c>
      <c r="L174" s="34">
        <f>IF(OR('Historique ajusté'!L174="",'Historique ajusté'!L173=""),"",IF(ABS(LN('Historique ajusté'!L174/'Historique ajusté'!L173))&gt;Seuil_aberrant,"",'Historique ajusté'!L174/'Historique ajusté'!L173-1))</f>
        <v/>
      </c>
      <c r="M174" s="34">
        <f>IF(OR('Historique ajusté'!M174="",'Historique ajusté'!M173=""),"",IF(ABS(LN('Historique ajusté'!M174/'Historique ajusté'!M173))&gt;Seuil_aberrant,"",'Historique ajusté'!M174/'Historique ajusté'!M173-1))</f>
        <v/>
      </c>
      <c r="N174" s="34">
        <f>IF(OR('Historique ajusté'!N174="",'Historique ajusté'!N173=""),"",IF(ABS(LN('Historique ajusté'!N174/'Historique ajusté'!N173))&gt;Seuil_aberrant,"",'Historique ajusté'!N174/'Historique ajusté'!N173-1))</f>
        <v/>
      </c>
      <c r="O174" s="34">
        <f>IF(OR('Historique ajusté'!O174="",'Historique ajusté'!O173=""),"",IF(ABS(LN('Historique ajusté'!O174/'Historique ajusté'!O173))&gt;Seuil_aberrant,"",'Historique ajusté'!O174/'Historique ajusté'!O173-1))</f>
        <v/>
      </c>
      <c r="P174" s="34">
        <f>IF(OR('Historique ajusté'!P174="",'Historique ajusté'!P173=""),"",IF(ABS(LN('Historique ajusté'!P174/'Historique ajusté'!P173))&gt;Seuil_aberrant,"",'Historique ajusté'!P174/'Historique ajusté'!P173-1))</f>
        <v/>
      </c>
    </row>
    <row r="175">
      <c r="B175" s="32">
        <f>'Historique ajusté'!B175</f>
        <v/>
      </c>
      <c r="C175" s="34">
        <f>IF(OR('Historique ajusté'!C175="",'Historique ajusté'!C174=""),"",IF(ABS(LN('Historique ajusté'!C175/'Historique ajusté'!C174))&gt;Seuil_aberrant,"",'Historique ajusté'!C175/'Historique ajusté'!C174-1))</f>
        <v/>
      </c>
      <c r="D175" s="34">
        <f>IF(OR('Historique ajusté'!D175="",'Historique ajusté'!D174=""),"",IF(ABS(LN('Historique ajusté'!D175/'Historique ajusté'!D174))&gt;Seuil_aberrant,"",'Historique ajusté'!D175/'Historique ajusté'!D174-1))</f>
        <v/>
      </c>
      <c r="E175" s="34">
        <f>IF(OR('Historique ajusté'!E175="",'Historique ajusté'!E174=""),"",IF(ABS(LN('Historique ajusté'!E175/'Historique ajusté'!E174))&gt;Seuil_aberrant,"",'Historique ajusté'!E175/'Historique ajusté'!E174-1))</f>
        <v/>
      </c>
      <c r="F175" s="34">
        <f>IF(OR('Historique ajusté'!F175="",'Historique ajusté'!F174=""),"",IF(ABS(LN('Historique ajusté'!F175/'Historique ajusté'!F174))&gt;Seuil_aberrant,"",'Historique ajusté'!F175/'Historique ajusté'!F174-1))</f>
        <v/>
      </c>
      <c r="G175" s="34">
        <f>IF(OR('Historique ajusté'!G175="",'Historique ajusté'!G174=""),"",IF(ABS(LN('Historique ajusté'!G175/'Historique ajusté'!G174))&gt;Seuil_aberrant,"",'Historique ajusté'!G175/'Historique ajusté'!G174-1))</f>
        <v/>
      </c>
      <c r="H175" s="34">
        <f>IF(OR('Historique ajusté'!H175="",'Historique ajusté'!H174=""),"",IF(ABS(LN('Historique ajusté'!H175/'Historique ajusté'!H174))&gt;Seuil_aberrant,"",'Historique ajusté'!H175/'Historique ajusté'!H174-1))</f>
        <v/>
      </c>
      <c r="I175" s="34">
        <f>IF(OR('Historique ajusté'!I175="",'Historique ajusté'!I174=""),"",IF(ABS(LN('Historique ajusté'!I175/'Historique ajusté'!I174))&gt;Seuil_aberrant,"",'Historique ajusté'!I175/'Historique ajusté'!I174-1))</f>
        <v/>
      </c>
      <c r="J175" s="34">
        <f>IF(OR('Historique ajusté'!J175="",'Historique ajusté'!J174=""),"",IF(ABS(LN('Historique ajusté'!J175/'Historique ajusté'!J174))&gt;Seuil_aberrant,"",'Historique ajusté'!J175/'Historique ajusté'!J174-1))</f>
        <v/>
      </c>
      <c r="K175" s="34">
        <f>IF(OR('Historique ajusté'!K175="",'Historique ajusté'!K174=""),"",IF(ABS(LN('Historique ajusté'!K175/'Historique ajusté'!K174))&gt;Seuil_aberrant,"",'Historique ajusté'!K175/'Historique ajusté'!K174-1))</f>
        <v/>
      </c>
      <c r="L175" s="34">
        <f>IF(OR('Historique ajusté'!L175="",'Historique ajusté'!L174=""),"",IF(ABS(LN('Historique ajusté'!L175/'Historique ajusté'!L174))&gt;Seuil_aberrant,"",'Historique ajusté'!L175/'Historique ajusté'!L174-1))</f>
        <v/>
      </c>
      <c r="M175" s="34">
        <f>IF(OR('Historique ajusté'!M175="",'Historique ajusté'!M174=""),"",IF(ABS(LN('Historique ajusté'!M175/'Historique ajusté'!M174))&gt;Seuil_aberrant,"",'Historique ajusté'!M175/'Historique ajusté'!M174-1))</f>
        <v/>
      </c>
      <c r="N175" s="34">
        <f>IF(OR('Historique ajusté'!N175="",'Historique ajusté'!N174=""),"",IF(ABS(LN('Historique ajusté'!N175/'Historique ajusté'!N174))&gt;Seuil_aberrant,"",'Historique ajusté'!N175/'Historique ajusté'!N174-1))</f>
        <v/>
      </c>
      <c r="O175" s="34">
        <f>IF(OR('Historique ajusté'!O175="",'Historique ajusté'!O174=""),"",IF(ABS(LN('Historique ajusté'!O175/'Historique ajusté'!O174))&gt;Seuil_aberrant,"",'Historique ajusté'!O175/'Historique ajusté'!O174-1))</f>
        <v/>
      </c>
      <c r="P175" s="34">
        <f>IF(OR('Historique ajusté'!P175="",'Historique ajusté'!P174=""),"",IF(ABS(LN('Historique ajusté'!P175/'Historique ajusté'!P174))&gt;Seuil_aberrant,"",'Historique ajusté'!P175/'Historique ajusté'!P174-1))</f>
        <v/>
      </c>
    </row>
    <row r="176">
      <c r="B176" s="32">
        <f>'Historique ajusté'!B176</f>
        <v/>
      </c>
      <c r="C176" s="34">
        <f>IF(OR('Historique ajusté'!C176="",'Historique ajusté'!C175=""),"",IF(ABS(LN('Historique ajusté'!C176/'Historique ajusté'!C175))&gt;Seuil_aberrant,"",'Historique ajusté'!C176/'Historique ajusté'!C175-1))</f>
        <v/>
      </c>
      <c r="D176" s="34">
        <f>IF(OR('Historique ajusté'!D176="",'Historique ajusté'!D175=""),"",IF(ABS(LN('Historique ajusté'!D176/'Historique ajusté'!D175))&gt;Seuil_aberrant,"",'Historique ajusté'!D176/'Historique ajusté'!D175-1))</f>
        <v/>
      </c>
      <c r="E176" s="34">
        <f>IF(OR('Historique ajusté'!E176="",'Historique ajusté'!E175=""),"",IF(ABS(LN('Historique ajusté'!E176/'Historique ajusté'!E175))&gt;Seuil_aberrant,"",'Historique ajusté'!E176/'Historique ajusté'!E175-1))</f>
        <v/>
      </c>
      <c r="F176" s="34">
        <f>IF(OR('Historique ajusté'!F176="",'Historique ajusté'!F175=""),"",IF(ABS(LN('Historique ajusté'!F176/'Historique ajusté'!F175))&gt;Seuil_aberrant,"",'Historique ajusté'!F176/'Historique ajusté'!F175-1))</f>
        <v/>
      </c>
      <c r="G176" s="34">
        <f>IF(OR('Historique ajusté'!G176="",'Historique ajusté'!G175=""),"",IF(ABS(LN('Historique ajusté'!G176/'Historique ajusté'!G175))&gt;Seuil_aberrant,"",'Historique ajusté'!G176/'Historique ajusté'!G175-1))</f>
        <v/>
      </c>
      <c r="H176" s="34">
        <f>IF(OR('Historique ajusté'!H176="",'Historique ajusté'!H175=""),"",IF(ABS(LN('Historique ajusté'!H176/'Historique ajusté'!H175))&gt;Seuil_aberrant,"",'Historique ajusté'!H176/'Historique ajusté'!H175-1))</f>
        <v/>
      </c>
      <c r="I176" s="34">
        <f>IF(OR('Historique ajusté'!I176="",'Historique ajusté'!I175=""),"",IF(ABS(LN('Historique ajusté'!I176/'Historique ajusté'!I175))&gt;Seuil_aberrant,"",'Historique ajusté'!I176/'Historique ajusté'!I175-1))</f>
        <v/>
      </c>
      <c r="J176" s="34">
        <f>IF(OR('Historique ajusté'!J176="",'Historique ajusté'!J175=""),"",IF(ABS(LN('Historique ajusté'!J176/'Historique ajusté'!J175))&gt;Seuil_aberrant,"",'Historique ajusté'!J176/'Historique ajusté'!J175-1))</f>
        <v/>
      </c>
      <c r="K176" s="34">
        <f>IF(OR('Historique ajusté'!K176="",'Historique ajusté'!K175=""),"",IF(ABS(LN('Historique ajusté'!K176/'Historique ajusté'!K175))&gt;Seuil_aberrant,"",'Historique ajusté'!K176/'Historique ajusté'!K175-1))</f>
        <v/>
      </c>
      <c r="L176" s="34">
        <f>IF(OR('Historique ajusté'!L176="",'Historique ajusté'!L175=""),"",IF(ABS(LN('Historique ajusté'!L176/'Historique ajusté'!L175))&gt;Seuil_aberrant,"",'Historique ajusté'!L176/'Historique ajusté'!L175-1))</f>
        <v/>
      </c>
      <c r="M176" s="34">
        <f>IF(OR('Historique ajusté'!M176="",'Historique ajusté'!M175=""),"",IF(ABS(LN('Historique ajusté'!M176/'Historique ajusté'!M175))&gt;Seuil_aberrant,"",'Historique ajusté'!M176/'Historique ajusté'!M175-1))</f>
        <v/>
      </c>
      <c r="N176" s="34">
        <f>IF(OR('Historique ajusté'!N176="",'Historique ajusté'!N175=""),"",IF(ABS(LN('Historique ajusté'!N176/'Historique ajusté'!N175))&gt;Seuil_aberrant,"",'Historique ajusté'!N176/'Historique ajusté'!N175-1))</f>
        <v/>
      </c>
      <c r="O176" s="34">
        <f>IF(OR('Historique ajusté'!O176="",'Historique ajusté'!O175=""),"",IF(ABS(LN('Historique ajusté'!O176/'Historique ajusté'!O175))&gt;Seuil_aberrant,"",'Historique ajusté'!O176/'Historique ajusté'!O175-1))</f>
        <v/>
      </c>
      <c r="P176" s="34">
        <f>IF(OR('Historique ajusté'!P176="",'Historique ajusté'!P175=""),"",IF(ABS(LN('Historique ajusté'!P176/'Historique ajusté'!P175))&gt;Seuil_aberrant,"",'Historique ajusté'!P176/'Historique ajusté'!P175-1))</f>
        <v/>
      </c>
    </row>
    <row r="177">
      <c r="B177" s="32">
        <f>'Historique ajusté'!B177</f>
        <v/>
      </c>
      <c r="C177" s="34">
        <f>IF(OR('Historique ajusté'!C177="",'Historique ajusté'!C176=""),"",IF(ABS(LN('Historique ajusté'!C177/'Historique ajusté'!C176))&gt;Seuil_aberrant,"",'Historique ajusté'!C177/'Historique ajusté'!C176-1))</f>
        <v/>
      </c>
      <c r="D177" s="34">
        <f>IF(OR('Historique ajusté'!D177="",'Historique ajusté'!D176=""),"",IF(ABS(LN('Historique ajusté'!D177/'Historique ajusté'!D176))&gt;Seuil_aberrant,"",'Historique ajusté'!D177/'Historique ajusté'!D176-1))</f>
        <v/>
      </c>
      <c r="E177" s="34">
        <f>IF(OR('Historique ajusté'!E177="",'Historique ajusté'!E176=""),"",IF(ABS(LN('Historique ajusté'!E177/'Historique ajusté'!E176))&gt;Seuil_aberrant,"",'Historique ajusté'!E177/'Historique ajusté'!E176-1))</f>
        <v/>
      </c>
      <c r="F177" s="34">
        <f>IF(OR('Historique ajusté'!F177="",'Historique ajusté'!F176=""),"",IF(ABS(LN('Historique ajusté'!F177/'Historique ajusté'!F176))&gt;Seuil_aberrant,"",'Historique ajusté'!F177/'Historique ajusté'!F176-1))</f>
        <v/>
      </c>
      <c r="G177" s="34">
        <f>IF(OR('Historique ajusté'!G177="",'Historique ajusté'!G176=""),"",IF(ABS(LN('Historique ajusté'!G177/'Historique ajusté'!G176))&gt;Seuil_aberrant,"",'Historique ajusté'!G177/'Historique ajusté'!G176-1))</f>
        <v/>
      </c>
      <c r="H177" s="34">
        <f>IF(OR('Historique ajusté'!H177="",'Historique ajusté'!H176=""),"",IF(ABS(LN('Historique ajusté'!H177/'Historique ajusté'!H176))&gt;Seuil_aberrant,"",'Historique ajusté'!H177/'Historique ajusté'!H176-1))</f>
        <v/>
      </c>
      <c r="I177" s="34">
        <f>IF(OR('Historique ajusté'!I177="",'Historique ajusté'!I176=""),"",IF(ABS(LN('Historique ajusté'!I177/'Historique ajusté'!I176))&gt;Seuil_aberrant,"",'Historique ajusté'!I177/'Historique ajusté'!I176-1))</f>
        <v/>
      </c>
      <c r="J177" s="34">
        <f>IF(OR('Historique ajusté'!J177="",'Historique ajusté'!J176=""),"",IF(ABS(LN('Historique ajusté'!J177/'Historique ajusté'!J176))&gt;Seuil_aberrant,"",'Historique ajusté'!J177/'Historique ajusté'!J176-1))</f>
        <v/>
      </c>
      <c r="K177" s="34">
        <f>IF(OR('Historique ajusté'!K177="",'Historique ajusté'!K176=""),"",IF(ABS(LN('Historique ajusté'!K177/'Historique ajusté'!K176))&gt;Seuil_aberrant,"",'Historique ajusté'!K177/'Historique ajusté'!K176-1))</f>
        <v/>
      </c>
      <c r="L177" s="34">
        <f>IF(OR('Historique ajusté'!L177="",'Historique ajusté'!L176=""),"",IF(ABS(LN('Historique ajusté'!L177/'Historique ajusté'!L176))&gt;Seuil_aberrant,"",'Historique ajusté'!L177/'Historique ajusté'!L176-1))</f>
        <v/>
      </c>
      <c r="M177" s="34">
        <f>IF(OR('Historique ajusté'!M177="",'Historique ajusté'!M176=""),"",IF(ABS(LN('Historique ajusté'!M177/'Historique ajusté'!M176))&gt;Seuil_aberrant,"",'Historique ajusté'!M177/'Historique ajusté'!M176-1))</f>
        <v/>
      </c>
      <c r="N177" s="34">
        <f>IF(OR('Historique ajusté'!N177="",'Historique ajusté'!N176=""),"",IF(ABS(LN('Historique ajusté'!N177/'Historique ajusté'!N176))&gt;Seuil_aberrant,"",'Historique ajusté'!N177/'Historique ajusté'!N176-1))</f>
        <v/>
      </c>
      <c r="O177" s="34">
        <f>IF(OR('Historique ajusté'!O177="",'Historique ajusté'!O176=""),"",IF(ABS(LN('Historique ajusté'!O177/'Historique ajusté'!O176))&gt;Seuil_aberrant,"",'Historique ajusté'!O177/'Historique ajusté'!O176-1))</f>
        <v/>
      </c>
      <c r="P177" s="34">
        <f>IF(OR('Historique ajusté'!P177="",'Historique ajusté'!P176=""),"",IF(ABS(LN('Historique ajusté'!P177/'Historique ajusté'!P176))&gt;Seuil_aberrant,"",'Historique ajusté'!P177/'Historique ajusté'!P176-1))</f>
        <v/>
      </c>
    </row>
    <row r="178">
      <c r="B178" s="32">
        <f>'Historique ajusté'!B178</f>
        <v/>
      </c>
      <c r="C178" s="34">
        <f>IF(OR('Historique ajusté'!C178="",'Historique ajusté'!C177=""),"",IF(ABS(LN('Historique ajusté'!C178/'Historique ajusté'!C177))&gt;Seuil_aberrant,"",'Historique ajusté'!C178/'Historique ajusté'!C177-1))</f>
        <v/>
      </c>
      <c r="D178" s="34">
        <f>IF(OR('Historique ajusté'!D178="",'Historique ajusté'!D177=""),"",IF(ABS(LN('Historique ajusté'!D178/'Historique ajusté'!D177))&gt;Seuil_aberrant,"",'Historique ajusté'!D178/'Historique ajusté'!D177-1))</f>
        <v/>
      </c>
      <c r="E178" s="34">
        <f>IF(OR('Historique ajusté'!E178="",'Historique ajusté'!E177=""),"",IF(ABS(LN('Historique ajusté'!E178/'Historique ajusté'!E177))&gt;Seuil_aberrant,"",'Historique ajusté'!E178/'Historique ajusté'!E177-1))</f>
        <v/>
      </c>
      <c r="F178" s="34">
        <f>IF(OR('Historique ajusté'!F178="",'Historique ajusté'!F177=""),"",IF(ABS(LN('Historique ajusté'!F178/'Historique ajusté'!F177))&gt;Seuil_aberrant,"",'Historique ajusté'!F178/'Historique ajusté'!F177-1))</f>
        <v/>
      </c>
      <c r="G178" s="34">
        <f>IF(OR('Historique ajusté'!G178="",'Historique ajusté'!G177=""),"",IF(ABS(LN('Historique ajusté'!G178/'Historique ajusté'!G177))&gt;Seuil_aberrant,"",'Historique ajusté'!G178/'Historique ajusté'!G177-1))</f>
        <v/>
      </c>
      <c r="H178" s="34">
        <f>IF(OR('Historique ajusté'!H178="",'Historique ajusté'!H177=""),"",IF(ABS(LN('Historique ajusté'!H178/'Historique ajusté'!H177))&gt;Seuil_aberrant,"",'Historique ajusté'!H178/'Historique ajusté'!H177-1))</f>
        <v/>
      </c>
      <c r="I178" s="34">
        <f>IF(OR('Historique ajusté'!I178="",'Historique ajusté'!I177=""),"",IF(ABS(LN('Historique ajusté'!I178/'Historique ajusté'!I177))&gt;Seuil_aberrant,"",'Historique ajusté'!I178/'Historique ajusté'!I177-1))</f>
        <v/>
      </c>
      <c r="J178" s="34">
        <f>IF(OR('Historique ajusté'!J178="",'Historique ajusté'!J177=""),"",IF(ABS(LN('Historique ajusté'!J178/'Historique ajusté'!J177))&gt;Seuil_aberrant,"",'Historique ajusté'!J178/'Historique ajusté'!J177-1))</f>
        <v/>
      </c>
      <c r="K178" s="34">
        <f>IF(OR('Historique ajusté'!K178="",'Historique ajusté'!K177=""),"",IF(ABS(LN('Historique ajusté'!K178/'Historique ajusté'!K177))&gt;Seuil_aberrant,"",'Historique ajusté'!K178/'Historique ajusté'!K177-1))</f>
        <v/>
      </c>
      <c r="L178" s="34">
        <f>IF(OR('Historique ajusté'!L178="",'Historique ajusté'!L177=""),"",IF(ABS(LN('Historique ajusté'!L178/'Historique ajusté'!L177))&gt;Seuil_aberrant,"",'Historique ajusté'!L178/'Historique ajusté'!L177-1))</f>
        <v/>
      </c>
      <c r="M178" s="34">
        <f>IF(OR('Historique ajusté'!M178="",'Historique ajusté'!M177=""),"",IF(ABS(LN('Historique ajusté'!M178/'Historique ajusté'!M177))&gt;Seuil_aberrant,"",'Historique ajusté'!M178/'Historique ajusté'!M177-1))</f>
        <v/>
      </c>
      <c r="N178" s="34">
        <f>IF(OR('Historique ajusté'!N178="",'Historique ajusté'!N177=""),"",IF(ABS(LN('Historique ajusté'!N178/'Historique ajusté'!N177))&gt;Seuil_aberrant,"",'Historique ajusté'!N178/'Historique ajusté'!N177-1))</f>
        <v/>
      </c>
      <c r="O178" s="34">
        <f>IF(OR('Historique ajusté'!O178="",'Historique ajusté'!O177=""),"",IF(ABS(LN('Historique ajusté'!O178/'Historique ajusté'!O177))&gt;Seuil_aberrant,"",'Historique ajusté'!O178/'Historique ajusté'!O177-1))</f>
        <v/>
      </c>
      <c r="P178" s="34">
        <f>IF(OR('Historique ajusté'!P178="",'Historique ajusté'!P177=""),"",IF(ABS(LN('Historique ajusté'!P178/'Historique ajusté'!P177))&gt;Seuil_aberrant,"",'Historique ajusté'!P178/'Historique ajusté'!P177-1))</f>
        <v/>
      </c>
    </row>
    <row r="179">
      <c r="B179" s="32">
        <f>'Historique ajusté'!B179</f>
        <v/>
      </c>
      <c r="C179" s="34">
        <f>IF(OR('Historique ajusté'!C179="",'Historique ajusté'!C178=""),"",IF(ABS(LN('Historique ajusté'!C179/'Historique ajusté'!C178))&gt;Seuil_aberrant,"",'Historique ajusté'!C179/'Historique ajusté'!C178-1))</f>
        <v/>
      </c>
      <c r="D179" s="34">
        <f>IF(OR('Historique ajusté'!D179="",'Historique ajusté'!D178=""),"",IF(ABS(LN('Historique ajusté'!D179/'Historique ajusté'!D178))&gt;Seuil_aberrant,"",'Historique ajusté'!D179/'Historique ajusté'!D178-1))</f>
        <v/>
      </c>
      <c r="E179" s="34">
        <f>IF(OR('Historique ajusté'!E179="",'Historique ajusté'!E178=""),"",IF(ABS(LN('Historique ajusté'!E179/'Historique ajusté'!E178))&gt;Seuil_aberrant,"",'Historique ajusté'!E179/'Historique ajusté'!E178-1))</f>
        <v/>
      </c>
      <c r="F179" s="34">
        <f>IF(OR('Historique ajusté'!F179="",'Historique ajusté'!F178=""),"",IF(ABS(LN('Historique ajusté'!F179/'Historique ajusté'!F178))&gt;Seuil_aberrant,"",'Historique ajusté'!F179/'Historique ajusté'!F178-1))</f>
        <v/>
      </c>
      <c r="G179" s="34">
        <f>IF(OR('Historique ajusté'!G179="",'Historique ajusté'!G178=""),"",IF(ABS(LN('Historique ajusté'!G179/'Historique ajusté'!G178))&gt;Seuil_aberrant,"",'Historique ajusté'!G179/'Historique ajusté'!G178-1))</f>
        <v/>
      </c>
      <c r="H179" s="34">
        <f>IF(OR('Historique ajusté'!H179="",'Historique ajusté'!H178=""),"",IF(ABS(LN('Historique ajusté'!H179/'Historique ajusté'!H178))&gt;Seuil_aberrant,"",'Historique ajusté'!H179/'Historique ajusté'!H178-1))</f>
        <v/>
      </c>
      <c r="I179" s="34">
        <f>IF(OR('Historique ajusté'!I179="",'Historique ajusté'!I178=""),"",IF(ABS(LN('Historique ajusté'!I179/'Historique ajusté'!I178))&gt;Seuil_aberrant,"",'Historique ajusté'!I179/'Historique ajusté'!I178-1))</f>
        <v/>
      </c>
      <c r="J179" s="34">
        <f>IF(OR('Historique ajusté'!J179="",'Historique ajusté'!J178=""),"",IF(ABS(LN('Historique ajusté'!J179/'Historique ajusté'!J178))&gt;Seuil_aberrant,"",'Historique ajusté'!J179/'Historique ajusté'!J178-1))</f>
        <v/>
      </c>
      <c r="K179" s="34">
        <f>IF(OR('Historique ajusté'!K179="",'Historique ajusté'!K178=""),"",IF(ABS(LN('Historique ajusté'!K179/'Historique ajusté'!K178))&gt;Seuil_aberrant,"",'Historique ajusté'!K179/'Historique ajusté'!K178-1))</f>
        <v/>
      </c>
      <c r="L179" s="34">
        <f>IF(OR('Historique ajusté'!L179="",'Historique ajusté'!L178=""),"",IF(ABS(LN('Historique ajusté'!L179/'Historique ajusté'!L178))&gt;Seuil_aberrant,"",'Historique ajusté'!L179/'Historique ajusté'!L178-1))</f>
        <v/>
      </c>
      <c r="M179" s="34">
        <f>IF(OR('Historique ajusté'!M179="",'Historique ajusté'!M178=""),"",IF(ABS(LN('Historique ajusté'!M179/'Historique ajusté'!M178))&gt;Seuil_aberrant,"",'Historique ajusté'!M179/'Historique ajusté'!M178-1))</f>
        <v/>
      </c>
      <c r="N179" s="34">
        <f>IF(OR('Historique ajusté'!N179="",'Historique ajusté'!N178=""),"",IF(ABS(LN('Historique ajusté'!N179/'Historique ajusté'!N178))&gt;Seuil_aberrant,"",'Historique ajusté'!N179/'Historique ajusté'!N178-1))</f>
        <v/>
      </c>
      <c r="O179" s="34">
        <f>IF(OR('Historique ajusté'!O179="",'Historique ajusté'!O178=""),"",IF(ABS(LN('Historique ajusté'!O179/'Historique ajusté'!O178))&gt;Seuil_aberrant,"",'Historique ajusté'!O179/'Historique ajusté'!O178-1))</f>
        <v/>
      </c>
      <c r="P179" s="34">
        <f>IF(OR('Historique ajusté'!P179="",'Historique ajusté'!P178=""),"",IF(ABS(LN('Historique ajusté'!P179/'Historique ajusté'!P178))&gt;Seuil_aberrant,"",'Historique ajusté'!P179/'Historique ajusté'!P178-1))</f>
        <v/>
      </c>
    </row>
    <row r="180">
      <c r="B180" s="32">
        <f>'Historique ajusté'!B180</f>
        <v/>
      </c>
      <c r="C180" s="34">
        <f>IF(OR('Historique ajusté'!C180="",'Historique ajusté'!C179=""),"",IF(ABS(LN('Historique ajusté'!C180/'Historique ajusté'!C179))&gt;Seuil_aberrant,"",'Historique ajusté'!C180/'Historique ajusté'!C179-1))</f>
        <v/>
      </c>
      <c r="D180" s="34">
        <f>IF(OR('Historique ajusté'!D180="",'Historique ajusté'!D179=""),"",IF(ABS(LN('Historique ajusté'!D180/'Historique ajusté'!D179))&gt;Seuil_aberrant,"",'Historique ajusté'!D180/'Historique ajusté'!D179-1))</f>
        <v/>
      </c>
      <c r="E180" s="34">
        <f>IF(OR('Historique ajusté'!E180="",'Historique ajusté'!E179=""),"",IF(ABS(LN('Historique ajusté'!E180/'Historique ajusté'!E179))&gt;Seuil_aberrant,"",'Historique ajusté'!E180/'Historique ajusté'!E179-1))</f>
        <v/>
      </c>
      <c r="F180" s="34">
        <f>IF(OR('Historique ajusté'!F180="",'Historique ajusté'!F179=""),"",IF(ABS(LN('Historique ajusté'!F180/'Historique ajusté'!F179))&gt;Seuil_aberrant,"",'Historique ajusté'!F180/'Historique ajusté'!F179-1))</f>
        <v/>
      </c>
      <c r="G180" s="34">
        <f>IF(OR('Historique ajusté'!G180="",'Historique ajusté'!G179=""),"",IF(ABS(LN('Historique ajusté'!G180/'Historique ajusté'!G179))&gt;Seuil_aberrant,"",'Historique ajusté'!G180/'Historique ajusté'!G179-1))</f>
        <v/>
      </c>
      <c r="H180" s="34">
        <f>IF(OR('Historique ajusté'!H180="",'Historique ajusté'!H179=""),"",IF(ABS(LN('Historique ajusté'!H180/'Historique ajusté'!H179))&gt;Seuil_aberrant,"",'Historique ajusté'!H180/'Historique ajusté'!H179-1))</f>
        <v/>
      </c>
      <c r="I180" s="34">
        <f>IF(OR('Historique ajusté'!I180="",'Historique ajusté'!I179=""),"",IF(ABS(LN('Historique ajusté'!I180/'Historique ajusté'!I179))&gt;Seuil_aberrant,"",'Historique ajusté'!I180/'Historique ajusté'!I179-1))</f>
        <v/>
      </c>
      <c r="J180" s="34">
        <f>IF(OR('Historique ajusté'!J180="",'Historique ajusté'!J179=""),"",IF(ABS(LN('Historique ajusté'!J180/'Historique ajusté'!J179))&gt;Seuil_aberrant,"",'Historique ajusté'!J180/'Historique ajusté'!J179-1))</f>
        <v/>
      </c>
      <c r="K180" s="34">
        <f>IF(OR('Historique ajusté'!K180="",'Historique ajusté'!K179=""),"",IF(ABS(LN('Historique ajusté'!K180/'Historique ajusté'!K179))&gt;Seuil_aberrant,"",'Historique ajusté'!K180/'Historique ajusté'!K179-1))</f>
        <v/>
      </c>
      <c r="L180" s="34">
        <f>IF(OR('Historique ajusté'!L180="",'Historique ajusté'!L179=""),"",IF(ABS(LN('Historique ajusté'!L180/'Historique ajusté'!L179))&gt;Seuil_aberrant,"",'Historique ajusté'!L180/'Historique ajusté'!L179-1))</f>
        <v/>
      </c>
      <c r="M180" s="34">
        <f>IF(OR('Historique ajusté'!M180="",'Historique ajusté'!M179=""),"",IF(ABS(LN('Historique ajusté'!M180/'Historique ajusté'!M179))&gt;Seuil_aberrant,"",'Historique ajusté'!M180/'Historique ajusté'!M179-1))</f>
        <v/>
      </c>
      <c r="N180" s="34">
        <f>IF(OR('Historique ajusté'!N180="",'Historique ajusté'!N179=""),"",IF(ABS(LN('Historique ajusté'!N180/'Historique ajusté'!N179))&gt;Seuil_aberrant,"",'Historique ajusté'!N180/'Historique ajusté'!N179-1))</f>
        <v/>
      </c>
      <c r="O180" s="34">
        <f>IF(OR('Historique ajusté'!O180="",'Historique ajusté'!O179=""),"",IF(ABS(LN('Historique ajusté'!O180/'Historique ajusté'!O179))&gt;Seuil_aberrant,"",'Historique ajusté'!O180/'Historique ajusté'!O179-1))</f>
        <v/>
      </c>
      <c r="P180" s="34">
        <f>IF(OR('Historique ajusté'!P180="",'Historique ajusté'!P179=""),"",IF(ABS(LN('Historique ajusté'!P180/'Historique ajusté'!P179))&gt;Seuil_aberrant,"",'Historique ajusté'!P180/'Historique ajusté'!P179-1))</f>
        <v/>
      </c>
    </row>
    <row r="181">
      <c r="B181" s="32">
        <f>'Historique ajusté'!B181</f>
        <v/>
      </c>
      <c r="C181" s="34">
        <f>IF(OR('Historique ajusté'!C181="",'Historique ajusté'!C180=""),"",IF(ABS(LN('Historique ajusté'!C181/'Historique ajusté'!C180))&gt;Seuil_aberrant,"",'Historique ajusté'!C181/'Historique ajusté'!C180-1))</f>
        <v/>
      </c>
      <c r="D181" s="34">
        <f>IF(OR('Historique ajusté'!D181="",'Historique ajusté'!D180=""),"",IF(ABS(LN('Historique ajusté'!D181/'Historique ajusté'!D180))&gt;Seuil_aberrant,"",'Historique ajusté'!D181/'Historique ajusté'!D180-1))</f>
        <v/>
      </c>
      <c r="E181" s="34">
        <f>IF(OR('Historique ajusté'!E181="",'Historique ajusté'!E180=""),"",IF(ABS(LN('Historique ajusté'!E181/'Historique ajusté'!E180))&gt;Seuil_aberrant,"",'Historique ajusté'!E181/'Historique ajusté'!E180-1))</f>
        <v/>
      </c>
      <c r="F181" s="34">
        <f>IF(OR('Historique ajusté'!F181="",'Historique ajusté'!F180=""),"",IF(ABS(LN('Historique ajusté'!F181/'Historique ajusté'!F180))&gt;Seuil_aberrant,"",'Historique ajusté'!F181/'Historique ajusté'!F180-1))</f>
        <v/>
      </c>
      <c r="G181" s="34">
        <f>IF(OR('Historique ajusté'!G181="",'Historique ajusté'!G180=""),"",IF(ABS(LN('Historique ajusté'!G181/'Historique ajusté'!G180))&gt;Seuil_aberrant,"",'Historique ajusté'!G181/'Historique ajusté'!G180-1))</f>
        <v/>
      </c>
      <c r="H181" s="34">
        <f>IF(OR('Historique ajusté'!H181="",'Historique ajusté'!H180=""),"",IF(ABS(LN('Historique ajusté'!H181/'Historique ajusté'!H180))&gt;Seuil_aberrant,"",'Historique ajusté'!H181/'Historique ajusté'!H180-1))</f>
        <v/>
      </c>
      <c r="I181" s="34">
        <f>IF(OR('Historique ajusté'!I181="",'Historique ajusté'!I180=""),"",IF(ABS(LN('Historique ajusté'!I181/'Historique ajusté'!I180))&gt;Seuil_aberrant,"",'Historique ajusté'!I181/'Historique ajusté'!I180-1))</f>
        <v/>
      </c>
      <c r="J181" s="34">
        <f>IF(OR('Historique ajusté'!J181="",'Historique ajusté'!J180=""),"",IF(ABS(LN('Historique ajusté'!J181/'Historique ajusté'!J180))&gt;Seuil_aberrant,"",'Historique ajusté'!J181/'Historique ajusté'!J180-1))</f>
        <v/>
      </c>
      <c r="K181" s="34">
        <f>IF(OR('Historique ajusté'!K181="",'Historique ajusté'!K180=""),"",IF(ABS(LN('Historique ajusté'!K181/'Historique ajusté'!K180))&gt;Seuil_aberrant,"",'Historique ajusté'!K181/'Historique ajusté'!K180-1))</f>
        <v/>
      </c>
      <c r="L181" s="34">
        <f>IF(OR('Historique ajusté'!L181="",'Historique ajusté'!L180=""),"",IF(ABS(LN('Historique ajusté'!L181/'Historique ajusté'!L180))&gt;Seuil_aberrant,"",'Historique ajusté'!L181/'Historique ajusté'!L180-1))</f>
        <v/>
      </c>
      <c r="M181" s="34">
        <f>IF(OR('Historique ajusté'!M181="",'Historique ajusté'!M180=""),"",IF(ABS(LN('Historique ajusté'!M181/'Historique ajusté'!M180))&gt;Seuil_aberrant,"",'Historique ajusté'!M181/'Historique ajusté'!M180-1))</f>
        <v/>
      </c>
      <c r="N181" s="34">
        <f>IF(OR('Historique ajusté'!N181="",'Historique ajusté'!N180=""),"",IF(ABS(LN('Historique ajusté'!N181/'Historique ajusté'!N180))&gt;Seuil_aberrant,"",'Historique ajusté'!N181/'Historique ajusté'!N180-1))</f>
        <v/>
      </c>
      <c r="O181" s="34">
        <f>IF(OR('Historique ajusté'!O181="",'Historique ajusté'!O180=""),"",IF(ABS(LN('Historique ajusté'!O181/'Historique ajusté'!O180))&gt;Seuil_aberrant,"",'Historique ajusté'!O181/'Historique ajusté'!O180-1))</f>
        <v/>
      </c>
      <c r="P181" s="34">
        <f>IF(OR('Historique ajusté'!P181="",'Historique ajusté'!P180=""),"",IF(ABS(LN('Historique ajusté'!P181/'Historique ajusté'!P180))&gt;Seuil_aberrant,"",'Historique ajusté'!P181/'Historique ajusté'!P180-1))</f>
        <v/>
      </c>
    </row>
    <row r="182">
      <c r="B182" s="32">
        <f>'Historique ajusté'!B182</f>
        <v/>
      </c>
      <c r="C182" s="34">
        <f>IF(OR('Historique ajusté'!C182="",'Historique ajusté'!C181=""),"",IF(ABS(LN('Historique ajusté'!C182/'Historique ajusté'!C181))&gt;Seuil_aberrant,"",'Historique ajusté'!C182/'Historique ajusté'!C181-1))</f>
        <v/>
      </c>
      <c r="D182" s="34">
        <f>IF(OR('Historique ajusté'!D182="",'Historique ajusté'!D181=""),"",IF(ABS(LN('Historique ajusté'!D182/'Historique ajusté'!D181))&gt;Seuil_aberrant,"",'Historique ajusté'!D182/'Historique ajusté'!D181-1))</f>
        <v/>
      </c>
      <c r="E182" s="34">
        <f>IF(OR('Historique ajusté'!E182="",'Historique ajusté'!E181=""),"",IF(ABS(LN('Historique ajusté'!E182/'Historique ajusté'!E181))&gt;Seuil_aberrant,"",'Historique ajusté'!E182/'Historique ajusté'!E181-1))</f>
        <v/>
      </c>
      <c r="F182" s="34">
        <f>IF(OR('Historique ajusté'!F182="",'Historique ajusté'!F181=""),"",IF(ABS(LN('Historique ajusté'!F182/'Historique ajusté'!F181))&gt;Seuil_aberrant,"",'Historique ajusté'!F182/'Historique ajusté'!F181-1))</f>
        <v/>
      </c>
      <c r="G182" s="34">
        <f>IF(OR('Historique ajusté'!G182="",'Historique ajusté'!G181=""),"",IF(ABS(LN('Historique ajusté'!G182/'Historique ajusté'!G181))&gt;Seuil_aberrant,"",'Historique ajusté'!G182/'Historique ajusté'!G181-1))</f>
        <v/>
      </c>
      <c r="H182" s="34">
        <f>IF(OR('Historique ajusté'!H182="",'Historique ajusté'!H181=""),"",IF(ABS(LN('Historique ajusté'!H182/'Historique ajusté'!H181))&gt;Seuil_aberrant,"",'Historique ajusté'!H182/'Historique ajusté'!H181-1))</f>
        <v/>
      </c>
      <c r="I182" s="34">
        <f>IF(OR('Historique ajusté'!I182="",'Historique ajusté'!I181=""),"",IF(ABS(LN('Historique ajusté'!I182/'Historique ajusté'!I181))&gt;Seuil_aberrant,"",'Historique ajusté'!I182/'Historique ajusté'!I181-1))</f>
        <v/>
      </c>
      <c r="J182" s="34">
        <f>IF(OR('Historique ajusté'!J182="",'Historique ajusté'!J181=""),"",IF(ABS(LN('Historique ajusté'!J182/'Historique ajusté'!J181))&gt;Seuil_aberrant,"",'Historique ajusté'!J182/'Historique ajusté'!J181-1))</f>
        <v/>
      </c>
      <c r="K182" s="34">
        <f>IF(OR('Historique ajusté'!K182="",'Historique ajusté'!K181=""),"",IF(ABS(LN('Historique ajusté'!K182/'Historique ajusté'!K181))&gt;Seuil_aberrant,"",'Historique ajusté'!K182/'Historique ajusté'!K181-1))</f>
        <v/>
      </c>
      <c r="L182" s="34">
        <f>IF(OR('Historique ajusté'!L182="",'Historique ajusté'!L181=""),"",IF(ABS(LN('Historique ajusté'!L182/'Historique ajusté'!L181))&gt;Seuil_aberrant,"",'Historique ajusté'!L182/'Historique ajusté'!L181-1))</f>
        <v/>
      </c>
      <c r="M182" s="34">
        <f>IF(OR('Historique ajusté'!M182="",'Historique ajusté'!M181=""),"",IF(ABS(LN('Historique ajusté'!M182/'Historique ajusté'!M181))&gt;Seuil_aberrant,"",'Historique ajusté'!M182/'Historique ajusté'!M181-1))</f>
        <v/>
      </c>
      <c r="N182" s="34">
        <f>IF(OR('Historique ajusté'!N182="",'Historique ajusté'!N181=""),"",IF(ABS(LN('Historique ajusté'!N182/'Historique ajusté'!N181))&gt;Seuil_aberrant,"",'Historique ajusté'!N182/'Historique ajusté'!N181-1))</f>
        <v/>
      </c>
      <c r="O182" s="34">
        <f>IF(OR('Historique ajusté'!O182="",'Historique ajusté'!O181=""),"",IF(ABS(LN('Historique ajusté'!O182/'Historique ajusté'!O181))&gt;Seuil_aberrant,"",'Historique ajusté'!O182/'Historique ajusté'!O181-1))</f>
        <v/>
      </c>
      <c r="P182" s="34">
        <f>IF(OR('Historique ajusté'!P182="",'Historique ajusté'!P181=""),"",IF(ABS(LN('Historique ajusté'!P182/'Historique ajusté'!P181))&gt;Seuil_aberrant,"",'Historique ajusté'!P182/'Historique ajusté'!P181-1))</f>
        <v/>
      </c>
    </row>
    <row r="183">
      <c r="B183" s="32">
        <f>'Historique ajusté'!B183</f>
        <v/>
      </c>
      <c r="C183" s="34">
        <f>IF(OR('Historique ajusté'!C183="",'Historique ajusté'!C182=""),"",IF(ABS(LN('Historique ajusté'!C183/'Historique ajusté'!C182))&gt;Seuil_aberrant,"",'Historique ajusté'!C183/'Historique ajusté'!C182-1))</f>
        <v/>
      </c>
      <c r="D183" s="34">
        <f>IF(OR('Historique ajusté'!D183="",'Historique ajusté'!D182=""),"",IF(ABS(LN('Historique ajusté'!D183/'Historique ajusté'!D182))&gt;Seuil_aberrant,"",'Historique ajusté'!D183/'Historique ajusté'!D182-1))</f>
        <v/>
      </c>
      <c r="E183" s="34">
        <f>IF(OR('Historique ajusté'!E183="",'Historique ajusté'!E182=""),"",IF(ABS(LN('Historique ajusté'!E183/'Historique ajusté'!E182))&gt;Seuil_aberrant,"",'Historique ajusté'!E183/'Historique ajusté'!E182-1))</f>
        <v/>
      </c>
      <c r="F183" s="34">
        <f>IF(OR('Historique ajusté'!F183="",'Historique ajusté'!F182=""),"",IF(ABS(LN('Historique ajusté'!F183/'Historique ajusté'!F182))&gt;Seuil_aberrant,"",'Historique ajusté'!F183/'Historique ajusté'!F182-1))</f>
        <v/>
      </c>
      <c r="G183" s="34">
        <f>IF(OR('Historique ajusté'!G183="",'Historique ajusté'!G182=""),"",IF(ABS(LN('Historique ajusté'!G183/'Historique ajusté'!G182))&gt;Seuil_aberrant,"",'Historique ajusté'!G183/'Historique ajusté'!G182-1))</f>
        <v/>
      </c>
      <c r="H183" s="34">
        <f>IF(OR('Historique ajusté'!H183="",'Historique ajusté'!H182=""),"",IF(ABS(LN('Historique ajusté'!H183/'Historique ajusté'!H182))&gt;Seuil_aberrant,"",'Historique ajusté'!H183/'Historique ajusté'!H182-1))</f>
        <v/>
      </c>
      <c r="I183" s="34">
        <f>IF(OR('Historique ajusté'!I183="",'Historique ajusté'!I182=""),"",IF(ABS(LN('Historique ajusté'!I183/'Historique ajusté'!I182))&gt;Seuil_aberrant,"",'Historique ajusté'!I183/'Historique ajusté'!I182-1))</f>
        <v/>
      </c>
      <c r="J183" s="34">
        <f>IF(OR('Historique ajusté'!J183="",'Historique ajusté'!J182=""),"",IF(ABS(LN('Historique ajusté'!J183/'Historique ajusté'!J182))&gt;Seuil_aberrant,"",'Historique ajusté'!J183/'Historique ajusté'!J182-1))</f>
        <v/>
      </c>
      <c r="K183" s="34">
        <f>IF(OR('Historique ajusté'!K183="",'Historique ajusté'!K182=""),"",IF(ABS(LN('Historique ajusté'!K183/'Historique ajusté'!K182))&gt;Seuil_aberrant,"",'Historique ajusté'!K183/'Historique ajusté'!K182-1))</f>
        <v/>
      </c>
      <c r="L183" s="34">
        <f>IF(OR('Historique ajusté'!L183="",'Historique ajusté'!L182=""),"",IF(ABS(LN('Historique ajusté'!L183/'Historique ajusté'!L182))&gt;Seuil_aberrant,"",'Historique ajusté'!L183/'Historique ajusté'!L182-1))</f>
        <v/>
      </c>
      <c r="M183" s="34">
        <f>IF(OR('Historique ajusté'!M183="",'Historique ajusté'!M182=""),"",IF(ABS(LN('Historique ajusté'!M183/'Historique ajusté'!M182))&gt;Seuil_aberrant,"",'Historique ajusté'!M183/'Historique ajusté'!M182-1))</f>
        <v/>
      </c>
      <c r="N183" s="34">
        <f>IF(OR('Historique ajusté'!N183="",'Historique ajusté'!N182=""),"",IF(ABS(LN('Historique ajusté'!N183/'Historique ajusté'!N182))&gt;Seuil_aberrant,"",'Historique ajusté'!N183/'Historique ajusté'!N182-1))</f>
        <v/>
      </c>
      <c r="O183" s="34">
        <f>IF(OR('Historique ajusté'!O183="",'Historique ajusté'!O182=""),"",IF(ABS(LN('Historique ajusté'!O183/'Historique ajusté'!O182))&gt;Seuil_aberrant,"",'Historique ajusté'!O183/'Historique ajusté'!O182-1))</f>
        <v/>
      </c>
      <c r="P183" s="34">
        <f>IF(OR('Historique ajusté'!P183="",'Historique ajusté'!P182=""),"",IF(ABS(LN('Historique ajusté'!P183/'Historique ajusté'!P182))&gt;Seuil_aberrant,"",'Historique ajusté'!P183/'Historique ajusté'!P182-1))</f>
        <v/>
      </c>
    </row>
    <row r="184">
      <c r="B184" s="32">
        <f>'Historique ajusté'!B184</f>
        <v/>
      </c>
      <c r="C184" s="34">
        <f>IF(OR('Historique ajusté'!C184="",'Historique ajusté'!C183=""),"",IF(ABS(LN('Historique ajusté'!C184/'Historique ajusté'!C183))&gt;Seuil_aberrant,"",'Historique ajusté'!C184/'Historique ajusté'!C183-1))</f>
        <v/>
      </c>
      <c r="D184" s="34">
        <f>IF(OR('Historique ajusté'!D184="",'Historique ajusté'!D183=""),"",IF(ABS(LN('Historique ajusté'!D184/'Historique ajusté'!D183))&gt;Seuil_aberrant,"",'Historique ajusté'!D184/'Historique ajusté'!D183-1))</f>
        <v/>
      </c>
      <c r="E184" s="34">
        <f>IF(OR('Historique ajusté'!E184="",'Historique ajusté'!E183=""),"",IF(ABS(LN('Historique ajusté'!E184/'Historique ajusté'!E183))&gt;Seuil_aberrant,"",'Historique ajusté'!E184/'Historique ajusté'!E183-1))</f>
        <v/>
      </c>
      <c r="F184" s="34">
        <f>IF(OR('Historique ajusté'!F184="",'Historique ajusté'!F183=""),"",IF(ABS(LN('Historique ajusté'!F184/'Historique ajusté'!F183))&gt;Seuil_aberrant,"",'Historique ajusté'!F184/'Historique ajusté'!F183-1))</f>
        <v/>
      </c>
      <c r="G184" s="34">
        <f>IF(OR('Historique ajusté'!G184="",'Historique ajusté'!G183=""),"",IF(ABS(LN('Historique ajusté'!G184/'Historique ajusté'!G183))&gt;Seuil_aberrant,"",'Historique ajusté'!G184/'Historique ajusté'!G183-1))</f>
        <v/>
      </c>
      <c r="H184" s="34">
        <f>IF(OR('Historique ajusté'!H184="",'Historique ajusté'!H183=""),"",IF(ABS(LN('Historique ajusté'!H184/'Historique ajusté'!H183))&gt;Seuil_aberrant,"",'Historique ajusté'!H184/'Historique ajusté'!H183-1))</f>
        <v/>
      </c>
      <c r="I184" s="34">
        <f>IF(OR('Historique ajusté'!I184="",'Historique ajusté'!I183=""),"",IF(ABS(LN('Historique ajusté'!I184/'Historique ajusté'!I183))&gt;Seuil_aberrant,"",'Historique ajusté'!I184/'Historique ajusté'!I183-1))</f>
        <v/>
      </c>
      <c r="J184" s="34">
        <f>IF(OR('Historique ajusté'!J184="",'Historique ajusté'!J183=""),"",IF(ABS(LN('Historique ajusté'!J184/'Historique ajusté'!J183))&gt;Seuil_aberrant,"",'Historique ajusté'!J184/'Historique ajusté'!J183-1))</f>
        <v/>
      </c>
      <c r="K184" s="34">
        <f>IF(OR('Historique ajusté'!K184="",'Historique ajusté'!K183=""),"",IF(ABS(LN('Historique ajusté'!K184/'Historique ajusté'!K183))&gt;Seuil_aberrant,"",'Historique ajusté'!K184/'Historique ajusté'!K183-1))</f>
        <v/>
      </c>
      <c r="L184" s="34">
        <f>IF(OR('Historique ajusté'!L184="",'Historique ajusté'!L183=""),"",IF(ABS(LN('Historique ajusté'!L184/'Historique ajusté'!L183))&gt;Seuil_aberrant,"",'Historique ajusté'!L184/'Historique ajusté'!L183-1))</f>
        <v/>
      </c>
      <c r="M184" s="34">
        <f>IF(OR('Historique ajusté'!M184="",'Historique ajusté'!M183=""),"",IF(ABS(LN('Historique ajusté'!M184/'Historique ajusté'!M183))&gt;Seuil_aberrant,"",'Historique ajusté'!M184/'Historique ajusté'!M183-1))</f>
        <v/>
      </c>
      <c r="N184" s="34">
        <f>IF(OR('Historique ajusté'!N184="",'Historique ajusté'!N183=""),"",IF(ABS(LN('Historique ajusté'!N184/'Historique ajusté'!N183))&gt;Seuil_aberrant,"",'Historique ajusté'!N184/'Historique ajusté'!N183-1))</f>
        <v/>
      </c>
      <c r="O184" s="34">
        <f>IF(OR('Historique ajusté'!O184="",'Historique ajusté'!O183=""),"",IF(ABS(LN('Historique ajusté'!O184/'Historique ajusté'!O183))&gt;Seuil_aberrant,"",'Historique ajusté'!O184/'Historique ajusté'!O183-1))</f>
        <v/>
      </c>
      <c r="P184" s="34">
        <f>IF(OR('Historique ajusté'!P184="",'Historique ajusté'!P183=""),"",IF(ABS(LN('Historique ajusté'!P184/'Historique ajusté'!P183))&gt;Seuil_aberrant,"",'Historique ajusté'!P184/'Historique ajusté'!P183-1))</f>
        <v/>
      </c>
    </row>
  </sheetData>
  <mergeCells count="1">
    <mergeCell ref="B3:P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P184"/>
  <sheetViews>
    <sheetView showGridLines="0" workbookViewId="0">
      <selection activeCell="A1" sqref="A1"/>
    </sheetView>
  </sheetViews>
  <sheetFormatPr baseColWidth="8" defaultRowHeight="15"/>
  <cols>
    <col width="2" customWidth="1" min="1" max="1"/>
    <col width="1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2">
      <c r="B2" s="1" t="inlineStr">
        <is>
          <t>COMPOSITES COTÉS - rendements mensuels équipondérés et indices base 100</t>
        </is>
      </c>
    </row>
    <row r="3" ht="42" customHeight="1">
      <c r="B3" s="2" t="inlineStr">
        <is>
          <t>Formules : moyenne simple des rendements disponibles des titres inclus (onglet Paramètres), puis contrôle coté du portefeuille pondéré par l'allocation cible. Rendements en devise locale : l'effet de change n'est pas inclus.</t>
        </is>
      </c>
    </row>
    <row r="5" ht="30" customHeight="1">
      <c r="B5" s="3" t="inlineStr">
        <is>
          <t>Mois</t>
        </is>
      </c>
      <c r="C5" s="4" t="inlineStr">
        <is>
          <t>C1 Infrastructure capital</t>
        </is>
      </c>
      <c r="D5" s="4" t="inlineStr">
        <is>
          <t>C2 Dette d'infra</t>
        </is>
      </c>
      <c r="E5" s="4" t="inlineStr">
        <is>
          <t>C3 Direct lending</t>
        </is>
      </c>
      <c r="F5" s="4" t="inlineStr">
        <is>
          <t>C4 Poche liquide</t>
        </is>
      </c>
      <c r="G5" s="4" t="inlineStr">
        <is>
          <t>Portefeuille (contrôle coté)</t>
        </is>
      </c>
      <c r="H5" s="4" t="inlineStr">
        <is>
          <t>Titres C1</t>
        </is>
      </c>
      <c r="I5" s="4" t="inlineStr">
        <is>
          <t>Titres C2</t>
        </is>
      </c>
      <c r="J5" s="4" t="inlineStr">
        <is>
          <t>Titres C3</t>
        </is>
      </c>
      <c r="K5" s="4" t="inlineStr">
        <is>
          <t>Titres C4</t>
        </is>
      </c>
      <c r="L5" s="4" t="inlineStr">
        <is>
          <t>Indice C1</t>
        </is>
      </c>
      <c r="M5" s="4" t="inlineStr">
        <is>
          <t>Indice C2</t>
        </is>
      </c>
      <c r="N5" s="4" t="inlineStr">
        <is>
          <t>Indice C3</t>
        </is>
      </c>
      <c r="O5" s="4" t="inlineStr">
        <is>
          <t>Indice C4</t>
        </is>
      </c>
      <c r="P5" s="4" t="inlineStr">
        <is>
          <t>Indice portefeuille</t>
        </is>
      </c>
    </row>
    <row r="7">
      <c r="B7" s="32">
        <f>Rendements!B7</f>
        <v/>
      </c>
      <c r="C7" s="34">
        <f>IF(SUMPRODUCT(Paramètres!$D$15:$D$28*ISNUMBER(TRANSPOSE(Rendements!$C7:$P7)))=0,"",SUMPRODUCT(Paramètres!$D$15:$D$28*ISNUMBER(TRANSPOSE(Rendements!$C7:$P7))*N(+TRANSPOSE(Rendements!$C7:$P7)))/SUMPRODUCT(Paramètres!$D$15:$D$28*ISNUMBER(TRANSPOSE(Rendements!$C7:$P7))))</f>
        <v/>
      </c>
      <c r="D7" s="34">
        <f>IF(SUMPRODUCT(Paramètres!$E$15:$E$28*ISNUMBER(TRANSPOSE(Rendements!$C7:$P7)))=0,"",SUMPRODUCT(Paramètres!$E$15:$E$28*ISNUMBER(TRANSPOSE(Rendements!$C7:$P7))*N(+TRANSPOSE(Rendements!$C7:$P7)))/SUMPRODUCT(Paramètres!$E$15:$E$28*ISNUMBER(TRANSPOSE(Rendements!$C7:$P7))))</f>
        <v/>
      </c>
      <c r="E7" s="34">
        <f>IF(SUMPRODUCT(Paramètres!$F$15:$F$28*ISNUMBER(TRANSPOSE(Rendements!$C7:$P7)))=0,"",SUMPRODUCT(Paramètres!$F$15:$F$28*ISNUMBER(TRANSPOSE(Rendements!$C7:$P7))*N(+TRANSPOSE(Rendements!$C7:$P7)))/SUMPRODUCT(Paramètres!$F$15:$F$28*ISNUMBER(TRANSPOSE(Rendements!$C7:$P7))))</f>
        <v/>
      </c>
      <c r="F7" s="34">
        <f>IF(SUMPRODUCT(Paramètres!$G$15:$G$28*ISNUMBER(TRANSPOSE(Rendements!$C7:$P7)))=0,"",SUMPRODUCT(Paramètres!$G$15:$G$28*ISNUMBER(TRANSPOSE(Rendements!$C7:$P7))*N(+TRANSPOSE(Rendements!$C7:$P7)))/SUMPRODUCT(Paramètres!$G$15:$G$28*ISNUMBER(TRANSPOSE(Rendements!$C7:$P7))))</f>
        <v/>
      </c>
      <c r="G7" s="35">
        <f>IF(OR(C7="",D7="",E7="",F7=""),"",Wc_C1*C7+Wc_C2*D7+Wc_C3*E7+Wc_C4*F7)</f>
        <v/>
      </c>
      <c r="H7" s="36">
        <f>SUMPRODUCT(Paramètres!$D$15:$D$28*ISNUMBER(TRANSPOSE(Rendements!$C7:$P7)))</f>
        <v/>
      </c>
      <c r="I7" s="36">
        <f>SUMPRODUCT(Paramètres!$E$15:$E$28*ISNUMBER(TRANSPOSE(Rendements!$C7:$P7)))</f>
        <v/>
      </c>
      <c r="J7" s="36">
        <f>SUMPRODUCT(Paramètres!$F$15:$F$28*ISNUMBER(TRANSPOSE(Rendements!$C7:$P7)))</f>
        <v/>
      </c>
      <c r="K7" s="36">
        <f>SUMPRODUCT(Paramètres!$G$15:$G$28*ISNUMBER(TRANSPOSE(Rendements!$C7:$P7)))</f>
        <v/>
      </c>
      <c r="L7" s="37">
        <f>IF(C7="","",100)</f>
        <v/>
      </c>
      <c r="M7" s="37">
        <f>IF(D7="","",100)</f>
        <v/>
      </c>
      <c r="N7" s="37">
        <f>IF(E7="","",100)</f>
        <v/>
      </c>
      <c r="O7" s="37">
        <f>IF(F7="","",100)</f>
        <v/>
      </c>
      <c r="P7" s="37">
        <f>IF(G7="","",100)</f>
        <v/>
      </c>
    </row>
    <row r="8">
      <c r="B8" s="32">
        <f>Rendements!B8</f>
        <v/>
      </c>
      <c r="C8" s="34">
        <f>IF(SUMPRODUCT(Paramètres!$D$15:$D$28*ISNUMBER(TRANSPOSE(Rendements!$C8:$P8)))=0,"",SUMPRODUCT(Paramètres!$D$15:$D$28*ISNUMBER(TRANSPOSE(Rendements!$C8:$P8))*N(+TRANSPOSE(Rendements!$C8:$P8)))/SUMPRODUCT(Paramètres!$D$15:$D$28*ISNUMBER(TRANSPOSE(Rendements!$C8:$P8))))</f>
        <v/>
      </c>
      <c r="D8" s="34">
        <f>IF(SUMPRODUCT(Paramètres!$E$15:$E$28*ISNUMBER(TRANSPOSE(Rendements!$C8:$P8)))=0,"",SUMPRODUCT(Paramètres!$E$15:$E$28*ISNUMBER(TRANSPOSE(Rendements!$C8:$P8))*N(+TRANSPOSE(Rendements!$C8:$P8)))/SUMPRODUCT(Paramètres!$E$15:$E$28*ISNUMBER(TRANSPOSE(Rendements!$C8:$P8))))</f>
        <v/>
      </c>
      <c r="E8" s="34">
        <f>IF(SUMPRODUCT(Paramètres!$F$15:$F$28*ISNUMBER(TRANSPOSE(Rendements!$C8:$P8)))=0,"",SUMPRODUCT(Paramètres!$F$15:$F$28*ISNUMBER(TRANSPOSE(Rendements!$C8:$P8))*N(+TRANSPOSE(Rendements!$C8:$P8)))/SUMPRODUCT(Paramètres!$F$15:$F$28*ISNUMBER(TRANSPOSE(Rendements!$C8:$P8))))</f>
        <v/>
      </c>
      <c r="F8" s="34">
        <f>IF(SUMPRODUCT(Paramètres!$G$15:$G$28*ISNUMBER(TRANSPOSE(Rendements!$C8:$P8)))=0,"",SUMPRODUCT(Paramètres!$G$15:$G$28*ISNUMBER(TRANSPOSE(Rendements!$C8:$P8))*N(+TRANSPOSE(Rendements!$C8:$P8)))/SUMPRODUCT(Paramètres!$G$15:$G$28*ISNUMBER(TRANSPOSE(Rendements!$C8:$P8))))</f>
        <v/>
      </c>
      <c r="G8" s="35">
        <f>IF(OR(C8="",D8="",E8="",F8=""),"",Wc_C1*C8+Wc_C2*D8+Wc_C3*E8+Wc_C4*F8)</f>
        <v/>
      </c>
      <c r="H8" s="36">
        <f>SUMPRODUCT(Paramètres!$D$15:$D$28*ISNUMBER(TRANSPOSE(Rendements!$C8:$P8)))</f>
        <v/>
      </c>
      <c r="I8" s="36">
        <f>SUMPRODUCT(Paramètres!$E$15:$E$28*ISNUMBER(TRANSPOSE(Rendements!$C8:$P8)))</f>
        <v/>
      </c>
      <c r="J8" s="36">
        <f>SUMPRODUCT(Paramètres!$F$15:$F$28*ISNUMBER(TRANSPOSE(Rendements!$C8:$P8)))</f>
        <v/>
      </c>
      <c r="K8" s="36">
        <f>SUMPRODUCT(Paramètres!$G$15:$G$28*ISNUMBER(TRANSPOSE(Rendements!$C8:$P8)))</f>
        <v/>
      </c>
      <c r="L8" s="37">
        <f>IF(C8="","",IF(L7="",100,L7*(1+C8)))</f>
        <v/>
      </c>
      <c r="M8" s="37">
        <f>IF(D8="","",IF(M7="",100,M7*(1+D8)))</f>
        <v/>
      </c>
      <c r="N8" s="37">
        <f>IF(E8="","",IF(N7="",100,N7*(1+E8)))</f>
        <v/>
      </c>
      <c r="O8" s="37">
        <f>IF(F8="","",IF(O7="",100,O7*(1+F8)))</f>
        <v/>
      </c>
      <c r="P8" s="37">
        <f>IF(G8="","",IF(P7="",100,P7*(1+G8)))</f>
        <v/>
      </c>
    </row>
    <row r="9">
      <c r="B9" s="32">
        <f>Rendements!B9</f>
        <v/>
      </c>
      <c r="C9" s="34">
        <f>IF(SUMPRODUCT(Paramètres!$D$15:$D$28*ISNUMBER(TRANSPOSE(Rendements!$C9:$P9)))=0,"",SUMPRODUCT(Paramètres!$D$15:$D$28*ISNUMBER(TRANSPOSE(Rendements!$C9:$P9))*N(+TRANSPOSE(Rendements!$C9:$P9)))/SUMPRODUCT(Paramètres!$D$15:$D$28*ISNUMBER(TRANSPOSE(Rendements!$C9:$P9))))</f>
        <v/>
      </c>
      <c r="D9" s="34">
        <f>IF(SUMPRODUCT(Paramètres!$E$15:$E$28*ISNUMBER(TRANSPOSE(Rendements!$C9:$P9)))=0,"",SUMPRODUCT(Paramètres!$E$15:$E$28*ISNUMBER(TRANSPOSE(Rendements!$C9:$P9))*N(+TRANSPOSE(Rendements!$C9:$P9)))/SUMPRODUCT(Paramètres!$E$15:$E$28*ISNUMBER(TRANSPOSE(Rendements!$C9:$P9))))</f>
        <v/>
      </c>
      <c r="E9" s="34">
        <f>IF(SUMPRODUCT(Paramètres!$F$15:$F$28*ISNUMBER(TRANSPOSE(Rendements!$C9:$P9)))=0,"",SUMPRODUCT(Paramètres!$F$15:$F$28*ISNUMBER(TRANSPOSE(Rendements!$C9:$P9))*N(+TRANSPOSE(Rendements!$C9:$P9)))/SUMPRODUCT(Paramètres!$F$15:$F$28*ISNUMBER(TRANSPOSE(Rendements!$C9:$P9))))</f>
        <v/>
      </c>
      <c r="F9" s="34">
        <f>IF(SUMPRODUCT(Paramètres!$G$15:$G$28*ISNUMBER(TRANSPOSE(Rendements!$C9:$P9)))=0,"",SUMPRODUCT(Paramètres!$G$15:$G$28*ISNUMBER(TRANSPOSE(Rendements!$C9:$P9))*N(+TRANSPOSE(Rendements!$C9:$P9)))/SUMPRODUCT(Paramètres!$G$15:$G$28*ISNUMBER(TRANSPOSE(Rendements!$C9:$P9))))</f>
        <v/>
      </c>
      <c r="G9" s="35">
        <f>IF(OR(C9="",D9="",E9="",F9=""),"",Wc_C1*C9+Wc_C2*D9+Wc_C3*E9+Wc_C4*F9)</f>
        <v/>
      </c>
      <c r="H9" s="36">
        <f>SUMPRODUCT(Paramètres!$D$15:$D$28*ISNUMBER(TRANSPOSE(Rendements!$C9:$P9)))</f>
        <v/>
      </c>
      <c r="I9" s="36">
        <f>SUMPRODUCT(Paramètres!$E$15:$E$28*ISNUMBER(TRANSPOSE(Rendements!$C9:$P9)))</f>
        <v/>
      </c>
      <c r="J9" s="36">
        <f>SUMPRODUCT(Paramètres!$F$15:$F$28*ISNUMBER(TRANSPOSE(Rendements!$C9:$P9)))</f>
        <v/>
      </c>
      <c r="K9" s="36">
        <f>SUMPRODUCT(Paramètres!$G$15:$G$28*ISNUMBER(TRANSPOSE(Rendements!$C9:$P9)))</f>
        <v/>
      </c>
      <c r="L9" s="37">
        <f>IF(C9="","",IF(L8="",100,L8*(1+C9)))</f>
        <v/>
      </c>
      <c r="M9" s="37">
        <f>IF(D9="","",IF(M8="",100,M8*(1+D9)))</f>
        <v/>
      </c>
      <c r="N9" s="37">
        <f>IF(E9="","",IF(N8="",100,N8*(1+E9)))</f>
        <v/>
      </c>
      <c r="O9" s="37">
        <f>IF(F9="","",IF(O8="",100,O8*(1+F9)))</f>
        <v/>
      </c>
      <c r="P9" s="37">
        <f>IF(G9="","",IF(P8="",100,P8*(1+G9)))</f>
        <v/>
      </c>
    </row>
    <row r="10">
      <c r="B10" s="32">
        <f>Rendements!B10</f>
        <v/>
      </c>
      <c r="C10" s="34">
        <f>IF(SUMPRODUCT(Paramètres!$D$15:$D$28*ISNUMBER(TRANSPOSE(Rendements!$C10:$P10)))=0,"",SUMPRODUCT(Paramètres!$D$15:$D$28*ISNUMBER(TRANSPOSE(Rendements!$C10:$P10))*N(+TRANSPOSE(Rendements!$C10:$P10)))/SUMPRODUCT(Paramètres!$D$15:$D$28*ISNUMBER(TRANSPOSE(Rendements!$C10:$P10))))</f>
        <v/>
      </c>
      <c r="D10" s="34">
        <f>IF(SUMPRODUCT(Paramètres!$E$15:$E$28*ISNUMBER(TRANSPOSE(Rendements!$C10:$P10)))=0,"",SUMPRODUCT(Paramètres!$E$15:$E$28*ISNUMBER(TRANSPOSE(Rendements!$C10:$P10))*N(+TRANSPOSE(Rendements!$C10:$P10)))/SUMPRODUCT(Paramètres!$E$15:$E$28*ISNUMBER(TRANSPOSE(Rendements!$C10:$P10))))</f>
        <v/>
      </c>
      <c r="E10" s="34">
        <f>IF(SUMPRODUCT(Paramètres!$F$15:$F$28*ISNUMBER(TRANSPOSE(Rendements!$C10:$P10)))=0,"",SUMPRODUCT(Paramètres!$F$15:$F$28*ISNUMBER(TRANSPOSE(Rendements!$C10:$P10))*N(+TRANSPOSE(Rendements!$C10:$P10)))/SUMPRODUCT(Paramètres!$F$15:$F$28*ISNUMBER(TRANSPOSE(Rendements!$C10:$P10))))</f>
        <v/>
      </c>
      <c r="F10" s="34">
        <f>IF(SUMPRODUCT(Paramètres!$G$15:$G$28*ISNUMBER(TRANSPOSE(Rendements!$C10:$P10)))=0,"",SUMPRODUCT(Paramètres!$G$15:$G$28*ISNUMBER(TRANSPOSE(Rendements!$C10:$P10))*N(+TRANSPOSE(Rendements!$C10:$P10)))/SUMPRODUCT(Paramètres!$G$15:$G$28*ISNUMBER(TRANSPOSE(Rendements!$C10:$P10))))</f>
        <v/>
      </c>
      <c r="G10" s="35">
        <f>IF(OR(C10="",D10="",E10="",F10=""),"",Wc_C1*C10+Wc_C2*D10+Wc_C3*E10+Wc_C4*F10)</f>
        <v/>
      </c>
      <c r="H10" s="36">
        <f>SUMPRODUCT(Paramètres!$D$15:$D$28*ISNUMBER(TRANSPOSE(Rendements!$C10:$P10)))</f>
        <v/>
      </c>
      <c r="I10" s="36">
        <f>SUMPRODUCT(Paramètres!$E$15:$E$28*ISNUMBER(TRANSPOSE(Rendements!$C10:$P10)))</f>
        <v/>
      </c>
      <c r="J10" s="36">
        <f>SUMPRODUCT(Paramètres!$F$15:$F$28*ISNUMBER(TRANSPOSE(Rendements!$C10:$P10)))</f>
        <v/>
      </c>
      <c r="K10" s="36">
        <f>SUMPRODUCT(Paramètres!$G$15:$G$28*ISNUMBER(TRANSPOSE(Rendements!$C10:$P10)))</f>
        <v/>
      </c>
      <c r="L10" s="37">
        <f>IF(C10="","",IF(L9="",100,L9*(1+C10)))</f>
        <v/>
      </c>
      <c r="M10" s="37">
        <f>IF(D10="","",IF(M9="",100,M9*(1+D10)))</f>
        <v/>
      </c>
      <c r="N10" s="37">
        <f>IF(E10="","",IF(N9="",100,N9*(1+E10)))</f>
        <v/>
      </c>
      <c r="O10" s="37">
        <f>IF(F10="","",IF(O9="",100,O9*(1+F10)))</f>
        <v/>
      </c>
      <c r="P10" s="37">
        <f>IF(G10="","",IF(P9="",100,P9*(1+G10)))</f>
        <v/>
      </c>
    </row>
    <row r="11">
      <c r="B11" s="32">
        <f>Rendements!B11</f>
        <v/>
      </c>
      <c r="C11" s="34">
        <f>IF(SUMPRODUCT(Paramètres!$D$15:$D$28*ISNUMBER(TRANSPOSE(Rendements!$C11:$P11)))=0,"",SUMPRODUCT(Paramètres!$D$15:$D$28*ISNUMBER(TRANSPOSE(Rendements!$C11:$P11))*N(+TRANSPOSE(Rendements!$C11:$P11)))/SUMPRODUCT(Paramètres!$D$15:$D$28*ISNUMBER(TRANSPOSE(Rendements!$C11:$P11))))</f>
        <v/>
      </c>
      <c r="D11" s="34">
        <f>IF(SUMPRODUCT(Paramètres!$E$15:$E$28*ISNUMBER(TRANSPOSE(Rendements!$C11:$P11)))=0,"",SUMPRODUCT(Paramètres!$E$15:$E$28*ISNUMBER(TRANSPOSE(Rendements!$C11:$P11))*N(+TRANSPOSE(Rendements!$C11:$P11)))/SUMPRODUCT(Paramètres!$E$15:$E$28*ISNUMBER(TRANSPOSE(Rendements!$C11:$P11))))</f>
        <v/>
      </c>
      <c r="E11" s="34">
        <f>IF(SUMPRODUCT(Paramètres!$F$15:$F$28*ISNUMBER(TRANSPOSE(Rendements!$C11:$P11)))=0,"",SUMPRODUCT(Paramètres!$F$15:$F$28*ISNUMBER(TRANSPOSE(Rendements!$C11:$P11))*N(+TRANSPOSE(Rendements!$C11:$P11)))/SUMPRODUCT(Paramètres!$F$15:$F$28*ISNUMBER(TRANSPOSE(Rendements!$C11:$P11))))</f>
        <v/>
      </c>
      <c r="F11" s="34">
        <f>IF(SUMPRODUCT(Paramètres!$G$15:$G$28*ISNUMBER(TRANSPOSE(Rendements!$C11:$P11)))=0,"",SUMPRODUCT(Paramètres!$G$15:$G$28*ISNUMBER(TRANSPOSE(Rendements!$C11:$P11))*N(+TRANSPOSE(Rendements!$C11:$P11)))/SUMPRODUCT(Paramètres!$G$15:$G$28*ISNUMBER(TRANSPOSE(Rendements!$C11:$P11))))</f>
        <v/>
      </c>
      <c r="G11" s="35">
        <f>IF(OR(C11="",D11="",E11="",F11=""),"",Wc_C1*C11+Wc_C2*D11+Wc_C3*E11+Wc_C4*F11)</f>
        <v/>
      </c>
      <c r="H11" s="36">
        <f>SUMPRODUCT(Paramètres!$D$15:$D$28*ISNUMBER(TRANSPOSE(Rendements!$C11:$P11)))</f>
        <v/>
      </c>
      <c r="I11" s="36">
        <f>SUMPRODUCT(Paramètres!$E$15:$E$28*ISNUMBER(TRANSPOSE(Rendements!$C11:$P11)))</f>
        <v/>
      </c>
      <c r="J11" s="36">
        <f>SUMPRODUCT(Paramètres!$F$15:$F$28*ISNUMBER(TRANSPOSE(Rendements!$C11:$P11)))</f>
        <v/>
      </c>
      <c r="K11" s="36">
        <f>SUMPRODUCT(Paramètres!$G$15:$G$28*ISNUMBER(TRANSPOSE(Rendements!$C11:$P11)))</f>
        <v/>
      </c>
      <c r="L11" s="37">
        <f>IF(C11="","",IF(L10="",100,L10*(1+C11)))</f>
        <v/>
      </c>
      <c r="M11" s="37">
        <f>IF(D11="","",IF(M10="",100,M10*(1+D11)))</f>
        <v/>
      </c>
      <c r="N11" s="37">
        <f>IF(E11="","",IF(N10="",100,N10*(1+E11)))</f>
        <v/>
      </c>
      <c r="O11" s="37">
        <f>IF(F11="","",IF(O10="",100,O10*(1+F11)))</f>
        <v/>
      </c>
      <c r="P11" s="37">
        <f>IF(G11="","",IF(P10="",100,P10*(1+G11)))</f>
        <v/>
      </c>
    </row>
    <row r="12">
      <c r="B12" s="32">
        <f>Rendements!B12</f>
        <v/>
      </c>
      <c r="C12" s="34">
        <f>IF(SUMPRODUCT(Paramètres!$D$15:$D$28*ISNUMBER(TRANSPOSE(Rendements!$C12:$P12)))=0,"",SUMPRODUCT(Paramètres!$D$15:$D$28*ISNUMBER(TRANSPOSE(Rendements!$C12:$P12))*N(+TRANSPOSE(Rendements!$C12:$P12)))/SUMPRODUCT(Paramètres!$D$15:$D$28*ISNUMBER(TRANSPOSE(Rendements!$C12:$P12))))</f>
        <v/>
      </c>
      <c r="D12" s="34">
        <f>IF(SUMPRODUCT(Paramètres!$E$15:$E$28*ISNUMBER(TRANSPOSE(Rendements!$C12:$P12)))=0,"",SUMPRODUCT(Paramètres!$E$15:$E$28*ISNUMBER(TRANSPOSE(Rendements!$C12:$P12))*N(+TRANSPOSE(Rendements!$C12:$P12)))/SUMPRODUCT(Paramètres!$E$15:$E$28*ISNUMBER(TRANSPOSE(Rendements!$C12:$P12))))</f>
        <v/>
      </c>
      <c r="E12" s="34">
        <f>IF(SUMPRODUCT(Paramètres!$F$15:$F$28*ISNUMBER(TRANSPOSE(Rendements!$C12:$P12)))=0,"",SUMPRODUCT(Paramètres!$F$15:$F$28*ISNUMBER(TRANSPOSE(Rendements!$C12:$P12))*N(+TRANSPOSE(Rendements!$C12:$P12)))/SUMPRODUCT(Paramètres!$F$15:$F$28*ISNUMBER(TRANSPOSE(Rendements!$C12:$P12))))</f>
        <v/>
      </c>
      <c r="F12" s="34">
        <f>IF(SUMPRODUCT(Paramètres!$G$15:$G$28*ISNUMBER(TRANSPOSE(Rendements!$C12:$P12)))=0,"",SUMPRODUCT(Paramètres!$G$15:$G$28*ISNUMBER(TRANSPOSE(Rendements!$C12:$P12))*N(+TRANSPOSE(Rendements!$C12:$P12)))/SUMPRODUCT(Paramètres!$G$15:$G$28*ISNUMBER(TRANSPOSE(Rendements!$C12:$P12))))</f>
        <v/>
      </c>
      <c r="G12" s="35">
        <f>IF(OR(C12="",D12="",E12="",F12=""),"",Wc_C1*C12+Wc_C2*D12+Wc_C3*E12+Wc_C4*F12)</f>
        <v/>
      </c>
      <c r="H12" s="36">
        <f>SUMPRODUCT(Paramètres!$D$15:$D$28*ISNUMBER(TRANSPOSE(Rendements!$C12:$P12)))</f>
        <v/>
      </c>
      <c r="I12" s="36">
        <f>SUMPRODUCT(Paramètres!$E$15:$E$28*ISNUMBER(TRANSPOSE(Rendements!$C12:$P12)))</f>
        <v/>
      </c>
      <c r="J12" s="36">
        <f>SUMPRODUCT(Paramètres!$F$15:$F$28*ISNUMBER(TRANSPOSE(Rendements!$C12:$P12)))</f>
        <v/>
      </c>
      <c r="K12" s="36">
        <f>SUMPRODUCT(Paramètres!$G$15:$G$28*ISNUMBER(TRANSPOSE(Rendements!$C12:$P12)))</f>
        <v/>
      </c>
      <c r="L12" s="37">
        <f>IF(C12="","",IF(L11="",100,L11*(1+C12)))</f>
        <v/>
      </c>
      <c r="M12" s="37">
        <f>IF(D12="","",IF(M11="",100,M11*(1+D12)))</f>
        <v/>
      </c>
      <c r="N12" s="37">
        <f>IF(E12="","",IF(N11="",100,N11*(1+E12)))</f>
        <v/>
      </c>
      <c r="O12" s="37">
        <f>IF(F12="","",IF(O11="",100,O11*(1+F12)))</f>
        <v/>
      </c>
      <c r="P12" s="37">
        <f>IF(G12="","",IF(P11="",100,P11*(1+G12)))</f>
        <v/>
      </c>
    </row>
    <row r="13">
      <c r="B13" s="32">
        <f>Rendements!B13</f>
        <v/>
      </c>
      <c r="C13" s="34">
        <f>IF(SUMPRODUCT(Paramètres!$D$15:$D$28*ISNUMBER(TRANSPOSE(Rendements!$C13:$P13)))=0,"",SUMPRODUCT(Paramètres!$D$15:$D$28*ISNUMBER(TRANSPOSE(Rendements!$C13:$P13))*N(+TRANSPOSE(Rendements!$C13:$P13)))/SUMPRODUCT(Paramètres!$D$15:$D$28*ISNUMBER(TRANSPOSE(Rendements!$C13:$P13))))</f>
        <v/>
      </c>
      <c r="D13" s="34">
        <f>IF(SUMPRODUCT(Paramètres!$E$15:$E$28*ISNUMBER(TRANSPOSE(Rendements!$C13:$P13)))=0,"",SUMPRODUCT(Paramètres!$E$15:$E$28*ISNUMBER(TRANSPOSE(Rendements!$C13:$P13))*N(+TRANSPOSE(Rendements!$C13:$P13)))/SUMPRODUCT(Paramètres!$E$15:$E$28*ISNUMBER(TRANSPOSE(Rendements!$C13:$P13))))</f>
        <v/>
      </c>
      <c r="E13" s="34">
        <f>IF(SUMPRODUCT(Paramètres!$F$15:$F$28*ISNUMBER(TRANSPOSE(Rendements!$C13:$P13)))=0,"",SUMPRODUCT(Paramètres!$F$15:$F$28*ISNUMBER(TRANSPOSE(Rendements!$C13:$P13))*N(+TRANSPOSE(Rendements!$C13:$P13)))/SUMPRODUCT(Paramètres!$F$15:$F$28*ISNUMBER(TRANSPOSE(Rendements!$C13:$P13))))</f>
        <v/>
      </c>
      <c r="F13" s="34">
        <f>IF(SUMPRODUCT(Paramètres!$G$15:$G$28*ISNUMBER(TRANSPOSE(Rendements!$C13:$P13)))=0,"",SUMPRODUCT(Paramètres!$G$15:$G$28*ISNUMBER(TRANSPOSE(Rendements!$C13:$P13))*N(+TRANSPOSE(Rendements!$C13:$P13)))/SUMPRODUCT(Paramètres!$G$15:$G$28*ISNUMBER(TRANSPOSE(Rendements!$C13:$P13))))</f>
        <v/>
      </c>
      <c r="G13" s="35">
        <f>IF(OR(C13="",D13="",E13="",F13=""),"",Wc_C1*C13+Wc_C2*D13+Wc_C3*E13+Wc_C4*F13)</f>
        <v/>
      </c>
      <c r="H13" s="36">
        <f>SUMPRODUCT(Paramètres!$D$15:$D$28*ISNUMBER(TRANSPOSE(Rendements!$C13:$P13)))</f>
        <v/>
      </c>
      <c r="I13" s="36">
        <f>SUMPRODUCT(Paramètres!$E$15:$E$28*ISNUMBER(TRANSPOSE(Rendements!$C13:$P13)))</f>
        <v/>
      </c>
      <c r="J13" s="36">
        <f>SUMPRODUCT(Paramètres!$F$15:$F$28*ISNUMBER(TRANSPOSE(Rendements!$C13:$P13)))</f>
        <v/>
      </c>
      <c r="K13" s="36">
        <f>SUMPRODUCT(Paramètres!$G$15:$G$28*ISNUMBER(TRANSPOSE(Rendements!$C13:$P13)))</f>
        <v/>
      </c>
      <c r="L13" s="37">
        <f>IF(C13="","",IF(L12="",100,L12*(1+C13)))</f>
        <v/>
      </c>
      <c r="M13" s="37">
        <f>IF(D13="","",IF(M12="",100,M12*(1+D13)))</f>
        <v/>
      </c>
      <c r="N13" s="37">
        <f>IF(E13="","",IF(N12="",100,N12*(1+E13)))</f>
        <v/>
      </c>
      <c r="O13" s="37">
        <f>IF(F13="","",IF(O12="",100,O12*(1+F13)))</f>
        <v/>
      </c>
      <c r="P13" s="37">
        <f>IF(G13="","",IF(P12="",100,P12*(1+G13)))</f>
        <v/>
      </c>
    </row>
    <row r="14">
      <c r="B14" s="32">
        <f>Rendements!B14</f>
        <v/>
      </c>
      <c r="C14" s="34">
        <f>IF(SUMPRODUCT(Paramètres!$D$15:$D$28*ISNUMBER(TRANSPOSE(Rendements!$C14:$P14)))=0,"",SUMPRODUCT(Paramètres!$D$15:$D$28*ISNUMBER(TRANSPOSE(Rendements!$C14:$P14))*N(+TRANSPOSE(Rendements!$C14:$P14)))/SUMPRODUCT(Paramètres!$D$15:$D$28*ISNUMBER(TRANSPOSE(Rendements!$C14:$P14))))</f>
        <v/>
      </c>
      <c r="D14" s="34">
        <f>IF(SUMPRODUCT(Paramètres!$E$15:$E$28*ISNUMBER(TRANSPOSE(Rendements!$C14:$P14)))=0,"",SUMPRODUCT(Paramètres!$E$15:$E$28*ISNUMBER(TRANSPOSE(Rendements!$C14:$P14))*N(+TRANSPOSE(Rendements!$C14:$P14)))/SUMPRODUCT(Paramètres!$E$15:$E$28*ISNUMBER(TRANSPOSE(Rendements!$C14:$P14))))</f>
        <v/>
      </c>
      <c r="E14" s="34">
        <f>IF(SUMPRODUCT(Paramètres!$F$15:$F$28*ISNUMBER(TRANSPOSE(Rendements!$C14:$P14)))=0,"",SUMPRODUCT(Paramètres!$F$15:$F$28*ISNUMBER(TRANSPOSE(Rendements!$C14:$P14))*N(+TRANSPOSE(Rendements!$C14:$P14)))/SUMPRODUCT(Paramètres!$F$15:$F$28*ISNUMBER(TRANSPOSE(Rendements!$C14:$P14))))</f>
        <v/>
      </c>
      <c r="F14" s="34">
        <f>IF(SUMPRODUCT(Paramètres!$G$15:$G$28*ISNUMBER(TRANSPOSE(Rendements!$C14:$P14)))=0,"",SUMPRODUCT(Paramètres!$G$15:$G$28*ISNUMBER(TRANSPOSE(Rendements!$C14:$P14))*N(+TRANSPOSE(Rendements!$C14:$P14)))/SUMPRODUCT(Paramètres!$G$15:$G$28*ISNUMBER(TRANSPOSE(Rendements!$C14:$P14))))</f>
        <v/>
      </c>
      <c r="G14" s="35">
        <f>IF(OR(C14="",D14="",E14="",F14=""),"",Wc_C1*C14+Wc_C2*D14+Wc_C3*E14+Wc_C4*F14)</f>
        <v/>
      </c>
      <c r="H14" s="36">
        <f>SUMPRODUCT(Paramètres!$D$15:$D$28*ISNUMBER(TRANSPOSE(Rendements!$C14:$P14)))</f>
        <v/>
      </c>
      <c r="I14" s="36">
        <f>SUMPRODUCT(Paramètres!$E$15:$E$28*ISNUMBER(TRANSPOSE(Rendements!$C14:$P14)))</f>
        <v/>
      </c>
      <c r="J14" s="36">
        <f>SUMPRODUCT(Paramètres!$F$15:$F$28*ISNUMBER(TRANSPOSE(Rendements!$C14:$P14)))</f>
        <v/>
      </c>
      <c r="K14" s="36">
        <f>SUMPRODUCT(Paramètres!$G$15:$G$28*ISNUMBER(TRANSPOSE(Rendements!$C14:$P14)))</f>
        <v/>
      </c>
      <c r="L14" s="37">
        <f>IF(C14="","",IF(L13="",100,L13*(1+C14)))</f>
        <v/>
      </c>
      <c r="M14" s="37">
        <f>IF(D14="","",IF(M13="",100,M13*(1+D14)))</f>
        <v/>
      </c>
      <c r="N14" s="37">
        <f>IF(E14="","",IF(N13="",100,N13*(1+E14)))</f>
        <v/>
      </c>
      <c r="O14" s="37">
        <f>IF(F14="","",IF(O13="",100,O13*(1+F14)))</f>
        <v/>
      </c>
      <c r="P14" s="37">
        <f>IF(G14="","",IF(P13="",100,P13*(1+G14)))</f>
        <v/>
      </c>
    </row>
    <row r="15">
      <c r="B15" s="32">
        <f>Rendements!B15</f>
        <v/>
      </c>
      <c r="C15" s="34">
        <f>IF(SUMPRODUCT(Paramètres!$D$15:$D$28*ISNUMBER(TRANSPOSE(Rendements!$C15:$P15)))=0,"",SUMPRODUCT(Paramètres!$D$15:$D$28*ISNUMBER(TRANSPOSE(Rendements!$C15:$P15))*N(+TRANSPOSE(Rendements!$C15:$P15)))/SUMPRODUCT(Paramètres!$D$15:$D$28*ISNUMBER(TRANSPOSE(Rendements!$C15:$P15))))</f>
        <v/>
      </c>
      <c r="D15" s="34">
        <f>IF(SUMPRODUCT(Paramètres!$E$15:$E$28*ISNUMBER(TRANSPOSE(Rendements!$C15:$P15)))=0,"",SUMPRODUCT(Paramètres!$E$15:$E$28*ISNUMBER(TRANSPOSE(Rendements!$C15:$P15))*N(+TRANSPOSE(Rendements!$C15:$P15)))/SUMPRODUCT(Paramètres!$E$15:$E$28*ISNUMBER(TRANSPOSE(Rendements!$C15:$P15))))</f>
        <v/>
      </c>
      <c r="E15" s="34">
        <f>IF(SUMPRODUCT(Paramètres!$F$15:$F$28*ISNUMBER(TRANSPOSE(Rendements!$C15:$P15)))=0,"",SUMPRODUCT(Paramètres!$F$15:$F$28*ISNUMBER(TRANSPOSE(Rendements!$C15:$P15))*N(+TRANSPOSE(Rendements!$C15:$P15)))/SUMPRODUCT(Paramètres!$F$15:$F$28*ISNUMBER(TRANSPOSE(Rendements!$C15:$P15))))</f>
        <v/>
      </c>
      <c r="F15" s="34">
        <f>IF(SUMPRODUCT(Paramètres!$G$15:$G$28*ISNUMBER(TRANSPOSE(Rendements!$C15:$P15)))=0,"",SUMPRODUCT(Paramètres!$G$15:$G$28*ISNUMBER(TRANSPOSE(Rendements!$C15:$P15))*N(+TRANSPOSE(Rendements!$C15:$P15)))/SUMPRODUCT(Paramètres!$G$15:$G$28*ISNUMBER(TRANSPOSE(Rendements!$C15:$P15))))</f>
        <v/>
      </c>
      <c r="G15" s="35">
        <f>IF(OR(C15="",D15="",E15="",F15=""),"",Wc_C1*C15+Wc_C2*D15+Wc_C3*E15+Wc_C4*F15)</f>
        <v/>
      </c>
      <c r="H15" s="36">
        <f>SUMPRODUCT(Paramètres!$D$15:$D$28*ISNUMBER(TRANSPOSE(Rendements!$C15:$P15)))</f>
        <v/>
      </c>
      <c r="I15" s="36">
        <f>SUMPRODUCT(Paramètres!$E$15:$E$28*ISNUMBER(TRANSPOSE(Rendements!$C15:$P15)))</f>
        <v/>
      </c>
      <c r="J15" s="36">
        <f>SUMPRODUCT(Paramètres!$F$15:$F$28*ISNUMBER(TRANSPOSE(Rendements!$C15:$P15)))</f>
        <v/>
      </c>
      <c r="K15" s="36">
        <f>SUMPRODUCT(Paramètres!$G$15:$G$28*ISNUMBER(TRANSPOSE(Rendements!$C15:$P15)))</f>
        <v/>
      </c>
      <c r="L15" s="37">
        <f>IF(C15="","",IF(L14="",100,L14*(1+C15)))</f>
        <v/>
      </c>
      <c r="M15" s="37">
        <f>IF(D15="","",IF(M14="",100,M14*(1+D15)))</f>
        <v/>
      </c>
      <c r="N15" s="37">
        <f>IF(E15="","",IF(N14="",100,N14*(1+E15)))</f>
        <v/>
      </c>
      <c r="O15" s="37">
        <f>IF(F15="","",IF(O14="",100,O14*(1+F15)))</f>
        <v/>
      </c>
      <c r="P15" s="37">
        <f>IF(G15="","",IF(P14="",100,P14*(1+G15)))</f>
        <v/>
      </c>
    </row>
    <row r="16">
      <c r="B16" s="32">
        <f>Rendements!B16</f>
        <v/>
      </c>
      <c r="C16" s="34">
        <f>IF(SUMPRODUCT(Paramètres!$D$15:$D$28*ISNUMBER(TRANSPOSE(Rendements!$C16:$P16)))=0,"",SUMPRODUCT(Paramètres!$D$15:$D$28*ISNUMBER(TRANSPOSE(Rendements!$C16:$P16))*N(+TRANSPOSE(Rendements!$C16:$P16)))/SUMPRODUCT(Paramètres!$D$15:$D$28*ISNUMBER(TRANSPOSE(Rendements!$C16:$P16))))</f>
        <v/>
      </c>
      <c r="D16" s="34">
        <f>IF(SUMPRODUCT(Paramètres!$E$15:$E$28*ISNUMBER(TRANSPOSE(Rendements!$C16:$P16)))=0,"",SUMPRODUCT(Paramètres!$E$15:$E$28*ISNUMBER(TRANSPOSE(Rendements!$C16:$P16))*N(+TRANSPOSE(Rendements!$C16:$P16)))/SUMPRODUCT(Paramètres!$E$15:$E$28*ISNUMBER(TRANSPOSE(Rendements!$C16:$P16))))</f>
        <v/>
      </c>
      <c r="E16" s="34">
        <f>IF(SUMPRODUCT(Paramètres!$F$15:$F$28*ISNUMBER(TRANSPOSE(Rendements!$C16:$P16)))=0,"",SUMPRODUCT(Paramètres!$F$15:$F$28*ISNUMBER(TRANSPOSE(Rendements!$C16:$P16))*N(+TRANSPOSE(Rendements!$C16:$P16)))/SUMPRODUCT(Paramètres!$F$15:$F$28*ISNUMBER(TRANSPOSE(Rendements!$C16:$P16))))</f>
        <v/>
      </c>
      <c r="F16" s="34">
        <f>IF(SUMPRODUCT(Paramètres!$G$15:$G$28*ISNUMBER(TRANSPOSE(Rendements!$C16:$P16)))=0,"",SUMPRODUCT(Paramètres!$G$15:$G$28*ISNUMBER(TRANSPOSE(Rendements!$C16:$P16))*N(+TRANSPOSE(Rendements!$C16:$P16)))/SUMPRODUCT(Paramètres!$G$15:$G$28*ISNUMBER(TRANSPOSE(Rendements!$C16:$P16))))</f>
        <v/>
      </c>
      <c r="G16" s="35">
        <f>IF(OR(C16="",D16="",E16="",F16=""),"",Wc_C1*C16+Wc_C2*D16+Wc_C3*E16+Wc_C4*F16)</f>
        <v/>
      </c>
      <c r="H16" s="36">
        <f>SUMPRODUCT(Paramètres!$D$15:$D$28*ISNUMBER(TRANSPOSE(Rendements!$C16:$P16)))</f>
        <v/>
      </c>
      <c r="I16" s="36">
        <f>SUMPRODUCT(Paramètres!$E$15:$E$28*ISNUMBER(TRANSPOSE(Rendements!$C16:$P16)))</f>
        <v/>
      </c>
      <c r="J16" s="36">
        <f>SUMPRODUCT(Paramètres!$F$15:$F$28*ISNUMBER(TRANSPOSE(Rendements!$C16:$P16)))</f>
        <v/>
      </c>
      <c r="K16" s="36">
        <f>SUMPRODUCT(Paramètres!$G$15:$G$28*ISNUMBER(TRANSPOSE(Rendements!$C16:$P16)))</f>
        <v/>
      </c>
      <c r="L16" s="37">
        <f>IF(C16="","",IF(L15="",100,L15*(1+C16)))</f>
        <v/>
      </c>
      <c r="M16" s="37">
        <f>IF(D16="","",IF(M15="",100,M15*(1+D16)))</f>
        <v/>
      </c>
      <c r="N16" s="37">
        <f>IF(E16="","",IF(N15="",100,N15*(1+E16)))</f>
        <v/>
      </c>
      <c r="O16" s="37">
        <f>IF(F16="","",IF(O15="",100,O15*(1+F16)))</f>
        <v/>
      </c>
      <c r="P16" s="37">
        <f>IF(G16="","",IF(P15="",100,P15*(1+G16)))</f>
        <v/>
      </c>
    </row>
    <row r="17">
      <c r="B17" s="32">
        <f>Rendements!B17</f>
        <v/>
      </c>
      <c r="C17" s="34">
        <f>IF(SUMPRODUCT(Paramètres!$D$15:$D$28*ISNUMBER(TRANSPOSE(Rendements!$C17:$P17)))=0,"",SUMPRODUCT(Paramètres!$D$15:$D$28*ISNUMBER(TRANSPOSE(Rendements!$C17:$P17))*N(+TRANSPOSE(Rendements!$C17:$P17)))/SUMPRODUCT(Paramètres!$D$15:$D$28*ISNUMBER(TRANSPOSE(Rendements!$C17:$P17))))</f>
        <v/>
      </c>
      <c r="D17" s="34">
        <f>IF(SUMPRODUCT(Paramètres!$E$15:$E$28*ISNUMBER(TRANSPOSE(Rendements!$C17:$P17)))=0,"",SUMPRODUCT(Paramètres!$E$15:$E$28*ISNUMBER(TRANSPOSE(Rendements!$C17:$P17))*N(+TRANSPOSE(Rendements!$C17:$P17)))/SUMPRODUCT(Paramètres!$E$15:$E$28*ISNUMBER(TRANSPOSE(Rendements!$C17:$P17))))</f>
        <v/>
      </c>
      <c r="E17" s="34">
        <f>IF(SUMPRODUCT(Paramètres!$F$15:$F$28*ISNUMBER(TRANSPOSE(Rendements!$C17:$P17)))=0,"",SUMPRODUCT(Paramètres!$F$15:$F$28*ISNUMBER(TRANSPOSE(Rendements!$C17:$P17))*N(+TRANSPOSE(Rendements!$C17:$P17)))/SUMPRODUCT(Paramètres!$F$15:$F$28*ISNUMBER(TRANSPOSE(Rendements!$C17:$P17))))</f>
        <v/>
      </c>
      <c r="F17" s="34">
        <f>IF(SUMPRODUCT(Paramètres!$G$15:$G$28*ISNUMBER(TRANSPOSE(Rendements!$C17:$P17)))=0,"",SUMPRODUCT(Paramètres!$G$15:$G$28*ISNUMBER(TRANSPOSE(Rendements!$C17:$P17))*N(+TRANSPOSE(Rendements!$C17:$P17)))/SUMPRODUCT(Paramètres!$G$15:$G$28*ISNUMBER(TRANSPOSE(Rendements!$C17:$P17))))</f>
        <v/>
      </c>
      <c r="G17" s="35">
        <f>IF(OR(C17="",D17="",E17="",F17=""),"",Wc_C1*C17+Wc_C2*D17+Wc_C3*E17+Wc_C4*F17)</f>
        <v/>
      </c>
      <c r="H17" s="36">
        <f>SUMPRODUCT(Paramètres!$D$15:$D$28*ISNUMBER(TRANSPOSE(Rendements!$C17:$P17)))</f>
        <v/>
      </c>
      <c r="I17" s="36">
        <f>SUMPRODUCT(Paramètres!$E$15:$E$28*ISNUMBER(TRANSPOSE(Rendements!$C17:$P17)))</f>
        <v/>
      </c>
      <c r="J17" s="36">
        <f>SUMPRODUCT(Paramètres!$F$15:$F$28*ISNUMBER(TRANSPOSE(Rendements!$C17:$P17)))</f>
        <v/>
      </c>
      <c r="K17" s="36">
        <f>SUMPRODUCT(Paramètres!$G$15:$G$28*ISNUMBER(TRANSPOSE(Rendements!$C17:$P17)))</f>
        <v/>
      </c>
      <c r="L17" s="37">
        <f>IF(C17="","",IF(L16="",100,L16*(1+C17)))</f>
        <v/>
      </c>
      <c r="M17" s="37">
        <f>IF(D17="","",IF(M16="",100,M16*(1+D17)))</f>
        <v/>
      </c>
      <c r="N17" s="37">
        <f>IF(E17="","",IF(N16="",100,N16*(1+E17)))</f>
        <v/>
      </c>
      <c r="O17" s="37">
        <f>IF(F17="","",IF(O16="",100,O16*(1+F17)))</f>
        <v/>
      </c>
      <c r="P17" s="37">
        <f>IF(G17="","",IF(P16="",100,P16*(1+G17)))</f>
        <v/>
      </c>
    </row>
    <row r="18">
      <c r="B18" s="32">
        <f>Rendements!B18</f>
        <v/>
      </c>
      <c r="C18" s="34">
        <f>IF(SUMPRODUCT(Paramètres!$D$15:$D$28*ISNUMBER(TRANSPOSE(Rendements!$C18:$P18)))=0,"",SUMPRODUCT(Paramètres!$D$15:$D$28*ISNUMBER(TRANSPOSE(Rendements!$C18:$P18))*N(+TRANSPOSE(Rendements!$C18:$P18)))/SUMPRODUCT(Paramètres!$D$15:$D$28*ISNUMBER(TRANSPOSE(Rendements!$C18:$P18))))</f>
        <v/>
      </c>
      <c r="D18" s="34">
        <f>IF(SUMPRODUCT(Paramètres!$E$15:$E$28*ISNUMBER(TRANSPOSE(Rendements!$C18:$P18)))=0,"",SUMPRODUCT(Paramètres!$E$15:$E$28*ISNUMBER(TRANSPOSE(Rendements!$C18:$P18))*N(+TRANSPOSE(Rendements!$C18:$P18)))/SUMPRODUCT(Paramètres!$E$15:$E$28*ISNUMBER(TRANSPOSE(Rendements!$C18:$P18))))</f>
        <v/>
      </c>
      <c r="E18" s="34">
        <f>IF(SUMPRODUCT(Paramètres!$F$15:$F$28*ISNUMBER(TRANSPOSE(Rendements!$C18:$P18)))=0,"",SUMPRODUCT(Paramètres!$F$15:$F$28*ISNUMBER(TRANSPOSE(Rendements!$C18:$P18))*N(+TRANSPOSE(Rendements!$C18:$P18)))/SUMPRODUCT(Paramètres!$F$15:$F$28*ISNUMBER(TRANSPOSE(Rendements!$C18:$P18))))</f>
        <v/>
      </c>
      <c r="F18" s="34">
        <f>IF(SUMPRODUCT(Paramètres!$G$15:$G$28*ISNUMBER(TRANSPOSE(Rendements!$C18:$P18)))=0,"",SUMPRODUCT(Paramètres!$G$15:$G$28*ISNUMBER(TRANSPOSE(Rendements!$C18:$P18))*N(+TRANSPOSE(Rendements!$C18:$P18)))/SUMPRODUCT(Paramètres!$G$15:$G$28*ISNUMBER(TRANSPOSE(Rendements!$C18:$P18))))</f>
        <v/>
      </c>
      <c r="G18" s="35">
        <f>IF(OR(C18="",D18="",E18="",F18=""),"",Wc_C1*C18+Wc_C2*D18+Wc_C3*E18+Wc_C4*F18)</f>
        <v/>
      </c>
      <c r="H18" s="36">
        <f>SUMPRODUCT(Paramètres!$D$15:$D$28*ISNUMBER(TRANSPOSE(Rendements!$C18:$P18)))</f>
        <v/>
      </c>
      <c r="I18" s="36">
        <f>SUMPRODUCT(Paramètres!$E$15:$E$28*ISNUMBER(TRANSPOSE(Rendements!$C18:$P18)))</f>
        <v/>
      </c>
      <c r="J18" s="36">
        <f>SUMPRODUCT(Paramètres!$F$15:$F$28*ISNUMBER(TRANSPOSE(Rendements!$C18:$P18)))</f>
        <v/>
      </c>
      <c r="K18" s="36">
        <f>SUMPRODUCT(Paramètres!$G$15:$G$28*ISNUMBER(TRANSPOSE(Rendements!$C18:$P18)))</f>
        <v/>
      </c>
      <c r="L18" s="37">
        <f>IF(C18="","",IF(L17="",100,L17*(1+C18)))</f>
        <v/>
      </c>
      <c r="M18" s="37">
        <f>IF(D18="","",IF(M17="",100,M17*(1+D18)))</f>
        <v/>
      </c>
      <c r="N18" s="37">
        <f>IF(E18="","",IF(N17="",100,N17*(1+E18)))</f>
        <v/>
      </c>
      <c r="O18" s="37">
        <f>IF(F18="","",IF(O17="",100,O17*(1+F18)))</f>
        <v/>
      </c>
      <c r="P18" s="37">
        <f>IF(G18="","",IF(P17="",100,P17*(1+G18)))</f>
        <v/>
      </c>
    </row>
    <row r="19">
      <c r="B19" s="32">
        <f>Rendements!B19</f>
        <v/>
      </c>
      <c r="C19" s="34">
        <f>IF(SUMPRODUCT(Paramètres!$D$15:$D$28*ISNUMBER(TRANSPOSE(Rendements!$C19:$P19)))=0,"",SUMPRODUCT(Paramètres!$D$15:$D$28*ISNUMBER(TRANSPOSE(Rendements!$C19:$P19))*N(+TRANSPOSE(Rendements!$C19:$P19)))/SUMPRODUCT(Paramètres!$D$15:$D$28*ISNUMBER(TRANSPOSE(Rendements!$C19:$P19))))</f>
        <v/>
      </c>
      <c r="D19" s="34">
        <f>IF(SUMPRODUCT(Paramètres!$E$15:$E$28*ISNUMBER(TRANSPOSE(Rendements!$C19:$P19)))=0,"",SUMPRODUCT(Paramètres!$E$15:$E$28*ISNUMBER(TRANSPOSE(Rendements!$C19:$P19))*N(+TRANSPOSE(Rendements!$C19:$P19)))/SUMPRODUCT(Paramètres!$E$15:$E$28*ISNUMBER(TRANSPOSE(Rendements!$C19:$P19))))</f>
        <v/>
      </c>
      <c r="E19" s="34">
        <f>IF(SUMPRODUCT(Paramètres!$F$15:$F$28*ISNUMBER(TRANSPOSE(Rendements!$C19:$P19)))=0,"",SUMPRODUCT(Paramètres!$F$15:$F$28*ISNUMBER(TRANSPOSE(Rendements!$C19:$P19))*N(+TRANSPOSE(Rendements!$C19:$P19)))/SUMPRODUCT(Paramètres!$F$15:$F$28*ISNUMBER(TRANSPOSE(Rendements!$C19:$P19))))</f>
        <v/>
      </c>
      <c r="F19" s="34">
        <f>IF(SUMPRODUCT(Paramètres!$G$15:$G$28*ISNUMBER(TRANSPOSE(Rendements!$C19:$P19)))=0,"",SUMPRODUCT(Paramètres!$G$15:$G$28*ISNUMBER(TRANSPOSE(Rendements!$C19:$P19))*N(+TRANSPOSE(Rendements!$C19:$P19)))/SUMPRODUCT(Paramètres!$G$15:$G$28*ISNUMBER(TRANSPOSE(Rendements!$C19:$P19))))</f>
        <v/>
      </c>
      <c r="G19" s="35">
        <f>IF(OR(C19="",D19="",E19="",F19=""),"",Wc_C1*C19+Wc_C2*D19+Wc_C3*E19+Wc_C4*F19)</f>
        <v/>
      </c>
      <c r="H19" s="36">
        <f>SUMPRODUCT(Paramètres!$D$15:$D$28*ISNUMBER(TRANSPOSE(Rendements!$C19:$P19)))</f>
        <v/>
      </c>
      <c r="I19" s="36">
        <f>SUMPRODUCT(Paramètres!$E$15:$E$28*ISNUMBER(TRANSPOSE(Rendements!$C19:$P19)))</f>
        <v/>
      </c>
      <c r="J19" s="36">
        <f>SUMPRODUCT(Paramètres!$F$15:$F$28*ISNUMBER(TRANSPOSE(Rendements!$C19:$P19)))</f>
        <v/>
      </c>
      <c r="K19" s="36">
        <f>SUMPRODUCT(Paramètres!$G$15:$G$28*ISNUMBER(TRANSPOSE(Rendements!$C19:$P19)))</f>
        <v/>
      </c>
      <c r="L19" s="37">
        <f>IF(C19="","",IF(L18="",100,L18*(1+C19)))</f>
        <v/>
      </c>
      <c r="M19" s="37">
        <f>IF(D19="","",IF(M18="",100,M18*(1+D19)))</f>
        <v/>
      </c>
      <c r="N19" s="37">
        <f>IF(E19="","",IF(N18="",100,N18*(1+E19)))</f>
        <v/>
      </c>
      <c r="O19" s="37">
        <f>IF(F19="","",IF(O18="",100,O18*(1+F19)))</f>
        <v/>
      </c>
      <c r="P19" s="37">
        <f>IF(G19="","",IF(P18="",100,P18*(1+G19)))</f>
        <v/>
      </c>
    </row>
    <row r="20">
      <c r="B20" s="32">
        <f>Rendements!B20</f>
        <v/>
      </c>
      <c r="C20" s="34">
        <f>IF(SUMPRODUCT(Paramètres!$D$15:$D$28*ISNUMBER(TRANSPOSE(Rendements!$C20:$P20)))=0,"",SUMPRODUCT(Paramètres!$D$15:$D$28*ISNUMBER(TRANSPOSE(Rendements!$C20:$P20))*N(+TRANSPOSE(Rendements!$C20:$P20)))/SUMPRODUCT(Paramètres!$D$15:$D$28*ISNUMBER(TRANSPOSE(Rendements!$C20:$P20))))</f>
        <v/>
      </c>
      <c r="D20" s="34">
        <f>IF(SUMPRODUCT(Paramètres!$E$15:$E$28*ISNUMBER(TRANSPOSE(Rendements!$C20:$P20)))=0,"",SUMPRODUCT(Paramètres!$E$15:$E$28*ISNUMBER(TRANSPOSE(Rendements!$C20:$P20))*N(+TRANSPOSE(Rendements!$C20:$P20)))/SUMPRODUCT(Paramètres!$E$15:$E$28*ISNUMBER(TRANSPOSE(Rendements!$C20:$P20))))</f>
        <v/>
      </c>
      <c r="E20" s="34">
        <f>IF(SUMPRODUCT(Paramètres!$F$15:$F$28*ISNUMBER(TRANSPOSE(Rendements!$C20:$P20)))=0,"",SUMPRODUCT(Paramètres!$F$15:$F$28*ISNUMBER(TRANSPOSE(Rendements!$C20:$P20))*N(+TRANSPOSE(Rendements!$C20:$P20)))/SUMPRODUCT(Paramètres!$F$15:$F$28*ISNUMBER(TRANSPOSE(Rendements!$C20:$P20))))</f>
        <v/>
      </c>
      <c r="F20" s="34">
        <f>IF(SUMPRODUCT(Paramètres!$G$15:$G$28*ISNUMBER(TRANSPOSE(Rendements!$C20:$P20)))=0,"",SUMPRODUCT(Paramètres!$G$15:$G$28*ISNUMBER(TRANSPOSE(Rendements!$C20:$P20))*N(+TRANSPOSE(Rendements!$C20:$P20)))/SUMPRODUCT(Paramètres!$G$15:$G$28*ISNUMBER(TRANSPOSE(Rendements!$C20:$P20))))</f>
        <v/>
      </c>
      <c r="G20" s="35">
        <f>IF(OR(C20="",D20="",E20="",F20=""),"",Wc_C1*C20+Wc_C2*D20+Wc_C3*E20+Wc_C4*F20)</f>
        <v/>
      </c>
      <c r="H20" s="36">
        <f>SUMPRODUCT(Paramètres!$D$15:$D$28*ISNUMBER(TRANSPOSE(Rendements!$C20:$P20)))</f>
        <v/>
      </c>
      <c r="I20" s="36">
        <f>SUMPRODUCT(Paramètres!$E$15:$E$28*ISNUMBER(TRANSPOSE(Rendements!$C20:$P20)))</f>
        <v/>
      </c>
      <c r="J20" s="36">
        <f>SUMPRODUCT(Paramètres!$F$15:$F$28*ISNUMBER(TRANSPOSE(Rendements!$C20:$P20)))</f>
        <v/>
      </c>
      <c r="K20" s="36">
        <f>SUMPRODUCT(Paramètres!$G$15:$G$28*ISNUMBER(TRANSPOSE(Rendements!$C20:$P20)))</f>
        <v/>
      </c>
      <c r="L20" s="37">
        <f>IF(C20="","",IF(L19="",100,L19*(1+C20)))</f>
        <v/>
      </c>
      <c r="M20" s="37">
        <f>IF(D20="","",IF(M19="",100,M19*(1+D20)))</f>
        <v/>
      </c>
      <c r="N20" s="37">
        <f>IF(E20="","",IF(N19="",100,N19*(1+E20)))</f>
        <v/>
      </c>
      <c r="O20" s="37">
        <f>IF(F20="","",IF(O19="",100,O19*(1+F20)))</f>
        <v/>
      </c>
      <c r="P20" s="37">
        <f>IF(G20="","",IF(P19="",100,P19*(1+G20)))</f>
        <v/>
      </c>
    </row>
    <row r="21">
      <c r="B21" s="32">
        <f>Rendements!B21</f>
        <v/>
      </c>
      <c r="C21" s="34">
        <f>IF(SUMPRODUCT(Paramètres!$D$15:$D$28*ISNUMBER(TRANSPOSE(Rendements!$C21:$P21)))=0,"",SUMPRODUCT(Paramètres!$D$15:$D$28*ISNUMBER(TRANSPOSE(Rendements!$C21:$P21))*N(+TRANSPOSE(Rendements!$C21:$P21)))/SUMPRODUCT(Paramètres!$D$15:$D$28*ISNUMBER(TRANSPOSE(Rendements!$C21:$P21))))</f>
        <v/>
      </c>
      <c r="D21" s="34">
        <f>IF(SUMPRODUCT(Paramètres!$E$15:$E$28*ISNUMBER(TRANSPOSE(Rendements!$C21:$P21)))=0,"",SUMPRODUCT(Paramètres!$E$15:$E$28*ISNUMBER(TRANSPOSE(Rendements!$C21:$P21))*N(+TRANSPOSE(Rendements!$C21:$P21)))/SUMPRODUCT(Paramètres!$E$15:$E$28*ISNUMBER(TRANSPOSE(Rendements!$C21:$P21))))</f>
        <v/>
      </c>
      <c r="E21" s="34">
        <f>IF(SUMPRODUCT(Paramètres!$F$15:$F$28*ISNUMBER(TRANSPOSE(Rendements!$C21:$P21)))=0,"",SUMPRODUCT(Paramètres!$F$15:$F$28*ISNUMBER(TRANSPOSE(Rendements!$C21:$P21))*N(+TRANSPOSE(Rendements!$C21:$P21)))/SUMPRODUCT(Paramètres!$F$15:$F$28*ISNUMBER(TRANSPOSE(Rendements!$C21:$P21))))</f>
        <v/>
      </c>
      <c r="F21" s="34">
        <f>IF(SUMPRODUCT(Paramètres!$G$15:$G$28*ISNUMBER(TRANSPOSE(Rendements!$C21:$P21)))=0,"",SUMPRODUCT(Paramètres!$G$15:$G$28*ISNUMBER(TRANSPOSE(Rendements!$C21:$P21))*N(+TRANSPOSE(Rendements!$C21:$P21)))/SUMPRODUCT(Paramètres!$G$15:$G$28*ISNUMBER(TRANSPOSE(Rendements!$C21:$P21))))</f>
        <v/>
      </c>
      <c r="G21" s="35">
        <f>IF(OR(C21="",D21="",E21="",F21=""),"",Wc_C1*C21+Wc_C2*D21+Wc_C3*E21+Wc_C4*F21)</f>
        <v/>
      </c>
      <c r="H21" s="36">
        <f>SUMPRODUCT(Paramètres!$D$15:$D$28*ISNUMBER(TRANSPOSE(Rendements!$C21:$P21)))</f>
        <v/>
      </c>
      <c r="I21" s="36">
        <f>SUMPRODUCT(Paramètres!$E$15:$E$28*ISNUMBER(TRANSPOSE(Rendements!$C21:$P21)))</f>
        <v/>
      </c>
      <c r="J21" s="36">
        <f>SUMPRODUCT(Paramètres!$F$15:$F$28*ISNUMBER(TRANSPOSE(Rendements!$C21:$P21)))</f>
        <v/>
      </c>
      <c r="K21" s="36">
        <f>SUMPRODUCT(Paramètres!$G$15:$G$28*ISNUMBER(TRANSPOSE(Rendements!$C21:$P21)))</f>
        <v/>
      </c>
      <c r="L21" s="37">
        <f>IF(C21="","",IF(L20="",100,L20*(1+C21)))</f>
        <v/>
      </c>
      <c r="M21" s="37">
        <f>IF(D21="","",IF(M20="",100,M20*(1+D21)))</f>
        <v/>
      </c>
      <c r="N21" s="37">
        <f>IF(E21="","",IF(N20="",100,N20*(1+E21)))</f>
        <v/>
      </c>
      <c r="O21" s="37">
        <f>IF(F21="","",IF(O20="",100,O20*(1+F21)))</f>
        <v/>
      </c>
      <c r="P21" s="37">
        <f>IF(G21="","",IF(P20="",100,P20*(1+G21)))</f>
        <v/>
      </c>
    </row>
    <row r="22">
      <c r="B22" s="32">
        <f>Rendements!B22</f>
        <v/>
      </c>
      <c r="C22" s="34">
        <f>IF(SUMPRODUCT(Paramètres!$D$15:$D$28*ISNUMBER(TRANSPOSE(Rendements!$C22:$P22)))=0,"",SUMPRODUCT(Paramètres!$D$15:$D$28*ISNUMBER(TRANSPOSE(Rendements!$C22:$P22))*N(+TRANSPOSE(Rendements!$C22:$P22)))/SUMPRODUCT(Paramètres!$D$15:$D$28*ISNUMBER(TRANSPOSE(Rendements!$C22:$P22))))</f>
        <v/>
      </c>
      <c r="D22" s="34">
        <f>IF(SUMPRODUCT(Paramètres!$E$15:$E$28*ISNUMBER(TRANSPOSE(Rendements!$C22:$P22)))=0,"",SUMPRODUCT(Paramètres!$E$15:$E$28*ISNUMBER(TRANSPOSE(Rendements!$C22:$P22))*N(+TRANSPOSE(Rendements!$C22:$P22)))/SUMPRODUCT(Paramètres!$E$15:$E$28*ISNUMBER(TRANSPOSE(Rendements!$C22:$P22))))</f>
        <v/>
      </c>
      <c r="E22" s="34">
        <f>IF(SUMPRODUCT(Paramètres!$F$15:$F$28*ISNUMBER(TRANSPOSE(Rendements!$C22:$P22)))=0,"",SUMPRODUCT(Paramètres!$F$15:$F$28*ISNUMBER(TRANSPOSE(Rendements!$C22:$P22))*N(+TRANSPOSE(Rendements!$C22:$P22)))/SUMPRODUCT(Paramètres!$F$15:$F$28*ISNUMBER(TRANSPOSE(Rendements!$C22:$P22))))</f>
        <v/>
      </c>
      <c r="F22" s="34">
        <f>IF(SUMPRODUCT(Paramètres!$G$15:$G$28*ISNUMBER(TRANSPOSE(Rendements!$C22:$P22)))=0,"",SUMPRODUCT(Paramètres!$G$15:$G$28*ISNUMBER(TRANSPOSE(Rendements!$C22:$P22))*N(+TRANSPOSE(Rendements!$C22:$P22)))/SUMPRODUCT(Paramètres!$G$15:$G$28*ISNUMBER(TRANSPOSE(Rendements!$C22:$P22))))</f>
        <v/>
      </c>
      <c r="G22" s="35">
        <f>IF(OR(C22="",D22="",E22="",F22=""),"",Wc_C1*C22+Wc_C2*D22+Wc_C3*E22+Wc_C4*F22)</f>
        <v/>
      </c>
      <c r="H22" s="36">
        <f>SUMPRODUCT(Paramètres!$D$15:$D$28*ISNUMBER(TRANSPOSE(Rendements!$C22:$P22)))</f>
        <v/>
      </c>
      <c r="I22" s="36">
        <f>SUMPRODUCT(Paramètres!$E$15:$E$28*ISNUMBER(TRANSPOSE(Rendements!$C22:$P22)))</f>
        <v/>
      </c>
      <c r="J22" s="36">
        <f>SUMPRODUCT(Paramètres!$F$15:$F$28*ISNUMBER(TRANSPOSE(Rendements!$C22:$P22)))</f>
        <v/>
      </c>
      <c r="K22" s="36">
        <f>SUMPRODUCT(Paramètres!$G$15:$G$28*ISNUMBER(TRANSPOSE(Rendements!$C22:$P22)))</f>
        <v/>
      </c>
      <c r="L22" s="37">
        <f>IF(C22="","",IF(L21="",100,L21*(1+C22)))</f>
        <v/>
      </c>
      <c r="M22" s="37">
        <f>IF(D22="","",IF(M21="",100,M21*(1+D22)))</f>
        <v/>
      </c>
      <c r="N22" s="37">
        <f>IF(E22="","",IF(N21="",100,N21*(1+E22)))</f>
        <v/>
      </c>
      <c r="O22" s="37">
        <f>IF(F22="","",IF(O21="",100,O21*(1+F22)))</f>
        <v/>
      </c>
      <c r="P22" s="37">
        <f>IF(G22="","",IF(P21="",100,P21*(1+G22)))</f>
        <v/>
      </c>
    </row>
    <row r="23">
      <c r="B23" s="32">
        <f>Rendements!B23</f>
        <v/>
      </c>
      <c r="C23" s="34">
        <f>IF(SUMPRODUCT(Paramètres!$D$15:$D$28*ISNUMBER(TRANSPOSE(Rendements!$C23:$P23)))=0,"",SUMPRODUCT(Paramètres!$D$15:$D$28*ISNUMBER(TRANSPOSE(Rendements!$C23:$P23))*N(+TRANSPOSE(Rendements!$C23:$P23)))/SUMPRODUCT(Paramètres!$D$15:$D$28*ISNUMBER(TRANSPOSE(Rendements!$C23:$P23))))</f>
        <v/>
      </c>
      <c r="D23" s="34">
        <f>IF(SUMPRODUCT(Paramètres!$E$15:$E$28*ISNUMBER(TRANSPOSE(Rendements!$C23:$P23)))=0,"",SUMPRODUCT(Paramètres!$E$15:$E$28*ISNUMBER(TRANSPOSE(Rendements!$C23:$P23))*N(+TRANSPOSE(Rendements!$C23:$P23)))/SUMPRODUCT(Paramètres!$E$15:$E$28*ISNUMBER(TRANSPOSE(Rendements!$C23:$P23))))</f>
        <v/>
      </c>
      <c r="E23" s="34">
        <f>IF(SUMPRODUCT(Paramètres!$F$15:$F$28*ISNUMBER(TRANSPOSE(Rendements!$C23:$P23)))=0,"",SUMPRODUCT(Paramètres!$F$15:$F$28*ISNUMBER(TRANSPOSE(Rendements!$C23:$P23))*N(+TRANSPOSE(Rendements!$C23:$P23)))/SUMPRODUCT(Paramètres!$F$15:$F$28*ISNUMBER(TRANSPOSE(Rendements!$C23:$P23))))</f>
        <v/>
      </c>
      <c r="F23" s="34">
        <f>IF(SUMPRODUCT(Paramètres!$G$15:$G$28*ISNUMBER(TRANSPOSE(Rendements!$C23:$P23)))=0,"",SUMPRODUCT(Paramètres!$G$15:$G$28*ISNUMBER(TRANSPOSE(Rendements!$C23:$P23))*N(+TRANSPOSE(Rendements!$C23:$P23)))/SUMPRODUCT(Paramètres!$G$15:$G$28*ISNUMBER(TRANSPOSE(Rendements!$C23:$P23))))</f>
        <v/>
      </c>
      <c r="G23" s="35">
        <f>IF(OR(C23="",D23="",E23="",F23=""),"",Wc_C1*C23+Wc_C2*D23+Wc_C3*E23+Wc_C4*F23)</f>
        <v/>
      </c>
      <c r="H23" s="36">
        <f>SUMPRODUCT(Paramètres!$D$15:$D$28*ISNUMBER(TRANSPOSE(Rendements!$C23:$P23)))</f>
        <v/>
      </c>
      <c r="I23" s="36">
        <f>SUMPRODUCT(Paramètres!$E$15:$E$28*ISNUMBER(TRANSPOSE(Rendements!$C23:$P23)))</f>
        <v/>
      </c>
      <c r="J23" s="36">
        <f>SUMPRODUCT(Paramètres!$F$15:$F$28*ISNUMBER(TRANSPOSE(Rendements!$C23:$P23)))</f>
        <v/>
      </c>
      <c r="K23" s="36">
        <f>SUMPRODUCT(Paramètres!$G$15:$G$28*ISNUMBER(TRANSPOSE(Rendements!$C23:$P23)))</f>
        <v/>
      </c>
      <c r="L23" s="37">
        <f>IF(C23="","",IF(L22="",100,L22*(1+C23)))</f>
        <v/>
      </c>
      <c r="M23" s="37">
        <f>IF(D23="","",IF(M22="",100,M22*(1+D23)))</f>
        <v/>
      </c>
      <c r="N23" s="37">
        <f>IF(E23="","",IF(N22="",100,N22*(1+E23)))</f>
        <v/>
      </c>
      <c r="O23" s="37">
        <f>IF(F23="","",IF(O22="",100,O22*(1+F23)))</f>
        <v/>
      </c>
      <c r="P23" s="37">
        <f>IF(G23="","",IF(P22="",100,P22*(1+G23)))</f>
        <v/>
      </c>
    </row>
    <row r="24">
      <c r="B24" s="32">
        <f>Rendements!B24</f>
        <v/>
      </c>
      <c r="C24" s="34">
        <f>IF(SUMPRODUCT(Paramètres!$D$15:$D$28*ISNUMBER(TRANSPOSE(Rendements!$C24:$P24)))=0,"",SUMPRODUCT(Paramètres!$D$15:$D$28*ISNUMBER(TRANSPOSE(Rendements!$C24:$P24))*N(+TRANSPOSE(Rendements!$C24:$P24)))/SUMPRODUCT(Paramètres!$D$15:$D$28*ISNUMBER(TRANSPOSE(Rendements!$C24:$P24))))</f>
        <v/>
      </c>
      <c r="D24" s="34">
        <f>IF(SUMPRODUCT(Paramètres!$E$15:$E$28*ISNUMBER(TRANSPOSE(Rendements!$C24:$P24)))=0,"",SUMPRODUCT(Paramètres!$E$15:$E$28*ISNUMBER(TRANSPOSE(Rendements!$C24:$P24))*N(+TRANSPOSE(Rendements!$C24:$P24)))/SUMPRODUCT(Paramètres!$E$15:$E$28*ISNUMBER(TRANSPOSE(Rendements!$C24:$P24))))</f>
        <v/>
      </c>
      <c r="E24" s="34">
        <f>IF(SUMPRODUCT(Paramètres!$F$15:$F$28*ISNUMBER(TRANSPOSE(Rendements!$C24:$P24)))=0,"",SUMPRODUCT(Paramètres!$F$15:$F$28*ISNUMBER(TRANSPOSE(Rendements!$C24:$P24))*N(+TRANSPOSE(Rendements!$C24:$P24)))/SUMPRODUCT(Paramètres!$F$15:$F$28*ISNUMBER(TRANSPOSE(Rendements!$C24:$P24))))</f>
        <v/>
      </c>
      <c r="F24" s="34">
        <f>IF(SUMPRODUCT(Paramètres!$G$15:$G$28*ISNUMBER(TRANSPOSE(Rendements!$C24:$P24)))=0,"",SUMPRODUCT(Paramètres!$G$15:$G$28*ISNUMBER(TRANSPOSE(Rendements!$C24:$P24))*N(+TRANSPOSE(Rendements!$C24:$P24)))/SUMPRODUCT(Paramètres!$G$15:$G$28*ISNUMBER(TRANSPOSE(Rendements!$C24:$P24))))</f>
        <v/>
      </c>
      <c r="G24" s="35">
        <f>IF(OR(C24="",D24="",E24="",F24=""),"",Wc_C1*C24+Wc_C2*D24+Wc_C3*E24+Wc_C4*F24)</f>
        <v/>
      </c>
      <c r="H24" s="36">
        <f>SUMPRODUCT(Paramètres!$D$15:$D$28*ISNUMBER(TRANSPOSE(Rendements!$C24:$P24)))</f>
        <v/>
      </c>
      <c r="I24" s="36">
        <f>SUMPRODUCT(Paramètres!$E$15:$E$28*ISNUMBER(TRANSPOSE(Rendements!$C24:$P24)))</f>
        <v/>
      </c>
      <c r="J24" s="36">
        <f>SUMPRODUCT(Paramètres!$F$15:$F$28*ISNUMBER(TRANSPOSE(Rendements!$C24:$P24)))</f>
        <v/>
      </c>
      <c r="K24" s="36">
        <f>SUMPRODUCT(Paramètres!$G$15:$G$28*ISNUMBER(TRANSPOSE(Rendements!$C24:$P24)))</f>
        <v/>
      </c>
      <c r="L24" s="37">
        <f>IF(C24="","",IF(L23="",100,L23*(1+C24)))</f>
        <v/>
      </c>
      <c r="M24" s="37">
        <f>IF(D24="","",IF(M23="",100,M23*(1+D24)))</f>
        <v/>
      </c>
      <c r="N24" s="37">
        <f>IF(E24="","",IF(N23="",100,N23*(1+E24)))</f>
        <v/>
      </c>
      <c r="O24" s="37">
        <f>IF(F24="","",IF(O23="",100,O23*(1+F24)))</f>
        <v/>
      </c>
      <c r="P24" s="37">
        <f>IF(G24="","",IF(P23="",100,P23*(1+G24)))</f>
        <v/>
      </c>
    </row>
    <row r="25">
      <c r="B25" s="32">
        <f>Rendements!B25</f>
        <v/>
      </c>
      <c r="C25" s="34">
        <f>IF(SUMPRODUCT(Paramètres!$D$15:$D$28*ISNUMBER(TRANSPOSE(Rendements!$C25:$P25)))=0,"",SUMPRODUCT(Paramètres!$D$15:$D$28*ISNUMBER(TRANSPOSE(Rendements!$C25:$P25))*N(+TRANSPOSE(Rendements!$C25:$P25)))/SUMPRODUCT(Paramètres!$D$15:$D$28*ISNUMBER(TRANSPOSE(Rendements!$C25:$P25))))</f>
        <v/>
      </c>
      <c r="D25" s="34">
        <f>IF(SUMPRODUCT(Paramètres!$E$15:$E$28*ISNUMBER(TRANSPOSE(Rendements!$C25:$P25)))=0,"",SUMPRODUCT(Paramètres!$E$15:$E$28*ISNUMBER(TRANSPOSE(Rendements!$C25:$P25))*N(+TRANSPOSE(Rendements!$C25:$P25)))/SUMPRODUCT(Paramètres!$E$15:$E$28*ISNUMBER(TRANSPOSE(Rendements!$C25:$P25))))</f>
        <v/>
      </c>
      <c r="E25" s="34">
        <f>IF(SUMPRODUCT(Paramètres!$F$15:$F$28*ISNUMBER(TRANSPOSE(Rendements!$C25:$P25)))=0,"",SUMPRODUCT(Paramètres!$F$15:$F$28*ISNUMBER(TRANSPOSE(Rendements!$C25:$P25))*N(+TRANSPOSE(Rendements!$C25:$P25)))/SUMPRODUCT(Paramètres!$F$15:$F$28*ISNUMBER(TRANSPOSE(Rendements!$C25:$P25))))</f>
        <v/>
      </c>
      <c r="F25" s="34">
        <f>IF(SUMPRODUCT(Paramètres!$G$15:$G$28*ISNUMBER(TRANSPOSE(Rendements!$C25:$P25)))=0,"",SUMPRODUCT(Paramètres!$G$15:$G$28*ISNUMBER(TRANSPOSE(Rendements!$C25:$P25))*N(+TRANSPOSE(Rendements!$C25:$P25)))/SUMPRODUCT(Paramètres!$G$15:$G$28*ISNUMBER(TRANSPOSE(Rendements!$C25:$P25))))</f>
        <v/>
      </c>
      <c r="G25" s="35">
        <f>IF(OR(C25="",D25="",E25="",F25=""),"",Wc_C1*C25+Wc_C2*D25+Wc_C3*E25+Wc_C4*F25)</f>
        <v/>
      </c>
      <c r="H25" s="36">
        <f>SUMPRODUCT(Paramètres!$D$15:$D$28*ISNUMBER(TRANSPOSE(Rendements!$C25:$P25)))</f>
        <v/>
      </c>
      <c r="I25" s="36">
        <f>SUMPRODUCT(Paramètres!$E$15:$E$28*ISNUMBER(TRANSPOSE(Rendements!$C25:$P25)))</f>
        <v/>
      </c>
      <c r="J25" s="36">
        <f>SUMPRODUCT(Paramètres!$F$15:$F$28*ISNUMBER(TRANSPOSE(Rendements!$C25:$P25)))</f>
        <v/>
      </c>
      <c r="K25" s="36">
        <f>SUMPRODUCT(Paramètres!$G$15:$G$28*ISNUMBER(TRANSPOSE(Rendements!$C25:$P25)))</f>
        <v/>
      </c>
      <c r="L25" s="37">
        <f>IF(C25="","",IF(L24="",100,L24*(1+C25)))</f>
        <v/>
      </c>
      <c r="M25" s="37">
        <f>IF(D25="","",IF(M24="",100,M24*(1+D25)))</f>
        <v/>
      </c>
      <c r="N25" s="37">
        <f>IF(E25="","",IF(N24="",100,N24*(1+E25)))</f>
        <v/>
      </c>
      <c r="O25" s="37">
        <f>IF(F25="","",IF(O24="",100,O24*(1+F25)))</f>
        <v/>
      </c>
      <c r="P25" s="37">
        <f>IF(G25="","",IF(P24="",100,P24*(1+G25)))</f>
        <v/>
      </c>
    </row>
    <row r="26">
      <c r="B26" s="32">
        <f>Rendements!B26</f>
        <v/>
      </c>
      <c r="C26" s="34">
        <f>IF(SUMPRODUCT(Paramètres!$D$15:$D$28*ISNUMBER(TRANSPOSE(Rendements!$C26:$P26)))=0,"",SUMPRODUCT(Paramètres!$D$15:$D$28*ISNUMBER(TRANSPOSE(Rendements!$C26:$P26))*N(+TRANSPOSE(Rendements!$C26:$P26)))/SUMPRODUCT(Paramètres!$D$15:$D$28*ISNUMBER(TRANSPOSE(Rendements!$C26:$P26))))</f>
        <v/>
      </c>
      <c r="D26" s="34">
        <f>IF(SUMPRODUCT(Paramètres!$E$15:$E$28*ISNUMBER(TRANSPOSE(Rendements!$C26:$P26)))=0,"",SUMPRODUCT(Paramètres!$E$15:$E$28*ISNUMBER(TRANSPOSE(Rendements!$C26:$P26))*N(+TRANSPOSE(Rendements!$C26:$P26)))/SUMPRODUCT(Paramètres!$E$15:$E$28*ISNUMBER(TRANSPOSE(Rendements!$C26:$P26))))</f>
        <v/>
      </c>
      <c r="E26" s="34">
        <f>IF(SUMPRODUCT(Paramètres!$F$15:$F$28*ISNUMBER(TRANSPOSE(Rendements!$C26:$P26)))=0,"",SUMPRODUCT(Paramètres!$F$15:$F$28*ISNUMBER(TRANSPOSE(Rendements!$C26:$P26))*N(+TRANSPOSE(Rendements!$C26:$P26)))/SUMPRODUCT(Paramètres!$F$15:$F$28*ISNUMBER(TRANSPOSE(Rendements!$C26:$P26))))</f>
        <v/>
      </c>
      <c r="F26" s="34">
        <f>IF(SUMPRODUCT(Paramètres!$G$15:$G$28*ISNUMBER(TRANSPOSE(Rendements!$C26:$P26)))=0,"",SUMPRODUCT(Paramètres!$G$15:$G$28*ISNUMBER(TRANSPOSE(Rendements!$C26:$P26))*N(+TRANSPOSE(Rendements!$C26:$P26)))/SUMPRODUCT(Paramètres!$G$15:$G$28*ISNUMBER(TRANSPOSE(Rendements!$C26:$P26))))</f>
        <v/>
      </c>
      <c r="G26" s="35">
        <f>IF(OR(C26="",D26="",E26="",F26=""),"",Wc_C1*C26+Wc_C2*D26+Wc_C3*E26+Wc_C4*F26)</f>
        <v/>
      </c>
      <c r="H26" s="36">
        <f>SUMPRODUCT(Paramètres!$D$15:$D$28*ISNUMBER(TRANSPOSE(Rendements!$C26:$P26)))</f>
        <v/>
      </c>
      <c r="I26" s="36">
        <f>SUMPRODUCT(Paramètres!$E$15:$E$28*ISNUMBER(TRANSPOSE(Rendements!$C26:$P26)))</f>
        <v/>
      </c>
      <c r="J26" s="36">
        <f>SUMPRODUCT(Paramètres!$F$15:$F$28*ISNUMBER(TRANSPOSE(Rendements!$C26:$P26)))</f>
        <v/>
      </c>
      <c r="K26" s="36">
        <f>SUMPRODUCT(Paramètres!$G$15:$G$28*ISNUMBER(TRANSPOSE(Rendements!$C26:$P26)))</f>
        <v/>
      </c>
      <c r="L26" s="37">
        <f>IF(C26="","",IF(L25="",100,L25*(1+C26)))</f>
        <v/>
      </c>
      <c r="M26" s="37">
        <f>IF(D26="","",IF(M25="",100,M25*(1+D26)))</f>
        <v/>
      </c>
      <c r="N26" s="37">
        <f>IF(E26="","",IF(N25="",100,N25*(1+E26)))</f>
        <v/>
      </c>
      <c r="O26" s="37">
        <f>IF(F26="","",IF(O25="",100,O25*(1+F26)))</f>
        <v/>
      </c>
      <c r="P26" s="37">
        <f>IF(G26="","",IF(P25="",100,P25*(1+G26)))</f>
        <v/>
      </c>
    </row>
    <row r="27">
      <c r="B27" s="32">
        <f>Rendements!B27</f>
        <v/>
      </c>
      <c r="C27" s="34">
        <f>IF(SUMPRODUCT(Paramètres!$D$15:$D$28*ISNUMBER(TRANSPOSE(Rendements!$C27:$P27)))=0,"",SUMPRODUCT(Paramètres!$D$15:$D$28*ISNUMBER(TRANSPOSE(Rendements!$C27:$P27))*N(+TRANSPOSE(Rendements!$C27:$P27)))/SUMPRODUCT(Paramètres!$D$15:$D$28*ISNUMBER(TRANSPOSE(Rendements!$C27:$P27))))</f>
        <v/>
      </c>
      <c r="D27" s="34">
        <f>IF(SUMPRODUCT(Paramètres!$E$15:$E$28*ISNUMBER(TRANSPOSE(Rendements!$C27:$P27)))=0,"",SUMPRODUCT(Paramètres!$E$15:$E$28*ISNUMBER(TRANSPOSE(Rendements!$C27:$P27))*N(+TRANSPOSE(Rendements!$C27:$P27)))/SUMPRODUCT(Paramètres!$E$15:$E$28*ISNUMBER(TRANSPOSE(Rendements!$C27:$P27))))</f>
        <v/>
      </c>
      <c r="E27" s="34">
        <f>IF(SUMPRODUCT(Paramètres!$F$15:$F$28*ISNUMBER(TRANSPOSE(Rendements!$C27:$P27)))=0,"",SUMPRODUCT(Paramètres!$F$15:$F$28*ISNUMBER(TRANSPOSE(Rendements!$C27:$P27))*N(+TRANSPOSE(Rendements!$C27:$P27)))/SUMPRODUCT(Paramètres!$F$15:$F$28*ISNUMBER(TRANSPOSE(Rendements!$C27:$P27))))</f>
        <v/>
      </c>
      <c r="F27" s="34">
        <f>IF(SUMPRODUCT(Paramètres!$G$15:$G$28*ISNUMBER(TRANSPOSE(Rendements!$C27:$P27)))=0,"",SUMPRODUCT(Paramètres!$G$15:$G$28*ISNUMBER(TRANSPOSE(Rendements!$C27:$P27))*N(+TRANSPOSE(Rendements!$C27:$P27)))/SUMPRODUCT(Paramètres!$G$15:$G$28*ISNUMBER(TRANSPOSE(Rendements!$C27:$P27))))</f>
        <v/>
      </c>
      <c r="G27" s="35">
        <f>IF(OR(C27="",D27="",E27="",F27=""),"",Wc_C1*C27+Wc_C2*D27+Wc_C3*E27+Wc_C4*F27)</f>
        <v/>
      </c>
      <c r="H27" s="36">
        <f>SUMPRODUCT(Paramètres!$D$15:$D$28*ISNUMBER(TRANSPOSE(Rendements!$C27:$P27)))</f>
        <v/>
      </c>
      <c r="I27" s="36">
        <f>SUMPRODUCT(Paramètres!$E$15:$E$28*ISNUMBER(TRANSPOSE(Rendements!$C27:$P27)))</f>
        <v/>
      </c>
      <c r="J27" s="36">
        <f>SUMPRODUCT(Paramètres!$F$15:$F$28*ISNUMBER(TRANSPOSE(Rendements!$C27:$P27)))</f>
        <v/>
      </c>
      <c r="K27" s="36">
        <f>SUMPRODUCT(Paramètres!$G$15:$G$28*ISNUMBER(TRANSPOSE(Rendements!$C27:$P27)))</f>
        <v/>
      </c>
      <c r="L27" s="37">
        <f>IF(C27="","",IF(L26="",100,L26*(1+C27)))</f>
        <v/>
      </c>
      <c r="M27" s="37">
        <f>IF(D27="","",IF(M26="",100,M26*(1+D27)))</f>
        <v/>
      </c>
      <c r="N27" s="37">
        <f>IF(E27="","",IF(N26="",100,N26*(1+E27)))</f>
        <v/>
      </c>
      <c r="O27" s="37">
        <f>IF(F27="","",IF(O26="",100,O26*(1+F27)))</f>
        <v/>
      </c>
      <c r="P27" s="37">
        <f>IF(G27="","",IF(P26="",100,P26*(1+G27)))</f>
        <v/>
      </c>
    </row>
    <row r="28">
      <c r="B28" s="32">
        <f>Rendements!B28</f>
        <v/>
      </c>
      <c r="C28" s="34">
        <f>IF(SUMPRODUCT(Paramètres!$D$15:$D$28*ISNUMBER(TRANSPOSE(Rendements!$C28:$P28)))=0,"",SUMPRODUCT(Paramètres!$D$15:$D$28*ISNUMBER(TRANSPOSE(Rendements!$C28:$P28))*N(+TRANSPOSE(Rendements!$C28:$P28)))/SUMPRODUCT(Paramètres!$D$15:$D$28*ISNUMBER(TRANSPOSE(Rendements!$C28:$P28))))</f>
        <v/>
      </c>
      <c r="D28" s="34">
        <f>IF(SUMPRODUCT(Paramètres!$E$15:$E$28*ISNUMBER(TRANSPOSE(Rendements!$C28:$P28)))=0,"",SUMPRODUCT(Paramètres!$E$15:$E$28*ISNUMBER(TRANSPOSE(Rendements!$C28:$P28))*N(+TRANSPOSE(Rendements!$C28:$P28)))/SUMPRODUCT(Paramètres!$E$15:$E$28*ISNUMBER(TRANSPOSE(Rendements!$C28:$P28))))</f>
        <v/>
      </c>
      <c r="E28" s="34">
        <f>IF(SUMPRODUCT(Paramètres!$F$15:$F$28*ISNUMBER(TRANSPOSE(Rendements!$C28:$P28)))=0,"",SUMPRODUCT(Paramètres!$F$15:$F$28*ISNUMBER(TRANSPOSE(Rendements!$C28:$P28))*N(+TRANSPOSE(Rendements!$C28:$P28)))/SUMPRODUCT(Paramètres!$F$15:$F$28*ISNUMBER(TRANSPOSE(Rendements!$C28:$P28))))</f>
        <v/>
      </c>
      <c r="F28" s="34">
        <f>IF(SUMPRODUCT(Paramètres!$G$15:$G$28*ISNUMBER(TRANSPOSE(Rendements!$C28:$P28)))=0,"",SUMPRODUCT(Paramètres!$G$15:$G$28*ISNUMBER(TRANSPOSE(Rendements!$C28:$P28))*N(+TRANSPOSE(Rendements!$C28:$P28)))/SUMPRODUCT(Paramètres!$G$15:$G$28*ISNUMBER(TRANSPOSE(Rendements!$C28:$P28))))</f>
        <v/>
      </c>
      <c r="G28" s="35">
        <f>IF(OR(C28="",D28="",E28="",F28=""),"",Wc_C1*C28+Wc_C2*D28+Wc_C3*E28+Wc_C4*F28)</f>
        <v/>
      </c>
      <c r="H28" s="36">
        <f>SUMPRODUCT(Paramètres!$D$15:$D$28*ISNUMBER(TRANSPOSE(Rendements!$C28:$P28)))</f>
        <v/>
      </c>
      <c r="I28" s="36">
        <f>SUMPRODUCT(Paramètres!$E$15:$E$28*ISNUMBER(TRANSPOSE(Rendements!$C28:$P28)))</f>
        <v/>
      </c>
      <c r="J28" s="36">
        <f>SUMPRODUCT(Paramètres!$F$15:$F$28*ISNUMBER(TRANSPOSE(Rendements!$C28:$P28)))</f>
        <v/>
      </c>
      <c r="K28" s="36">
        <f>SUMPRODUCT(Paramètres!$G$15:$G$28*ISNUMBER(TRANSPOSE(Rendements!$C28:$P28)))</f>
        <v/>
      </c>
      <c r="L28" s="37">
        <f>IF(C28="","",IF(L27="",100,L27*(1+C28)))</f>
        <v/>
      </c>
      <c r="M28" s="37">
        <f>IF(D28="","",IF(M27="",100,M27*(1+D28)))</f>
        <v/>
      </c>
      <c r="N28" s="37">
        <f>IF(E28="","",IF(N27="",100,N27*(1+E28)))</f>
        <v/>
      </c>
      <c r="O28" s="37">
        <f>IF(F28="","",IF(O27="",100,O27*(1+F28)))</f>
        <v/>
      </c>
      <c r="P28" s="37">
        <f>IF(G28="","",IF(P27="",100,P27*(1+G28)))</f>
        <v/>
      </c>
    </row>
    <row r="29">
      <c r="B29" s="32">
        <f>Rendements!B29</f>
        <v/>
      </c>
      <c r="C29" s="34">
        <f>IF(SUMPRODUCT(Paramètres!$D$15:$D$28*ISNUMBER(TRANSPOSE(Rendements!$C29:$P29)))=0,"",SUMPRODUCT(Paramètres!$D$15:$D$28*ISNUMBER(TRANSPOSE(Rendements!$C29:$P29))*N(+TRANSPOSE(Rendements!$C29:$P29)))/SUMPRODUCT(Paramètres!$D$15:$D$28*ISNUMBER(TRANSPOSE(Rendements!$C29:$P29))))</f>
        <v/>
      </c>
      <c r="D29" s="34">
        <f>IF(SUMPRODUCT(Paramètres!$E$15:$E$28*ISNUMBER(TRANSPOSE(Rendements!$C29:$P29)))=0,"",SUMPRODUCT(Paramètres!$E$15:$E$28*ISNUMBER(TRANSPOSE(Rendements!$C29:$P29))*N(+TRANSPOSE(Rendements!$C29:$P29)))/SUMPRODUCT(Paramètres!$E$15:$E$28*ISNUMBER(TRANSPOSE(Rendements!$C29:$P29))))</f>
        <v/>
      </c>
      <c r="E29" s="34">
        <f>IF(SUMPRODUCT(Paramètres!$F$15:$F$28*ISNUMBER(TRANSPOSE(Rendements!$C29:$P29)))=0,"",SUMPRODUCT(Paramètres!$F$15:$F$28*ISNUMBER(TRANSPOSE(Rendements!$C29:$P29))*N(+TRANSPOSE(Rendements!$C29:$P29)))/SUMPRODUCT(Paramètres!$F$15:$F$28*ISNUMBER(TRANSPOSE(Rendements!$C29:$P29))))</f>
        <v/>
      </c>
      <c r="F29" s="34">
        <f>IF(SUMPRODUCT(Paramètres!$G$15:$G$28*ISNUMBER(TRANSPOSE(Rendements!$C29:$P29)))=0,"",SUMPRODUCT(Paramètres!$G$15:$G$28*ISNUMBER(TRANSPOSE(Rendements!$C29:$P29))*N(+TRANSPOSE(Rendements!$C29:$P29)))/SUMPRODUCT(Paramètres!$G$15:$G$28*ISNUMBER(TRANSPOSE(Rendements!$C29:$P29))))</f>
        <v/>
      </c>
      <c r="G29" s="35">
        <f>IF(OR(C29="",D29="",E29="",F29=""),"",Wc_C1*C29+Wc_C2*D29+Wc_C3*E29+Wc_C4*F29)</f>
        <v/>
      </c>
      <c r="H29" s="36">
        <f>SUMPRODUCT(Paramètres!$D$15:$D$28*ISNUMBER(TRANSPOSE(Rendements!$C29:$P29)))</f>
        <v/>
      </c>
      <c r="I29" s="36">
        <f>SUMPRODUCT(Paramètres!$E$15:$E$28*ISNUMBER(TRANSPOSE(Rendements!$C29:$P29)))</f>
        <v/>
      </c>
      <c r="J29" s="36">
        <f>SUMPRODUCT(Paramètres!$F$15:$F$28*ISNUMBER(TRANSPOSE(Rendements!$C29:$P29)))</f>
        <v/>
      </c>
      <c r="K29" s="36">
        <f>SUMPRODUCT(Paramètres!$G$15:$G$28*ISNUMBER(TRANSPOSE(Rendements!$C29:$P29)))</f>
        <v/>
      </c>
      <c r="L29" s="37">
        <f>IF(C29="","",IF(L28="",100,L28*(1+C29)))</f>
        <v/>
      </c>
      <c r="M29" s="37">
        <f>IF(D29="","",IF(M28="",100,M28*(1+D29)))</f>
        <v/>
      </c>
      <c r="N29" s="37">
        <f>IF(E29="","",IF(N28="",100,N28*(1+E29)))</f>
        <v/>
      </c>
      <c r="O29" s="37">
        <f>IF(F29="","",IF(O28="",100,O28*(1+F29)))</f>
        <v/>
      </c>
      <c r="P29" s="37">
        <f>IF(G29="","",IF(P28="",100,P28*(1+G29)))</f>
        <v/>
      </c>
    </row>
    <row r="30">
      <c r="B30" s="32">
        <f>Rendements!B30</f>
        <v/>
      </c>
      <c r="C30" s="34">
        <f>IF(SUMPRODUCT(Paramètres!$D$15:$D$28*ISNUMBER(TRANSPOSE(Rendements!$C30:$P30)))=0,"",SUMPRODUCT(Paramètres!$D$15:$D$28*ISNUMBER(TRANSPOSE(Rendements!$C30:$P30))*N(+TRANSPOSE(Rendements!$C30:$P30)))/SUMPRODUCT(Paramètres!$D$15:$D$28*ISNUMBER(TRANSPOSE(Rendements!$C30:$P30))))</f>
        <v/>
      </c>
      <c r="D30" s="34">
        <f>IF(SUMPRODUCT(Paramètres!$E$15:$E$28*ISNUMBER(TRANSPOSE(Rendements!$C30:$P30)))=0,"",SUMPRODUCT(Paramètres!$E$15:$E$28*ISNUMBER(TRANSPOSE(Rendements!$C30:$P30))*N(+TRANSPOSE(Rendements!$C30:$P30)))/SUMPRODUCT(Paramètres!$E$15:$E$28*ISNUMBER(TRANSPOSE(Rendements!$C30:$P30))))</f>
        <v/>
      </c>
      <c r="E30" s="34">
        <f>IF(SUMPRODUCT(Paramètres!$F$15:$F$28*ISNUMBER(TRANSPOSE(Rendements!$C30:$P30)))=0,"",SUMPRODUCT(Paramètres!$F$15:$F$28*ISNUMBER(TRANSPOSE(Rendements!$C30:$P30))*N(+TRANSPOSE(Rendements!$C30:$P30)))/SUMPRODUCT(Paramètres!$F$15:$F$28*ISNUMBER(TRANSPOSE(Rendements!$C30:$P30))))</f>
        <v/>
      </c>
      <c r="F30" s="34">
        <f>IF(SUMPRODUCT(Paramètres!$G$15:$G$28*ISNUMBER(TRANSPOSE(Rendements!$C30:$P30)))=0,"",SUMPRODUCT(Paramètres!$G$15:$G$28*ISNUMBER(TRANSPOSE(Rendements!$C30:$P30))*N(+TRANSPOSE(Rendements!$C30:$P30)))/SUMPRODUCT(Paramètres!$G$15:$G$28*ISNUMBER(TRANSPOSE(Rendements!$C30:$P30))))</f>
        <v/>
      </c>
      <c r="G30" s="35">
        <f>IF(OR(C30="",D30="",E30="",F30=""),"",Wc_C1*C30+Wc_C2*D30+Wc_C3*E30+Wc_C4*F30)</f>
        <v/>
      </c>
      <c r="H30" s="36">
        <f>SUMPRODUCT(Paramètres!$D$15:$D$28*ISNUMBER(TRANSPOSE(Rendements!$C30:$P30)))</f>
        <v/>
      </c>
      <c r="I30" s="36">
        <f>SUMPRODUCT(Paramètres!$E$15:$E$28*ISNUMBER(TRANSPOSE(Rendements!$C30:$P30)))</f>
        <v/>
      </c>
      <c r="J30" s="36">
        <f>SUMPRODUCT(Paramètres!$F$15:$F$28*ISNUMBER(TRANSPOSE(Rendements!$C30:$P30)))</f>
        <v/>
      </c>
      <c r="K30" s="36">
        <f>SUMPRODUCT(Paramètres!$G$15:$G$28*ISNUMBER(TRANSPOSE(Rendements!$C30:$P30)))</f>
        <v/>
      </c>
      <c r="L30" s="37">
        <f>IF(C30="","",IF(L29="",100,L29*(1+C30)))</f>
        <v/>
      </c>
      <c r="M30" s="37">
        <f>IF(D30="","",IF(M29="",100,M29*(1+D30)))</f>
        <v/>
      </c>
      <c r="N30" s="37">
        <f>IF(E30="","",IF(N29="",100,N29*(1+E30)))</f>
        <v/>
      </c>
      <c r="O30" s="37">
        <f>IF(F30="","",IF(O29="",100,O29*(1+F30)))</f>
        <v/>
      </c>
      <c r="P30" s="37">
        <f>IF(G30="","",IF(P29="",100,P29*(1+G30)))</f>
        <v/>
      </c>
    </row>
    <row r="31">
      <c r="B31" s="32">
        <f>Rendements!B31</f>
        <v/>
      </c>
      <c r="C31" s="34">
        <f>IF(SUMPRODUCT(Paramètres!$D$15:$D$28*ISNUMBER(TRANSPOSE(Rendements!$C31:$P31)))=0,"",SUMPRODUCT(Paramètres!$D$15:$D$28*ISNUMBER(TRANSPOSE(Rendements!$C31:$P31))*N(+TRANSPOSE(Rendements!$C31:$P31)))/SUMPRODUCT(Paramètres!$D$15:$D$28*ISNUMBER(TRANSPOSE(Rendements!$C31:$P31))))</f>
        <v/>
      </c>
      <c r="D31" s="34">
        <f>IF(SUMPRODUCT(Paramètres!$E$15:$E$28*ISNUMBER(TRANSPOSE(Rendements!$C31:$P31)))=0,"",SUMPRODUCT(Paramètres!$E$15:$E$28*ISNUMBER(TRANSPOSE(Rendements!$C31:$P31))*N(+TRANSPOSE(Rendements!$C31:$P31)))/SUMPRODUCT(Paramètres!$E$15:$E$28*ISNUMBER(TRANSPOSE(Rendements!$C31:$P31))))</f>
        <v/>
      </c>
      <c r="E31" s="34">
        <f>IF(SUMPRODUCT(Paramètres!$F$15:$F$28*ISNUMBER(TRANSPOSE(Rendements!$C31:$P31)))=0,"",SUMPRODUCT(Paramètres!$F$15:$F$28*ISNUMBER(TRANSPOSE(Rendements!$C31:$P31))*N(+TRANSPOSE(Rendements!$C31:$P31)))/SUMPRODUCT(Paramètres!$F$15:$F$28*ISNUMBER(TRANSPOSE(Rendements!$C31:$P31))))</f>
        <v/>
      </c>
      <c r="F31" s="34">
        <f>IF(SUMPRODUCT(Paramètres!$G$15:$G$28*ISNUMBER(TRANSPOSE(Rendements!$C31:$P31)))=0,"",SUMPRODUCT(Paramètres!$G$15:$G$28*ISNUMBER(TRANSPOSE(Rendements!$C31:$P31))*N(+TRANSPOSE(Rendements!$C31:$P31)))/SUMPRODUCT(Paramètres!$G$15:$G$28*ISNUMBER(TRANSPOSE(Rendements!$C31:$P31))))</f>
        <v/>
      </c>
      <c r="G31" s="35">
        <f>IF(OR(C31="",D31="",E31="",F31=""),"",Wc_C1*C31+Wc_C2*D31+Wc_C3*E31+Wc_C4*F31)</f>
        <v/>
      </c>
      <c r="H31" s="36">
        <f>SUMPRODUCT(Paramètres!$D$15:$D$28*ISNUMBER(TRANSPOSE(Rendements!$C31:$P31)))</f>
        <v/>
      </c>
      <c r="I31" s="36">
        <f>SUMPRODUCT(Paramètres!$E$15:$E$28*ISNUMBER(TRANSPOSE(Rendements!$C31:$P31)))</f>
        <v/>
      </c>
      <c r="J31" s="36">
        <f>SUMPRODUCT(Paramètres!$F$15:$F$28*ISNUMBER(TRANSPOSE(Rendements!$C31:$P31)))</f>
        <v/>
      </c>
      <c r="K31" s="36">
        <f>SUMPRODUCT(Paramètres!$G$15:$G$28*ISNUMBER(TRANSPOSE(Rendements!$C31:$P31)))</f>
        <v/>
      </c>
      <c r="L31" s="37">
        <f>IF(C31="","",IF(L30="",100,L30*(1+C31)))</f>
        <v/>
      </c>
      <c r="M31" s="37">
        <f>IF(D31="","",IF(M30="",100,M30*(1+D31)))</f>
        <v/>
      </c>
      <c r="N31" s="37">
        <f>IF(E31="","",IF(N30="",100,N30*(1+E31)))</f>
        <v/>
      </c>
      <c r="O31" s="37">
        <f>IF(F31="","",IF(O30="",100,O30*(1+F31)))</f>
        <v/>
      </c>
      <c r="P31" s="37">
        <f>IF(G31="","",IF(P30="",100,P30*(1+G31)))</f>
        <v/>
      </c>
    </row>
    <row r="32">
      <c r="B32" s="32">
        <f>Rendements!B32</f>
        <v/>
      </c>
      <c r="C32" s="34">
        <f>IF(SUMPRODUCT(Paramètres!$D$15:$D$28*ISNUMBER(TRANSPOSE(Rendements!$C32:$P32)))=0,"",SUMPRODUCT(Paramètres!$D$15:$D$28*ISNUMBER(TRANSPOSE(Rendements!$C32:$P32))*N(+TRANSPOSE(Rendements!$C32:$P32)))/SUMPRODUCT(Paramètres!$D$15:$D$28*ISNUMBER(TRANSPOSE(Rendements!$C32:$P32))))</f>
        <v/>
      </c>
      <c r="D32" s="34">
        <f>IF(SUMPRODUCT(Paramètres!$E$15:$E$28*ISNUMBER(TRANSPOSE(Rendements!$C32:$P32)))=0,"",SUMPRODUCT(Paramètres!$E$15:$E$28*ISNUMBER(TRANSPOSE(Rendements!$C32:$P32))*N(+TRANSPOSE(Rendements!$C32:$P32)))/SUMPRODUCT(Paramètres!$E$15:$E$28*ISNUMBER(TRANSPOSE(Rendements!$C32:$P32))))</f>
        <v/>
      </c>
      <c r="E32" s="34">
        <f>IF(SUMPRODUCT(Paramètres!$F$15:$F$28*ISNUMBER(TRANSPOSE(Rendements!$C32:$P32)))=0,"",SUMPRODUCT(Paramètres!$F$15:$F$28*ISNUMBER(TRANSPOSE(Rendements!$C32:$P32))*N(+TRANSPOSE(Rendements!$C32:$P32)))/SUMPRODUCT(Paramètres!$F$15:$F$28*ISNUMBER(TRANSPOSE(Rendements!$C32:$P32))))</f>
        <v/>
      </c>
      <c r="F32" s="34">
        <f>IF(SUMPRODUCT(Paramètres!$G$15:$G$28*ISNUMBER(TRANSPOSE(Rendements!$C32:$P32)))=0,"",SUMPRODUCT(Paramètres!$G$15:$G$28*ISNUMBER(TRANSPOSE(Rendements!$C32:$P32))*N(+TRANSPOSE(Rendements!$C32:$P32)))/SUMPRODUCT(Paramètres!$G$15:$G$28*ISNUMBER(TRANSPOSE(Rendements!$C32:$P32))))</f>
        <v/>
      </c>
      <c r="G32" s="35">
        <f>IF(OR(C32="",D32="",E32="",F32=""),"",Wc_C1*C32+Wc_C2*D32+Wc_C3*E32+Wc_C4*F32)</f>
        <v/>
      </c>
      <c r="H32" s="36">
        <f>SUMPRODUCT(Paramètres!$D$15:$D$28*ISNUMBER(TRANSPOSE(Rendements!$C32:$P32)))</f>
        <v/>
      </c>
      <c r="I32" s="36">
        <f>SUMPRODUCT(Paramètres!$E$15:$E$28*ISNUMBER(TRANSPOSE(Rendements!$C32:$P32)))</f>
        <v/>
      </c>
      <c r="J32" s="36">
        <f>SUMPRODUCT(Paramètres!$F$15:$F$28*ISNUMBER(TRANSPOSE(Rendements!$C32:$P32)))</f>
        <v/>
      </c>
      <c r="K32" s="36">
        <f>SUMPRODUCT(Paramètres!$G$15:$G$28*ISNUMBER(TRANSPOSE(Rendements!$C32:$P32)))</f>
        <v/>
      </c>
      <c r="L32" s="37">
        <f>IF(C32="","",IF(L31="",100,L31*(1+C32)))</f>
        <v/>
      </c>
      <c r="M32" s="37">
        <f>IF(D32="","",IF(M31="",100,M31*(1+D32)))</f>
        <v/>
      </c>
      <c r="N32" s="37">
        <f>IF(E32="","",IF(N31="",100,N31*(1+E32)))</f>
        <v/>
      </c>
      <c r="O32" s="37">
        <f>IF(F32="","",IF(O31="",100,O31*(1+F32)))</f>
        <v/>
      </c>
      <c r="P32" s="37">
        <f>IF(G32="","",IF(P31="",100,P31*(1+G32)))</f>
        <v/>
      </c>
    </row>
    <row r="33">
      <c r="B33" s="32">
        <f>Rendements!B33</f>
        <v/>
      </c>
      <c r="C33" s="34">
        <f>IF(SUMPRODUCT(Paramètres!$D$15:$D$28*ISNUMBER(TRANSPOSE(Rendements!$C33:$P33)))=0,"",SUMPRODUCT(Paramètres!$D$15:$D$28*ISNUMBER(TRANSPOSE(Rendements!$C33:$P33))*N(+TRANSPOSE(Rendements!$C33:$P33)))/SUMPRODUCT(Paramètres!$D$15:$D$28*ISNUMBER(TRANSPOSE(Rendements!$C33:$P33))))</f>
        <v/>
      </c>
      <c r="D33" s="34">
        <f>IF(SUMPRODUCT(Paramètres!$E$15:$E$28*ISNUMBER(TRANSPOSE(Rendements!$C33:$P33)))=0,"",SUMPRODUCT(Paramètres!$E$15:$E$28*ISNUMBER(TRANSPOSE(Rendements!$C33:$P33))*N(+TRANSPOSE(Rendements!$C33:$P33)))/SUMPRODUCT(Paramètres!$E$15:$E$28*ISNUMBER(TRANSPOSE(Rendements!$C33:$P33))))</f>
        <v/>
      </c>
      <c r="E33" s="34">
        <f>IF(SUMPRODUCT(Paramètres!$F$15:$F$28*ISNUMBER(TRANSPOSE(Rendements!$C33:$P33)))=0,"",SUMPRODUCT(Paramètres!$F$15:$F$28*ISNUMBER(TRANSPOSE(Rendements!$C33:$P33))*N(+TRANSPOSE(Rendements!$C33:$P33)))/SUMPRODUCT(Paramètres!$F$15:$F$28*ISNUMBER(TRANSPOSE(Rendements!$C33:$P33))))</f>
        <v/>
      </c>
      <c r="F33" s="34">
        <f>IF(SUMPRODUCT(Paramètres!$G$15:$G$28*ISNUMBER(TRANSPOSE(Rendements!$C33:$P33)))=0,"",SUMPRODUCT(Paramètres!$G$15:$G$28*ISNUMBER(TRANSPOSE(Rendements!$C33:$P33))*N(+TRANSPOSE(Rendements!$C33:$P33)))/SUMPRODUCT(Paramètres!$G$15:$G$28*ISNUMBER(TRANSPOSE(Rendements!$C33:$P33))))</f>
        <v/>
      </c>
      <c r="G33" s="35">
        <f>IF(OR(C33="",D33="",E33="",F33=""),"",Wc_C1*C33+Wc_C2*D33+Wc_C3*E33+Wc_C4*F33)</f>
        <v/>
      </c>
      <c r="H33" s="36">
        <f>SUMPRODUCT(Paramètres!$D$15:$D$28*ISNUMBER(TRANSPOSE(Rendements!$C33:$P33)))</f>
        <v/>
      </c>
      <c r="I33" s="36">
        <f>SUMPRODUCT(Paramètres!$E$15:$E$28*ISNUMBER(TRANSPOSE(Rendements!$C33:$P33)))</f>
        <v/>
      </c>
      <c r="J33" s="36">
        <f>SUMPRODUCT(Paramètres!$F$15:$F$28*ISNUMBER(TRANSPOSE(Rendements!$C33:$P33)))</f>
        <v/>
      </c>
      <c r="K33" s="36">
        <f>SUMPRODUCT(Paramètres!$G$15:$G$28*ISNUMBER(TRANSPOSE(Rendements!$C33:$P33)))</f>
        <v/>
      </c>
      <c r="L33" s="37">
        <f>IF(C33="","",IF(L32="",100,L32*(1+C33)))</f>
        <v/>
      </c>
      <c r="M33" s="37">
        <f>IF(D33="","",IF(M32="",100,M32*(1+D33)))</f>
        <v/>
      </c>
      <c r="N33" s="37">
        <f>IF(E33="","",IF(N32="",100,N32*(1+E33)))</f>
        <v/>
      </c>
      <c r="O33" s="37">
        <f>IF(F33="","",IF(O32="",100,O32*(1+F33)))</f>
        <v/>
      </c>
      <c r="P33" s="37">
        <f>IF(G33="","",IF(P32="",100,P32*(1+G33)))</f>
        <v/>
      </c>
    </row>
    <row r="34">
      <c r="B34" s="32">
        <f>Rendements!B34</f>
        <v/>
      </c>
      <c r="C34" s="34">
        <f>IF(SUMPRODUCT(Paramètres!$D$15:$D$28*ISNUMBER(TRANSPOSE(Rendements!$C34:$P34)))=0,"",SUMPRODUCT(Paramètres!$D$15:$D$28*ISNUMBER(TRANSPOSE(Rendements!$C34:$P34))*N(+TRANSPOSE(Rendements!$C34:$P34)))/SUMPRODUCT(Paramètres!$D$15:$D$28*ISNUMBER(TRANSPOSE(Rendements!$C34:$P34))))</f>
        <v/>
      </c>
      <c r="D34" s="34">
        <f>IF(SUMPRODUCT(Paramètres!$E$15:$E$28*ISNUMBER(TRANSPOSE(Rendements!$C34:$P34)))=0,"",SUMPRODUCT(Paramètres!$E$15:$E$28*ISNUMBER(TRANSPOSE(Rendements!$C34:$P34))*N(+TRANSPOSE(Rendements!$C34:$P34)))/SUMPRODUCT(Paramètres!$E$15:$E$28*ISNUMBER(TRANSPOSE(Rendements!$C34:$P34))))</f>
        <v/>
      </c>
      <c r="E34" s="34">
        <f>IF(SUMPRODUCT(Paramètres!$F$15:$F$28*ISNUMBER(TRANSPOSE(Rendements!$C34:$P34)))=0,"",SUMPRODUCT(Paramètres!$F$15:$F$28*ISNUMBER(TRANSPOSE(Rendements!$C34:$P34))*N(+TRANSPOSE(Rendements!$C34:$P34)))/SUMPRODUCT(Paramètres!$F$15:$F$28*ISNUMBER(TRANSPOSE(Rendements!$C34:$P34))))</f>
        <v/>
      </c>
      <c r="F34" s="34">
        <f>IF(SUMPRODUCT(Paramètres!$G$15:$G$28*ISNUMBER(TRANSPOSE(Rendements!$C34:$P34)))=0,"",SUMPRODUCT(Paramètres!$G$15:$G$28*ISNUMBER(TRANSPOSE(Rendements!$C34:$P34))*N(+TRANSPOSE(Rendements!$C34:$P34)))/SUMPRODUCT(Paramètres!$G$15:$G$28*ISNUMBER(TRANSPOSE(Rendements!$C34:$P34))))</f>
        <v/>
      </c>
      <c r="G34" s="35">
        <f>IF(OR(C34="",D34="",E34="",F34=""),"",Wc_C1*C34+Wc_C2*D34+Wc_C3*E34+Wc_C4*F34)</f>
        <v/>
      </c>
      <c r="H34" s="36">
        <f>SUMPRODUCT(Paramètres!$D$15:$D$28*ISNUMBER(TRANSPOSE(Rendements!$C34:$P34)))</f>
        <v/>
      </c>
      <c r="I34" s="36">
        <f>SUMPRODUCT(Paramètres!$E$15:$E$28*ISNUMBER(TRANSPOSE(Rendements!$C34:$P34)))</f>
        <v/>
      </c>
      <c r="J34" s="36">
        <f>SUMPRODUCT(Paramètres!$F$15:$F$28*ISNUMBER(TRANSPOSE(Rendements!$C34:$P34)))</f>
        <v/>
      </c>
      <c r="K34" s="36">
        <f>SUMPRODUCT(Paramètres!$G$15:$G$28*ISNUMBER(TRANSPOSE(Rendements!$C34:$P34)))</f>
        <v/>
      </c>
      <c r="L34" s="37">
        <f>IF(C34="","",IF(L33="",100,L33*(1+C34)))</f>
        <v/>
      </c>
      <c r="M34" s="37">
        <f>IF(D34="","",IF(M33="",100,M33*(1+D34)))</f>
        <v/>
      </c>
      <c r="N34" s="37">
        <f>IF(E34="","",IF(N33="",100,N33*(1+E34)))</f>
        <v/>
      </c>
      <c r="O34" s="37">
        <f>IF(F34="","",IF(O33="",100,O33*(1+F34)))</f>
        <v/>
      </c>
      <c r="P34" s="37">
        <f>IF(G34="","",IF(P33="",100,P33*(1+G34)))</f>
        <v/>
      </c>
    </row>
    <row r="35">
      <c r="B35" s="32">
        <f>Rendements!B35</f>
        <v/>
      </c>
      <c r="C35" s="34">
        <f>IF(SUMPRODUCT(Paramètres!$D$15:$D$28*ISNUMBER(TRANSPOSE(Rendements!$C35:$P35)))=0,"",SUMPRODUCT(Paramètres!$D$15:$D$28*ISNUMBER(TRANSPOSE(Rendements!$C35:$P35))*N(+TRANSPOSE(Rendements!$C35:$P35)))/SUMPRODUCT(Paramètres!$D$15:$D$28*ISNUMBER(TRANSPOSE(Rendements!$C35:$P35))))</f>
        <v/>
      </c>
      <c r="D35" s="34">
        <f>IF(SUMPRODUCT(Paramètres!$E$15:$E$28*ISNUMBER(TRANSPOSE(Rendements!$C35:$P35)))=0,"",SUMPRODUCT(Paramètres!$E$15:$E$28*ISNUMBER(TRANSPOSE(Rendements!$C35:$P35))*N(+TRANSPOSE(Rendements!$C35:$P35)))/SUMPRODUCT(Paramètres!$E$15:$E$28*ISNUMBER(TRANSPOSE(Rendements!$C35:$P35))))</f>
        <v/>
      </c>
      <c r="E35" s="34">
        <f>IF(SUMPRODUCT(Paramètres!$F$15:$F$28*ISNUMBER(TRANSPOSE(Rendements!$C35:$P35)))=0,"",SUMPRODUCT(Paramètres!$F$15:$F$28*ISNUMBER(TRANSPOSE(Rendements!$C35:$P35))*N(+TRANSPOSE(Rendements!$C35:$P35)))/SUMPRODUCT(Paramètres!$F$15:$F$28*ISNUMBER(TRANSPOSE(Rendements!$C35:$P35))))</f>
        <v/>
      </c>
      <c r="F35" s="34">
        <f>IF(SUMPRODUCT(Paramètres!$G$15:$G$28*ISNUMBER(TRANSPOSE(Rendements!$C35:$P35)))=0,"",SUMPRODUCT(Paramètres!$G$15:$G$28*ISNUMBER(TRANSPOSE(Rendements!$C35:$P35))*N(+TRANSPOSE(Rendements!$C35:$P35)))/SUMPRODUCT(Paramètres!$G$15:$G$28*ISNUMBER(TRANSPOSE(Rendements!$C35:$P35))))</f>
        <v/>
      </c>
      <c r="G35" s="35">
        <f>IF(OR(C35="",D35="",E35="",F35=""),"",Wc_C1*C35+Wc_C2*D35+Wc_C3*E35+Wc_C4*F35)</f>
        <v/>
      </c>
      <c r="H35" s="36">
        <f>SUMPRODUCT(Paramètres!$D$15:$D$28*ISNUMBER(TRANSPOSE(Rendements!$C35:$P35)))</f>
        <v/>
      </c>
      <c r="I35" s="36">
        <f>SUMPRODUCT(Paramètres!$E$15:$E$28*ISNUMBER(TRANSPOSE(Rendements!$C35:$P35)))</f>
        <v/>
      </c>
      <c r="J35" s="36">
        <f>SUMPRODUCT(Paramètres!$F$15:$F$28*ISNUMBER(TRANSPOSE(Rendements!$C35:$P35)))</f>
        <v/>
      </c>
      <c r="K35" s="36">
        <f>SUMPRODUCT(Paramètres!$G$15:$G$28*ISNUMBER(TRANSPOSE(Rendements!$C35:$P35)))</f>
        <v/>
      </c>
      <c r="L35" s="37">
        <f>IF(C35="","",IF(L34="",100,L34*(1+C35)))</f>
        <v/>
      </c>
      <c r="M35" s="37">
        <f>IF(D35="","",IF(M34="",100,M34*(1+D35)))</f>
        <v/>
      </c>
      <c r="N35" s="37">
        <f>IF(E35="","",IF(N34="",100,N34*(1+E35)))</f>
        <v/>
      </c>
      <c r="O35" s="37">
        <f>IF(F35="","",IF(O34="",100,O34*(1+F35)))</f>
        <v/>
      </c>
      <c r="P35" s="37">
        <f>IF(G35="","",IF(P34="",100,P34*(1+G35)))</f>
        <v/>
      </c>
    </row>
    <row r="36">
      <c r="B36" s="32">
        <f>Rendements!B36</f>
        <v/>
      </c>
      <c r="C36" s="34">
        <f>IF(SUMPRODUCT(Paramètres!$D$15:$D$28*ISNUMBER(TRANSPOSE(Rendements!$C36:$P36)))=0,"",SUMPRODUCT(Paramètres!$D$15:$D$28*ISNUMBER(TRANSPOSE(Rendements!$C36:$P36))*N(+TRANSPOSE(Rendements!$C36:$P36)))/SUMPRODUCT(Paramètres!$D$15:$D$28*ISNUMBER(TRANSPOSE(Rendements!$C36:$P36))))</f>
        <v/>
      </c>
      <c r="D36" s="34">
        <f>IF(SUMPRODUCT(Paramètres!$E$15:$E$28*ISNUMBER(TRANSPOSE(Rendements!$C36:$P36)))=0,"",SUMPRODUCT(Paramètres!$E$15:$E$28*ISNUMBER(TRANSPOSE(Rendements!$C36:$P36))*N(+TRANSPOSE(Rendements!$C36:$P36)))/SUMPRODUCT(Paramètres!$E$15:$E$28*ISNUMBER(TRANSPOSE(Rendements!$C36:$P36))))</f>
        <v/>
      </c>
      <c r="E36" s="34">
        <f>IF(SUMPRODUCT(Paramètres!$F$15:$F$28*ISNUMBER(TRANSPOSE(Rendements!$C36:$P36)))=0,"",SUMPRODUCT(Paramètres!$F$15:$F$28*ISNUMBER(TRANSPOSE(Rendements!$C36:$P36))*N(+TRANSPOSE(Rendements!$C36:$P36)))/SUMPRODUCT(Paramètres!$F$15:$F$28*ISNUMBER(TRANSPOSE(Rendements!$C36:$P36))))</f>
        <v/>
      </c>
      <c r="F36" s="34">
        <f>IF(SUMPRODUCT(Paramètres!$G$15:$G$28*ISNUMBER(TRANSPOSE(Rendements!$C36:$P36)))=0,"",SUMPRODUCT(Paramètres!$G$15:$G$28*ISNUMBER(TRANSPOSE(Rendements!$C36:$P36))*N(+TRANSPOSE(Rendements!$C36:$P36)))/SUMPRODUCT(Paramètres!$G$15:$G$28*ISNUMBER(TRANSPOSE(Rendements!$C36:$P36))))</f>
        <v/>
      </c>
      <c r="G36" s="35">
        <f>IF(OR(C36="",D36="",E36="",F36=""),"",Wc_C1*C36+Wc_C2*D36+Wc_C3*E36+Wc_C4*F36)</f>
        <v/>
      </c>
      <c r="H36" s="36">
        <f>SUMPRODUCT(Paramètres!$D$15:$D$28*ISNUMBER(TRANSPOSE(Rendements!$C36:$P36)))</f>
        <v/>
      </c>
      <c r="I36" s="36">
        <f>SUMPRODUCT(Paramètres!$E$15:$E$28*ISNUMBER(TRANSPOSE(Rendements!$C36:$P36)))</f>
        <v/>
      </c>
      <c r="J36" s="36">
        <f>SUMPRODUCT(Paramètres!$F$15:$F$28*ISNUMBER(TRANSPOSE(Rendements!$C36:$P36)))</f>
        <v/>
      </c>
      <c r="K36" s="36">
        <f>SUMPRODUCT(Paramètres!$G$15:$G$28*ISNUMBER(TRANSPOSE(Rendements!$C36:$P36)))</f>
        <v/>
      </c>
      <c r="L36" s="37">
        <f>IF(C36="","",IF(L35="",100,L35*(1+C36)))</f>
        <v/>
      </c>
      <c r="M36" s="37">
        <f>IF(D36="","",IF(M35="",100,M35*(1+D36)))</f>
        <v/>
      </c>
      <c r="N36" s="37">
        <f>IF(E36="","",IF(N35="",100,N35*(1+E36)))</f>
        <v/>
      </c>
      <c r="O36" s="37">
        <f>IF(F36="","",IF(O35="",100,O35*(1+F36)))</f>
        <v/>
      </c>
      <c r="P36" s="37">
        <f>IF(G36="","",IF(P35="",100,P35*(1+G36)))</f>
        <v/>
      </c>
    </row>
    <row r="37">
      <c r="B37" s="32">
        <f>Rendements!B37</f>
        <v/>
      </c>
      <c r="C37" s="34">
        <f>IF(SUMPRODUCT(Paramètres!$D$15:$D$28*ISNUMBER(TRANSPOSE(Rendements!$C37:$P37)))=0,"",SUMPRODUCT(Paramètres!$D$15:$D$28*ISNUMBER(TRANSPOSE(Rendements!$C37:$P37))*N(+TRANSPOSE(Rendements!$C37:$P37)))/SUMPRODUCT(Paramètres!$D$15:$D$28*ISNUMBER(TRANSPOSE(Rendements!$C37:$P37))))</f>
        <v/>
      </c>
      <c r="D37" s="34">
        <f>IF(SUMPRODUCT(Paramètres!$E$15:$E$28*ISNUMBER(TRANSPOSE(Rendements!$C37:$P37)))=0,"",SUMPRODUCT(Paramètres!$E$15:$E$28*ISNUMBER(TRANSPOSE(Rendements!$C37:$P37))*N(+TRANSPOSE(Rendements!$C37:$P37)))/SUMPRODUCT(Paramètres!$E$15:$E$28*ISNUMBER(TRANSPOSE(Rendements!$C37:$P37))))</f>
        <v/>
      </c>
      <c r="E37" s="34">
        <f>IF(SUMPRODUCT(Paramètres!$F$15:$F$28*ISNUMBER(TRANSPOSE(Rendements!$C37:$P37)))=0,"",SUMPRODUCT(Paramètres!$F$15:$F$28*ISNUMBER(TRANSPOSE(Rendements!$C37:$P37))*N(+TRANSPOSE(Rendements!$C37:$P37)))/SUMPRODUCT(Paramètres!$F$15:$F$28*ISNUMBER(TRANSPOSE(Rendements!$C37:$P37))))</f>
        <v/>
      </c>
      <c r="F37" s="34">
        <f>IF(SUMPRODUCT(Paramètres!$G$15:$G$28*ISNUMBER(TRANSPOSE(Rendements!$C37:$P37)))=0,"",SUMPRODUCT(Paramètres!$G$15:$G$28*ISNUMBER(TRANSPOSE(Rendements!$C37:$P37))*N(+TRANSPOSE(Rendements!$C37:$P37)))/SUMPRODUCT(Paramètres!$G$15:$G$28*ISNUMBER(TRANSPOSE(Rendements!$C37:$P37))))</f>
        <v/>
      </c>
      <c r="G37" s="35">
        <f>IF(OR(C37="",D37="",E37="",F37=""),"",Wc_C1*C37+Wc_C2*D37+Wc_C3*E37+Wc_C4*F37)</f>
        <v/>
      </c>
      <c r="H37" s="36">
        <f>SUMPRODUCT(Paramètres!$D$15:$D$28*ISNUMBER(TRANSPOSE(Rendements!$C37:$P37)))</f>
        <v/>
      </c>
      <c r="I37" s="36">
        <f>SUMPRODUCT(Paramètres!$E$15:$E$28*ISNUMBER(TRANSPOSE(Rendements!$C37:$P37)))</f>
        <v/>
      </c>
      <c r="J37" s="36">
        <f>SUMPRODUCT(Paramètres!$F$15:$F$28*ISNUMBER(TRANSPOSE(Rendements!$C37:$P37)))</f>
        <v/>
      </c>
      <c r="K37" s="36">
        <f>SUMPRODUCT(Paramètres!$G$15:$G$28*ISNUMBER(TRANSPOSE(Rendements!$C37:$P37)))</f>
        <v/>
      </c>
      <c r="L37" s="37">
        <f>IF(C37="","",IF(L36="",100,L36*(1+C37)))</f>
        <v/>
      </c>
      <c r="M37" s="37">
        <f>IF(D37="","",IF(M36="",100,M36*(1+D37)))</f>
        <v/>
      </c>
      <c r="N37" s="37">
        <f>IF(E37="","",IF(N36="",100,N36*(1+E37)))</f>
        <v/>
      </c>
      <c r="O37" s="37">
        <f>IF(F37="","",IF(O36="",100,O36*(1+F37)))</f>
        <v/>
      </c>
      <c r="P37" s="37">
        <f>IF(G37="","",IF(P36="",100,P36*(1+G37)))</f>
        <v/>
      </c>
    </row>
    <row r="38">
      <c r="B38" s="32">
        <f>Rendements!B38</f>
        <v/>
      </c>
      <c r="C38" s="34">
        <f>IF(SUMPRODUCT(Paramètres!$D$15:$D$28*ISNUMBER(TRANSPOSE(Rendements!$C38:$P38)))=0,"",SUMPRODUCT(Paramètres!$D$15:$D$28*ISNUMBER(TRANSPOSE(Rendements!$C38:$P38))*N(+TRANSPOSE(Rendements!$C38:$P38)))/SUMPRODUCT(Paramètres!$D$15:$D$28*ISNUMBER(TRANSPOSE(Rendements!$C38:$P38))))</f>
        <v/>
      </c>
      <c r="D38" s="34">
        <f>IF(SUMPRODUCT(Paramètres!$E$15:$E$28*ISNUMBER(TRANSPOSE(Rendements!$C38:$P38)))=0,"",SUMPRODUCT(Paramètres!$E$15:$E$28*ISNUMBER(TRANSPOSE(Rendements!$C38:$P38))*N(+TRANSPOSE(Rendements!$C38:$P38)))/SUMPRODUCT(Paramètres!$E$15:$E$28*ISNUMBER(TRANSPOSE(Rendements!$C38:$P38))))</f>
        <v/>
      </c>
      <c r="E38" s="34">
        <f>IF(SUMPRODUCT(Paramètres!$F$15:$F$28*ISNUMBER(TRANSPOSE(Rendements!$C38:$P38)))=0,"",SUMPRODUCT(Paramètres!$F$15:$F$28*ISNUMBER(TRANSPOSE(Rendements!$C38:$P38))*N(+TRANSPOSE(Rendements!$C38:$P38)))/SUMPRODUCT(Paramètres!$F$15:$F$28*ISNUMBER(TRANSPOSE(Rendements!$C38:$P38))))</f>
        <v/>
      </c>
      <c r="F38" s="34">
        <f>IF(SUMPRODUCT(Paramètres!$G$15:$G$28*ISNUMBER(TRANSPOSE(Rendements!$C38:$P38)))=0,"",SUMPRODUCT(Paramètres!$G$15:$G$28*ISNUMBER(TRANSPOSE(Rendements!$C38:$P38))*N(+TRANSPOSE(Rendements!$C38:$P38)))/SUMPRODUCT(Paramètres!$G$15:$G$28*ISNUMBER(TRANSPOSE(Rendements!$C38:$P38))))</f>
        <v/>
      </c>
      <c r="G38" s="35">
        <f>IF(OR(C38="",D38="",E38="",F38=""),"",Wc_C1*C38+Wc_C2*D38+Wc_C3*E38+Wc_C4*F38)</f>
        <v/>
      </c>
      <c r="H38" s="36">
        <f>SUMPRODUCT(Paramètres!$D$15:$D$28*ISNUMBER(TRANSPOSE(Rendements!$C38:$P38)))</f>
        <v/>
      </c>
      <c r="I38" s="36">
        <f>SUMPRODUCT(Paramètres!$E$15:$E$28*ISNUMBER(TRANSPOSE(Rendements!$C38:$P38)))</f>
        <v/>
      </c>
      <c r="J38" s="36">
        <f>SUMPRODUCT(Paramètres!$F$15:$F$28*ISNUMBER(TRANSPOSE(Rendements!$C38:$P38)))</f>
        <v/>
      </c>
      <c r="K38" s="36">
        <f>SUMPRODUCT(Paramètres!$G$15:$G$28*ISNUMBER(TRANSPOSE(Rendements!$C38:$P38)))</f>
        <v/>
      </c>
      <c r="L38" s="37">
        <f>IF(C38="","",IF(L37="",100,L37*(1+C38)))</f>
        <v/>
      </c>
      <c r="M38" s="37">
        <f>IF(D38="","",IF(M37="",100,M37*(1+D38)))</f>
        <v/>
      </c>
      <c r="N38" s="37">
        <f>IF(E38="","",IF(N37="",100,N37*(1+E38)))</f>
        <v/>
      </c>
      <c r="O38" s="37">
        <f>IF(F38="","",IF(O37="",100,O37*(1+F38)))</f>
        <v/>
      </c>
      <c r="P38" s="37">
        <f>IF(G38="","",IF(P37="",100,P37*(1+G38)))</f>
        <v/>
      </c>
    </row>
    <row r="39">
      <c r="B39" s="32">
        <f>Rendements!B39</f>
        <v/>
      </c>
      <c r="C39" s="34">
        <f>IF(SUMPRODUCT(Paramètres!$D$15:$D$28*ISNUMBER(TRANSPOSE(Rendements!$C39:$P39)))=0,"",SUMPRODUCT(Paramètres!$D$15:$D$28*ISNUMBER(TRANSPOSE(Rendements!$C39:$P39))*N(+TRANSPOSE(Rendements!$C39:$P39)))/SUMPRODUCT(Paramètres!$D$15:$D$28*ISNUMBER(TRANSPOSE(Rendements!$C39:$P39))))</f>
        <v/>
      </c>
      <c r="D39" s="34">
        <f>IF(SUMPRODUCT(Paramètres!$E$15:$E$28*ISNUMBER(TRANSPOSE(Rendements!$C39:$P39)))=0,"",SUMPRODUCT(Paramètres!$E$15:$E$28*ISNUMBER(TRANSPOSE(Rendements!$C39:$P39))*N(+TRANSPOSE(Rendements!$C39:$P39)))/SUMPRODUCT(Paramètres!$E$15:$E$28*ISNUMBER(TRANSPOSE(Rendements!$C39:$P39))))</f>
        <v/>
      </c>
      <c r="E39" s="34">
        <f>IF(SUMPRODUCT(Paramètres!$F$15:$F$28*ISNUMBER(TRANSPOSE(Rendements!$C39:$P39)))=0,"",SUMPRODUCT(Paramètres!$F$15:$F$28*ISNUMBER(TRANSPOSE(Rendements!$C39:$P39))*N(+TRANSPOSE(Rendements!$C39:$P39)))/SUMPRODUCT(Paramètres!$F$15:$F$28*ISNUMBER(TRANSPOSE(Rendements!$C39:$P39))))</f>
        <v/>
      </c>
      <c r="F39" s="34">
        <f>IF(SUMPRODUCT(Paramètres!$G$15:$G$28*ISNUMBER(TRANSPOSE(Rendements!$C39:$P39)))=0,"",SUMPRODUCT(Paramètres!$G$15:$G$28*ISNUMBER(TRANSPOSE(Rendements!$C39:$P39))*N(+TRANSPOSE(Rendements!$C39:$P39)))/SUMPRODUCT(Paramètres!$G$15:$G$28*ISNUMBER(TRANSPOSE(Rendements!$C39:$P39))))</f>
        <v/>
      </c>
      <c r="G39" s="35">
        <f>IF(OR(C39="",D39="",E39="",F39=""),"",Wc_C1*C39+Wc_C2*D39+Wc_C3*E39+Wc_C4*F39)</f>
        <v/>
      </c>
      <c r="H39" s="36">
        <f>SUMPRODUCT(Paramètres!$D$15:$D$28*ISNUMBER(TRANSPOSE(Rendements!$C39:$P39)))</f>
        <v/>
      </c>
      <c r="I39" s="36">
        <f>SUMPRODUCT(Paramètres!$E$15:$E$28*ISNUMBER(TRANSPOSE(Rendements!$C39:$P39)))</f>
        <v/>
      </c>
      <c r="J39" s="36">
        <f>SUMPRODUCT(Paramètres!$F$15:$F$28*ISNUMBER(TRANSPOSE(Rendements!$C39:$P39)))</f>
        <v/>
      </c>
      <c r="K39" s="36">
        <f>SUMPRODUCT(Paramètres!$G$15:$G$28*ISNUMBER(TRANSPOSE(Rendements!$C39:$P39)))</f>
        <v/>
      </c>
      <c r="L39" s="37">
        <f>IF(C39="","",IF(L38="",100,L38*(1+C39)))</f>
        <v/>
      </c>
      <c r="M39" s="37">
        <f>IF(D39="","",IF(M38="",100,M38*(1+D39)))</f>
        <v/>
      </c>
      <c r="N39" s="37">
        <f>IF(E39="","",IF(N38="",100,N38*(1+E39)))</f>
        <v/>
      </c>
      <c r="O39" s="37">
        <f>IF(F39="","",IF(O38="",100,O38*(1+F39)))</f>
        <v/>
      </c>
      <c r="P39" s="37">
        <f>IF(G39="","",IF(P38="",100,P38*(1+G39)))</f>
        <v/>
      </c>
    </row>
    <row r="40">
      <c r="B40" s="32">
        <f>Rendements!B40</f>
        <v/>
      </c>
      <c r="C40" s="34">
        <f>IF(SUMPRODUCT(Paramètres!$D$15:$D$28*ISNUMBER(TRANSPOSE(Rendements!$C40:$P40)))=0,"",SUMPRODUCT(Paramètres!$D$15:$D$28*ISNUMBER(TRANSPOSE(Rendements!$C40:$P40))*N(+TRANSPOSE(Rendements!$C40:$P40)))/SUMPRODUCT(Paramètres!$D$15:$D$28*ISNUMBER(TRANSPOSE(Rendements!$C40:$P40))))</f>
        <v/>
      </c>
      <c r="D40" s="34">
        <f>IF(SUMPRODUCT(Paramètres!$E$15:$E$28*ISNUMBER(TRANSPOSE(Rendements!$C40:$P40)))=0,"",SUMPRODUCT(Paramètres!$E$15:$E$28*ISNUMBER(TRANSPOSE(Rendements!$C40:$P40))*N(+TRANSPOSE(Rendements!$C40:$P40)))/SUMPRODUCT(Paramètres!$E$15:$E$28*ISNUMBER(TRANSPOSE(Rendements!$C40:$P40))))</f>
        <v/>
      </c>
      <c r="E40" s="34">
        <f>IF(SUMPRODUCT(Paramètres!$F$15:$F$28*ISNUMBER(TRANSPOSE(Rendements!$C40:$P40)))=0,"",SUMPRODUCT(Paramètres!$F$15:$F$28*ISNUMBER(TRANSPOSE(Rendements!$C40:$P40))*N(+TRANSPOSE(Rendements!$C40:$P40)))/SUMPRODUCT(Paramètres!$F$15:$F$28*ISNUMBER(TRANSPOSE(Rendements!$C40:$P40))))</f>
        <v/>
      </c>
      <c r="F40" s="34">
        <f>IF(SUMPRODUCT(Paramètres!$G$15:$G$28*ISNUMBER(TRANSPOSE(Rendements!$C40:$P40)))=0,"",SUMPRODUCT(Paramètres!$G$15:$G$28*ISNUMBER(TRANSPOSE(Rendements!$C40:$P40))*N(+TRANSPOSE(Rendements!$C40:$P40)))/SUMPRODUCT(Paramètres!$G$15:$G$28*ISNUMBER(TRANSPOSE(Rendements!$C40:$P40))))</f>
        <v/>
      </c>
      <c r="G40" s="35">
        <f>IF(OR(C40="",D40="",E40="",F40=""),"",Wc_C1*C40+Wc_C2*D40+Wc_C3*E40+Wc_C4*F40)</f>
        <v/>
      </c>
      <c r="H40" s="36">
        <f>SUMPRODUCT(Paramètres!$D$15:$D$28*ISNUMBER(TRANSPOSE(Rendements!$C40:$P40)))</f>
        <v/>
      </c>
      <c r="I40" s="36">
        <f>SUMPRODUCT(Paramètres!$E$15:$E$28*ISNUMBER(TRANSPOSE(Rendements!$C40:$P40)))</f>
        <v/>
      </c>
      <c r="J40" s="36">
        <f>SUMPRODUCT(Paramètres!$F$15:$F$28*ISNUMBER(TRANSPOSE(Rendements!$C40:$P40)))</f>
        <v/>
      </c>
      <c r="K40" s="36">
        <f>SUMPRODUCT(Paramètres!$G$15:$G$28*ISNUMBER(TRANSPOSE(Rendements!$C40:$P40)))</f>
        <v/>
      </c>
      <c r="L40" s="37">
        <f>IF(C40="","",IF(L39="",100,L39*(1+C40)))</f>
        <v/>
      </c>
      <c r="M40" s="37">
        <f>IF(D40="","",IF(M39="",100,M39*(1+D40)))</f>
        <v/>
      </c>
      <c r="N40" s="37">
        <f>IF(E40="","",IF(N39="",100,N39*(1+E40)))</f>
        <v/>
      </c>
      <c r="O40" s="37">
        <f>IF(F40="","",IF(O39="",100,O39*(1+F40)))</f>
        <v/>
      </c>
      <c r="P40" s="37">
        <f>IF(G40="","",IF(P39="",100,P39*(1+G40)))</f>
        <v/>
      </c>
    </row>
    <row r="41">
      <c r="B41" s="32">
        <f>Rendements!B41</f>
        <v/>
      </c>
      <c r="C41" s="34">
        <f>IF(SUMPRODUCT(Paramètres!$D$15:$D$28*ISNUMBER(TRANSPOSE(Rendements!$C41:$P41)))=0,"",SUMPRODUCT(Paramètres!$D$15:$D$28*ISNUMBER(TRANSPOSE(Rendements!$C41:$P41))*N(+TRANSPOSE(Rendements!$C41:$P41)))/SUMPRODUCT(Paramètres!$D$15:$D$28*ISNUMBER(TRANSPOSE(Rendements!$C41:$P41))))</f>
        <v/>
      </c>
      <c r="D41" s="34">
        <f>IF(SUMPRODUCT(Paramètres!$E$15:$E$28*ISNUMBER(TRANSPOSE(Rendements!$C41:$P41)))=0,"",SUMPRODUCT(Paramètres!$E$15:$E$28*ISNUMBER(TRANSPOSE(Rendements!$C41:$P41))*N(+TRANSPOSE(Rendements!$C41:$P41)))/SUMPRODUCT(Paramètres!$E$15:$E$28*ISNUMBER(TRANSPOSE(Rendements!$C41:$P41))))</f>
        <v/>
      </c>
      <c r="E41" s="34">
        <f>IF(SUMPRODUCT(Paramètres!$F$15:$F$28*ISNUMBER(TRANSPOSE(Rendements!$C41:$P41)))=0,"",SUMPRODUCT(Paramètres!$F$15:$F$28*ISNUMBER(TRANSPOSE(Rendements!$C41:$P41))*N(+TRANSPOSE(Rendements!$C41:$P41)))/SUMPRODUCT(Paramètres!$F$15:$F$28*ISNUMBER(TRANSPOSE(Rendements!$C41:$P41))))</f>
        <v/>
      </c>
      <c r="F41" s="34">
        <f>IF(SUMPRODUCT(Paramètres!$G$15:$G$28*ISNUMBER(TRANSPOSE(Rendements!$C41:$P41)))=0,"",SUMPRODUCT(Paramètres!$G$15:$G$28*ISNUMBER(TRANSPOSE(Rendements!$C41:$P41))*N(+TRANSPOSE(Rendements!$C41:$P41)))/SUMPRODUCT(Paramètres!$G$15:$G$28*ISNUMBER(TRANSPOSE(Rendements!$C41:$P41))))</f>
        <v/>
      </c>
      <c r="G41" s="35">
        <f>IF(OR(C41="",D41="",E41="",F41=""),"",Wc_C1*C41+Wc_C2*D41+Wc_C3*E41+Wc_C4*F41)</f>
        <v/>
      </c>
      <c r="H41" s="36">
        <f>SUMPRODUCT(Paramètres!$D$15:$D$28*ISNUMBER(TRANSPOSE(Rendements!$C41:$P41)))</f>
        <v/>
      </c>
      <c r="I41" s="36">
        <f>SUMPRODUCT(Paramètres!$E$15:$E$28*ISNUMBER(TRANSPOSE(Rendements!$C41:$P41)))</f>
        <v/>
      </c>
      <c r="J41" s="36">
        <f>SUMPRODUCT(Paramètres!$F$15:$F$28*ISNUMBER(TRANSPOSE(Rendements!$C41:$P41)))</f>
        <v/>
      </c>
      <c r="K41" s="36">
        <f>SUMPRODUCT(Paramètres!$G$15:$G$28*ISNUMBER(TRANSPOSE(Rendements!$C41:$P41)))</f>
        <v/>
      </c>
      <c r="L41" s="37">
        <f>IF(C41="","",IF(L40="",100,L40*(1+C41)))</f>
        <v/>
      </c>
      <c r="M41" s="37">
        <f>IF(D41="","",IF(M40="",100,M40*(1+D41)))</f>
        <v/>
      </c>
      <c r="N41" s="37">
        <f>IF(E41="","",IF(N40="",100,N40*(1+E41)))</f>
        <v/>
      </c>
      <c r="O41" s="37">
        <f>IF(F41="","",IF(O40="",100,O40*(1+F41)))</f>
        <v/>
      </c>
      <c r="P41" s="37">
        <f>IF(G41="","",IF(P40="",100,P40*(1+G41)))</f>
        <v/>
      </c>
    </row>
    <row r="42">
      <c r="B42" s="32">
        <f>Rendements!B42</f>
        <v/>
      </c>
      <c r="C42" s="34">
        <f>IF(SUMPRODUCT(Paramètres!$D$15:$D$28*ISNUMBER(TRANSPOSE(Rendements!$C42:$P42)))=0,"",SUMPRODUCT(Paramètres!$D$15:$D$28*ISNUMBER(TRANSPOSE(Rendements!$C42:$P42))*N(+TRANSPOSE(Rendements!$C42:$P42)))/SUMPRODUCT(Paramètres!$D$15:$D$28*ISNUMBER(TRANSPOSE(Rendements!$C42:$P42))))</f>
        <v/>
      </c>
      <c r="D42" s="34">
        <f>IF(SUMPRODUCT(Paramètres!$E$15:$E$28*ISNUMBER(TRANSPOSE(Rendements!$C42:$P42)))=0,"",SUMPRODUCT(Paramètres!$E$15:$E$28*ISNUMBER(TRANSPOSE(Rendements!$C42:$P42))*N(+TRANSPOSE(Rendements!$C42:$P42)))/SUMPRODUCT(Paramètres!$E$15:$E$28*ISNUMBER(TRANSPOSE(Rendements!$C42:$P42))))</f>
        <v/>
      </c>
      <c r="E42" s="34">
        <f>IF(SUMPRODUCT(Paramètres!$F$15:$F$28*ISNUMBER(TRANSPOSE(Rendements!$C42:$P42)))=0,"",SUMPRODUCT(Paramètres!$F$15:$F$28*ISNUMBER(TRANSPOSE(Rendements!$C42:$P42))*N(+TRANSPOSE(Rendements!$C42:$P42)))/SUMPRODUCT(Paramètres!$F$15:$F$28*ISNUMBER(TRANSPOSE(Rendements!$C42:$P42))))</f>
        <v/>
      </c>
      <c r="F42" s="34">
        <f>IF(SUMPRODUCT(Paramètres!$G$15:$G$28*ISNUMBER(TRANSPOSE(Rendements!$C42:$P42)))=0,"",SUMPRODUCT(Paramètres!$G$15:$G$28*ISNUMBER(TRANSPOSE(Rendements!$C42:$P42))*N(+TRANSPOSE(Rendements!$C42:$P42)))/SUMPRODUCT(Paramètres!$G$15:$G$28*ISNUMBER(TRANSPOSE(Rendements!$C42:$P42))))</f>
        <v/>
      </c>
      <c r="G42" s="35">
        <f>IF(OR(C42="",D42="",E42="",F42=""),"",Wc_C1*C42+Wc_C2*D42+Wc_C3*E42+Wc_C4*F42)</f>
        <v/>
      </c>
      <c r="H42" s="36">
        <f>SUMPRODUCT(Paramètres!$D$15:$D$28*ISNUMBER(TRANSPOSE(Rendements!$C42:$P42)))</f>
        <v/>
      </c>
      <c r="I42" s="36">
        <f>SUMPRODUCT(Paramètres!$E$15:$E$28*ISNUMBER(TRANSPOSE(Rendements!$C42:$P42)))</f>
        <v/>
      </c>
      <c r="J42" s="36">
        <f>SUMPRODUCT(Paramètres!$F$15:$F$28*ISNUMBER(TRANSPOSE(Rendements!$C42:$P42)))</f>
        <v/>
      </c>
      <c r="K42" s="36">
        <f>SUMPRODUCT(Paramètres!$G$15:$G$28*ISNUMBER(TRANSPOSE(Rendements!$C42:$P42)))</f>
        <v/>
      </c>
      <c r="L42" s="37">
        <f>IF(C42="","",IF(L41="",100,L41*(1+C42)))</f>
        <v/>
      </c>
      <c r="M42" s="37">
        <f>IF(D42="","",IF(M41="",100,M41*(1+D42)))</f>
        <v/>
      </c>
      <c r="N42" s="37">
        <f>IF(E42="","",IF(N41="",100,N41*(1+E42)))</f>
        <v/>
      </c>
      <c r="O42" s="37">
        <f>IF(F42="","",IF(O41="",100,O41*(1+F42)))</f>
        <v/>
      </c>
      <c r="P42" s="37">
        <f>IF(G42="","",IF(P41="",100,P41*(1+G42)))</f>
        <v/>
      </c>
    </row>
    <row r="43">
      <c r="B43" s="32">
        <f>Rendements!B43</f>
        <v/>
      </c>
      <c r="C43" s="34">
        <f>IF(SUMPRODUCT(Paramètres!$D$15:$D$28*ISNUMBER(TRANSPOSE(Rendements!$C43:$P43)))=0,"",SUMPRODUCT(Paramètres!$D$15:$D$28*ISNUMBER(TRANSPOSE(Rendements!$C43:$P43))*N(+TRANSPOSE(Rendements!$C43:$P43)))/SUMPRODUCT(Paramètres!$D$15:$D$28*ISNUMBER(TRANSPOSE(Rendements!$C43:$P43))))</f>
        <v/>
      </c>
      <c r="D43" s="34">
        <f>IF(SUMPRODUCT(Paramètres!$E$15:$E$28*ISNUMBER(TRANSPOSE(Rendements!$C43:$P43)))=0,"",SUMPRODUCT(Paramètres!$E$15:$E$28*ISNUMBER(TRANSPOSE(Rendements!$C43:$P43))*N(+TRANSPOSE(Rendements!$C43:$P43)))/SUMPRODUCT(Paramètres!$E$15:$E$28*ISNUMBER(TRANSPOSE(Rendements!$C43:$P43))))</f>
        <v/>
      </c>
      <c r="E43" s="34">
        <f>IF(SUMPRODUCT(Paramètres!$F$15:$F$28*ISNUMBER(TRANSPOSE(Rendements!$C43:$P43)))=0,"",SUMPRODUCT(Paramètres!$F$15:$F$28*ISNUMBER(TRANSPOSE(Rendements!$C43:$P43))*N(+TRANSPOSE(Rendements!$C43:$P43)))/SUMPRODUCT(Paramètres!$F$15:$F$28*ISNUMBER(TRANSPOSE(Rendements!$C43:$P43))))</f>
        <v/>
      </c>
      <c r="F43" s="34">
        <f>IF(SUMPRODUCT(Paramètres!$G$15:$G$28*ISNUMBER(TRANSPOSE(Rendements!$C43:$P43)))=0,"",SUMPRODUCT(Paramètres!$G$15:$G$28*ISNUMBER(TRANSPOSE(Rendements!$C43:$P43))*N(+TRANSPOSE(Rendements!$C43:$P43)))/SUMPRODUCT(Paramètres!$G$15:$G$28*ISNUMBER(TRANSPOSE(Rendements!$C43:$P43))))</f>
        <v/>
      </c>
      <c r="G43" s="35">
        <f>IF(OR(C43="",D43="",E43="",F43=""),"",Wc_C1*C43+Wc_C2*D43+Wc_C3*E43+Wc_C4*F43)</f>
        <v/>
      </c>
      <c r="H43" s="36">
        <f>SUMPRODUCT(Paramètres!$D$15:$D$28*ISNUMBER(TRANSPOSE(Rendements!$C43:$P43)))</f>
        <v/>
      </c>
      <c r="I43" s="36">
        <f>SUMPRODUCT(Paramètres!$E$15:$E$28*ISNUMBER(TRANSPOSE(Rendements!$C43:$P43)))</f>
        <v/>
      </c>
      <c r="J43" s="36">
        <f>SUMPRODUCT(Paramètres!$F$15:$F$28*ISNUMBER(TRANSPOSE(Rendements!$C43:$P43)))</f>
        <v/>
      </c>
      <c r="K43" s="36">
        <f>SUMPRODUCT(Paramètres!$G$15:$G$28*ISNUMBER(TRANSPOSE(Rendements!$C43:$P43)))</f>
        <v/>
      </c>
      <c r="L43" s="37">
        <f>IF(C43="","",IF(L42="",100,L42*(1+C43)))</f>
        <v/>
      </c>
      <c r="M43" s="37">
        <f>IF(D43="","",IF(M42="",100,M42*(1+D43)))</f>
        <v/>
      </c>
      <c r="N43" s="37">
        <f>IF(E43="","",IF(N42="",100,N42*(1+E43)))</f>
        <v/>
      </c>
      <c r="O43" s="37">
        <f>IF(F43="","",IF(O42="",100,O42*(1+F43)))</f>
        <v/>
      </c>
      <c r="P43" s="37">
        <f>IF(G43="","",IF(P42="",100,P42*(1+G43)))</f>
        <v/>
      </c>
    </row>
    <row r="44">
      <c r="B44" s="32">
        <f>Rendements!B44</f>
        <v/>
      </c>
      <c r="C44" s="34">
        <f>IF(SUMPRODUCT(Paramètres!$D$15:$D$28*ISNUMBER(TRANSPOSE(Rendements!$C44:$P44)))=0,"",SUMPRODUCT(Paramètres!$D$15:$D$28*ISNUMBER(TRANSPOSE(Rendements!$C44:$P44))*N(+TRANSPOSE(Rendements!$C44:$P44)))/SUMPRODUCT(Paramètres!$D$15:$D$28*ISNUMBER(TRANSPOSE(Rendements!$C44:$P44))))</f>
        <v/>
      </c>
      <c r="D44" s="34">
        <f>IF(SUMPRODUCT(Paramètres!$E$15:$E$28*ISNUMBER(TRANSPOSE(Rendements!$C44:$P44)))=0,"",SUMPRODUCT(Paramètres!$E$15:$E$28*ISNUMBER(TRANSPOSE(Rendements!$C44:$P44))*N(+TRANSPOSE(Rendements!$C44:$P44)))/SUMPRODUCT(Paramètres!$E$15:$E$28*ISNUMBER(TRANSPOSE(Rendements!$C44:$P44))))</f>
        <v/>
      </c>
      <c r="E44" s="34">
        <f>IF(SUMPRODUCT(Paramètres!$F$15:$F$28*ISNUMBER(TRANSPOSE(Rendements!$C44:$P44)))=0,"",SUMPRODUCT(Paramètres!$F$15:$F$28*ISNUMBER(TRANSPOSE(Rendements!$C44:$P44))*N(+TRANSPOSE(Rendements!$C44:$P44)))/SUMPRODUCT(Paramètres!$F$15:$F$28*ISNUMBER(TRANSPOSE(Rendements!$C44:$P44))))</f>
        <v/>
      </c>
      <c r="F44" s="34">
        <f>IF(SUMPRODUCT(Paramètres!$G$15:$G$28*ISNUMBER(TRANSPOSE(Rendements!$C44:$P44)))=0,"",SUMPRODUCT(Paramètres!$G$15:$G$28*ISNUMBER(TRANSPOSE(Rendements!$C44:$P44))*N(+TRANSPOSE(Rendements!$C44:$P44)))/SUMPRODUCT(Paramètres!$G$15:$G$28*ISNUMBER(TRANSPOSE(Rendements!$C44:$P44))))</f>
        <v/>
      </c>
      <c r="G44" s="35">
        <f>IF(OR(C44="",D44="",E44="",F44=""),"",Wc_C1*C44+Wc_C2*D44+Wc_C3*E44+Wc_C4*F44)</f>
        <v/>
      </c>
      <c r="H44" s="36">
        <f>SUMPRODUCT(Paramètres!$D$15:$D$28*ISNUMBER(TRANSPOSE(Rendements!$C44:$P44)))</f>
        <v/>
      </c>
      <c r="I44" s="36">
        <f>SUMPRODUCT(Paramètres!$E$15:$E$28*ISNUMBER(TRANSPOSE(Rendements!$C44:$P44)))</f>
        <v/>
      </c>
      <c r="J44" s="36">
        <f>SUMPRODUCT(Paramètres!$F$15:$F$28*ISNUMBER(TRANSPOSE(Rendements!$C44:$P44)))</f>
        <v/>
      </c>
      <c r="K44" s="36">
        <f>SUMPRODUCT(Paramètres!$G$15:$G$28*ISNUMBER(TRANSPOSE(Rendements!$C44:$P44)))</f>
        <v/>
      </c>
      <c r="L44" s="37">
        <f>IF(C44="","",IF(L43="",100,L43*(1+C44)))</f>
        <v/>
      </c>
      <c r="M44" s="37">
        <f>IF(D44="","",IF(M43="",100,M43*(1+D44)))</f>
        <v/>
      </c>
      <c r="N44" s="37">
        <f>IF(E44="","",IF(N43="",100,N43*(1+E44)))</f>
        <v/>
      </c>
      <c r="O44" s="37">
        <f>IF(F44="","",IF(O43="",100,O43*(1+F44)))</f>
        <v/>
      </c>
      <c r="P44" s="37">
        <f>IF(G44="","",IF(P43="",100,P43*(1+G44)))</f>
        <v/>
      </c>
    </row>
    <row r="45">
      <c r="B45" s="32">
        <f>Rendements!B45</f>
        <v/>
      </c>
      <c r="C45" s="34">
        <f>IF(SUMPRODUCT(Paramètres!$D$15:$D$28*ISNUMBER(TRANSPOSE(Rendements!$C45:$P45)))=0,"",SUMPRODUCT(Paramètres!$D$15:$D$28*ISNUMBER(TRANSPOSE(Rendements!$C45:$P45))*N(+TRANSPOSE(Rendements!$C45:$P45)))/SUMPRODUCT(Paramètres!$D$15:$D$28*ISNUMBER(TRANSPOSE(Rendements!$C45:$P45))))</f>
        <v/>
      </c>
      <c r="D45" s="34">
        <f>IF(SUMPRODUCT(Paramètres!$E$15:$E$28*ISNUMBER(TRANSPOSE(Rendements!$C45:$P45)))=0,"",SUMPRODUCT(Paramètres!$E$15:$E$28*ISNUMBER(TRANSPOSE(Rendements!$C45:$P45))*N(+TRANSPOSE(Rendements!$C45:$P45)))/SUMPRODUCT(Paramètres!$E$15:$E$28*ISNUMBER(TRANSPOSE(Rendements!$C45:$P45))))</f>
        <v/>
      </c>
      <c r="E45" s="34">
        <f>IF(SUMPRODUCT(Paramètres!$F$15:$F$28*ISNUMBER(TRANSPOSE(Rendements!$C45:$P45)))=0,"",SUMPRODUCT(Paramètres!$F$15:$F$28*ISNUMBER(TRANSPOSE(Rendements!$C45:$P45))*N(+TRANSPOSE(Rendements!$C45:$P45)))/SUMPRODUCT(Paramètres!$F$15:$F$28*ISNUMBER(TRANSPOSE(Rendements!$C45:$P45))))</f>
        <v/>
      </c>
      <c r="F45" s="34">
        <f>IF(SUMPRODUCT(Paramètres!$G$15:$G$28*ISNUMBER(TRANSPOSE(Rendements!$C45:$P45)))=0,"",SUMPRODUCT(Paramètres!$G$15:$G$28*ISNUMBER(TRANSPOSE(Rendements!$C45:$P45))*N(+TRANSPOSE(Rendements!$C45:$P45)))/SUMPRODUCT(Paramètres!$G$15:$G$28*ISNUMBER(TRANSPOSE(Rendements!$C45:$P45))))</f>
        <v/>
      </c>
      <c r="G45" s="35">
        <f>IF(OR(C45="",D45="",E45="",F45=""),"",Wc_C1*C45+Wc_C2*D45+Wc_C3*E45+Wc_C4*F45)</f>
        <v/>
      </c>
      <c r="H45" s="36">
        <f>SUMPRODUCT(Paramètres!$D$15:$D$28*ISNUMBER(TRANSPOSE(Rendements!$C45:$P45)))</f>
        <v/>
      </c>
      <c r="I45" s="36">
        <f>SUMPRODUCT(Paramètres!$E$15:$E$28*ISNUMBER(TRANSPOSE(Rendements!$C45:$P45)))</f>
        <v/>
      </c>
      <c r="J45" s="36">
        <f>SUMPRODUCT(Paramètres!$F$15:$F$28*ISNUMBER(TRANSPOSE(Rendements!$C45:$P45)))</f>
        <v/>
      </c>
      <c r="K45" s="36">
        <f>SUMPRODUCT(Paramètres!$G$15:$G$28*ISNUMBER(TRANSPOSE(Rendements!$C45:$P45)))</f>
        <v/>
      </c>
      <c r="L45" s="37">
        <f>IF(C45="","",IF(L44="",100,L44*(1+C45)))</f>
        <v/>
      </c>
      <c r="M45" s="37">
        <f>IF(D45="","",IF(M44="",100,M44*(1+D45)))</f>
        <v/>
      </c>
      <c r="N45" s="37">
        <f>IF(E45="","",IF(N44="",100,N44*(1+E45)))</f>
        <v/>
      </c>
      <c r="O45" s="37">
        <f>IF(F45="","",IF(O44="",100,O44*(1+F45)))</f>
        <v/>
      </c>
      <c r="P45" s="37">
        <f>IF(G45="","",IF(P44="",100,P44*(1+G45)))</f>
        <v/>
      </c>
    </row>
    <row r="46">
      <c r="B46" s="32">
        <f>Rendements!B46</f>
        <v/>
      </c>
      <c r="C46" s="34">
        <f>IF(SUMPRODUCT(Paramètres!$D$15:$D$28*ISNUMBER(TRANSPOSE(Rendements!$C46:$P46)))=0,"",SUMPRODUCT(Paramètres!$D$15:$D$28*ISNUMBER(TRANSPOSE(Rendements!$C46:$P46))*N(+TRANSPOSE(Rendements!$C46:$P46)))/SUMPRODUCT(Paramètres!$D$15:$D$28*ISNUMBER(TRANSPOSE(Rendements!$C46:$P46))))</f>
        <v/>
      </c>
      <c r="D46" s="34">
        <f>IF(SUMPRODUCT(Paramètres!$E$15:$E$28*ISNUMBER(TRANSPOSE(Rendements!$C46:$P46)))=0,"",SUMPRODUCT(Paramètres!$E$15:$E$28*ISNUMBER(TRANSPOSE(Rendements!$C46:$P46))*N(+TRANSPOSE(Rendements!$C46:$P46)))/SUMPRODUCT(Paramètres!$E$15:$E$28*ISNUMBER(TRANSPOSE(Rendements!$C46:$P46))))</f>
        <v/>
      </c>
      <c r="E46" s="34">
        <f>IF(SUMPRODUCT(Paramètres!$F$15:$F$28*ISNUMBER(TRANSPOSE(Rendements!$C46:$P46)))=0,"",SUMPRODUCT(Paramètres!$F$15:$F$28*ISNUMBER(TRANSPOSE(Rendements!$C46:$P46))*N(+TRANSPOSE(Rendements!$C46:$P46)))/SUMPRODUCT(Paramètres!$F$15:$F$28*ISNUMBER(TRANSPOSE(Rendements!$C46:$P46))))</f>
        <v/>
      </c>
      <c r="F46" s="34">
        <f>IF(SUMPRODUCT(Paramètres!$G$15:$G$28*ISNUMBER(TRANSPOSE(Rendements!$C46:$P46)))=0,"",SUMPRODUCT(Paramètres!$G$15:$G$28*ISNUMBER(TRANSPOSE(Rendements!$C46:$P46))*N(+TRANSPOSE(Rendements!$C46:$P46)))/SUMPRODUCT(Paramètres!$G$15:$G$28*ISNUMBER(TRANSPOSE(Rendements!$C46:$P46))))</f>
        <v/>
      </c>
      <c r="G46" s="35">
        <f>IF(OR(C46="",D46="",E46="",F46=""),"",Wc_C1*C46+Wc_C2*D46+Wc_C3*E46+Wc_C4*F46)</f>
        <v/>
      </c>
      <c r="H46" s="36">
        <f>SUMPRODUCT(Paramètres!$D$15:$D$28*ISNUMBER(TRANSPOSE(Rendements!$C46:$P46)))</f>
        <v/>
      </c>
      <c r="I46" s="36">
        <f>SUMPRODUCT(Paramètres!$E$15:$E$28*ISNUMBER(TRANSPOSE(Rendements!$C46:$P46)))</f>
        <v/>
      </c>
      <c r="J46" s="36">
        <f>SUMPRODUCT(Paramètres!$F$15:$F$28*ISNUMBER(TRANSPOSE(Rendements!$C46:$P46)))</f>
        <v/>
      </c>
      <c r="K46" s="36">
        <f>SUMPRODUCT(Paramètres!$G$15:$G$28*ISNUMBER(TRANSPOSE(Rendements!$C46:$P46)))</f>
        <v/>
      </c>
      <c r="L46" s="37">
        <f>IF(C46="","",IF(L45="",100,L45*(1+C46)))</f>
        <v/>
      </c>
      <c r="M46" s="37">
        <f>IF(D46="","",IF(M45="",100,M45*(1+D46)))</f>
        <v/>
      </c>
      <c r="N46" s="37">
        <f>IF(E46="","",IF(N45="",100,N45*(1+E46)))</f>
        <v/>
      </c>
      <c r="O46" s="37">
        <f>IF(F46="","",IF(O45="",100,O45*(1+F46)))</f>
        <v/>
      </c>
      <c r="P46" s="37">
        <f>IF(G46="","",IF(P45="",100,P45*(1+G46)))</f>
        <v/>
      </c>
    </row>
    <row r="47">
      <c r="B47" s="32">
        <f>Rendements!B47</f>
        <v/>
      </c>
      <c r="C47" s="34">
        <f>IF(SUMPRODUCT(Paramètres!$D$15:$D$28*ISNUMBER(TRANSPOSE(Rendements!$C47:$P47)))=0,"",SUMPRODUCT(Paramètres!$D$15:$D$28*ISNUMBER(TRANSPOSE(Rendements!$C47:$P47))*N(+TRANSPOSE(Rendements!$C47:$P47)))/SUMPRODUCT(Paramètres!$D$15:$D$28*ISNUMBER(TRANSPOSE(Rendements!$C47:$P47))))</f>
        <v/>
      </c>
      <c r="D47" s="34">
        <f>IF(SUMPRODUCT(Paramètres!$E$15:$E$28*ISNUMBER(TRANSPOSE(Rendements!$C47:$P47)))=0,"",SUMPRODUCT(Paramètres!$E$15:$E$28*ISNUMBER(TRANSPOSE(Rendements!$C47:$P47))*N(+TRANSPOSE(Rendements!$C47:$P47)))/SUMPRODUCT(Paramètres!$E$15:$E$28*ISNUMBER(TRANSPOSE(Rendements!$C47:$P47))))</f>
        <v/>
      </c>
      <c r="E47" s="34">
        <f>IF(SUMPRODUCT(Paramètres!$F$15:$F$28*ISNUMBER(TRANSPOSE(Rendements!$C47:$P47)))=0,"",SUMPRODUCT(Paramètres!$F$15:$F$28*ISNUMBER(TRANSPOSE(Rendements!$C47:$P47))*N(+TRANSPOSE(Rendements!$C47:$P47)))/SUMPRODUCT(Paramètres!$F$15:$F$28*ISNUMBER(TRANSPOSE(Rendements!$C47:$P47))))</f>
        <v/>
      </c>
      <c r="F47" s="34">
        <f>IF(SUMPRODUCT(Paramètres!$G$15:$G$28*ISNUMBER(TRANSPOSE(Rendements!$C47:$P47)))=0,"",SUMPRODUCT(Paramètres!$G$15:$G$28*ISNUMBER(TRANSPOSE(Rendements!$C47:$P47))*N(+TRANSPOSE(Rendements!$C47:$P47)))/SUMPRODUCT(Paramètres!$G$15:$G$28*ISNUMBER(TRANSPOSE(Rendements!$C47:$P47))))</f>
        <v/>
      </c>
      <c r="G47" s="35">
        <f>IF(OR(C47="",D47="",E47="",F47=""),"",Wc_C1*C47+Wc_C2*D47+Wc_C3*E47+Wc_C4*F47)</f>
        <v/>
      </c>
      <c r="H47" s="36">
        <f>SUMPRODUCT(Paramètres!$D$15:$D$28*ISNUMBER(TRANSPOSE(Rendements!$C47:$P47)))</f>
        <v/>
      </c>
      <c r="I47" s="36">
        <f>SUMPRODUCT(Paramètres!$E$15:$E$28*ISNUMBER(TRANSPOSE(Rendements!$C47:$P47)))</f>
        <v/>
      </c>
      <c r="J47" s="36">
        <f>SUMPRODUCT(Paramètres!$F$15:$F$28*ISNUMBER(TRANSPOSE(Rendements!$C47:$P47)))</f>
        <v/>
      </c>
      <c r="K47" s="36">
        <f>SUMPRODUCT(Paramètres!$G$15:$G$28*ISNUMBER(TRANSPOSE(Rendements!$C47:$P47)))</f>
        <v/>
      </c>
      <c r="L47" s="37">
        <f>IF(C47="","",IF(L46="",100,L46*(1+C47)))</f>
        <v/>
      </c>
      <c r="M47" s="37">
        <f>IF(D47="","",IF(M46="",100,M46*(1+D47)))</f>
        <v/>
      </c>
      <c r="N47" s="37">
        <f>IF(E47="","",IF(N46="",100,N46*(1+E47)))</f>
        <v/>
      </c>
      <c r="O47" s="37">
        <f>IF(F47="","",IF(O46="",100,O46*(1+F47)))</f>
        <v/>
      </c>
      <c r="P47" s="37">
        <f>IF(G47="","",IF(P46="",100,P46*(1+G47)))</f>
        <v/>
      </c>
    </row>
    <row r="48">
      <c r="B48" s="32">
        <f>Rendements!B48</f>
        <v/>
      </c>
      <c r="C48" s="34">
        <f>IF(SUMPRODUCT(Paramètres!$D$15:$D$28*ISNUMBER(TRANSPOSE(Rendements!$C48:$P48)))=0,"",SUMPRODUCT(Paramètres!$D$15:$D$28*ISNUMBER(TRANSPOSE(Rendements!$C48:$P48))*N(+TRANSPOSE(Rendements!$C48:$P48)))/SUMPRODUCT(Paramètres!$D$15:$D$28*ISNUMBER(TRANSPOSE(Rendements!$C48:$P48))))</f>
        <v/>
      </c>
      <c r="D48" s="34">
        <f>IF(SUMPRODUCT(Paramètres!$E$15:$E$28*ISNUMBER(TRANSPOSE(Rendements!$C48:$P48)))=0,"",SUMPRODUCT(Paramètres!$E$15:$E$28*ISNUMBER(TRANSPOSE(Rendements!$C48:$P48))*N(+TRANSPOSE(Rendements!$C48:$P48)))/SUMPRODUCT(Paramètres!$E$15:$E$28*ISNUMBER(TRANSPOSE(Rendements!$C48:$P48))))</f>
        <v/>
      </c>
      <c r="E48" s="34">
        <f>IF(SUMPRODUCT(Paramètres!$F$15:$F$28*ISNUMBER(TRANSPOSE(Rendements!$C48:$P48)))=0,"",SUMPRODUCT(Paramètres!$F$15:$F$28*ISNUMBER(TRANSPOSE(Rendements!$C48:$P48))*N(+TRANSPOSE(Rendements!$C48:$P48)))/SUMPRODUCT(Paramètres!$F$15:$F$28*ISNUMBER(TRANSPOSE(Rendements!$C48:$P48))))</f>
        <v/>
      </c>
      <c r="F48" s="34">
        <f>IF(SUMPRODUCT(Paramètres!$G$15:$G$28*ISNUMBER(TRANSPOSE(Rendements!$C48:$P48)))=0,"",SUMPRODUCT(Paramètres!$G$15:$G$28*ISNUMBER(TRANSPOSE(Rendements!$C48:$P48))*N(+TRANSPOSE(Rendements!$C48:$P48)))/SUMPRODUCT(Paramètres!$G$15:$G$28*ISNUMBER(TRANSPOSE(Rendements!$C48:$P48))))</f>
        <v/>
      </c>
      <c r="G48" s="35">
        <f>IF(OR(C48="",D48="",E48="",F48=""),"",Wc_C1*C48+Wc_C2*D48+Wc_C3*E48+Wc_C4*F48)</f>
        <v/>
      </c>
      <c r="H48" s="36">
        <f>SUMPRODUCT(Paramètres!$D$15:$D$28*ISNUMBER(TRANSPOSE(Rendements!$C48:$P48)))</f>
        <v/>
      </c>
      <c r="I48" s="36">
        <f>SUMPRODUCT(Paramètres!$E$15:$E$28*ISNUMBER(TRANSPOSE(Rendements!$C48:$P48)))</f>
        <v/>
      </c>
      <c r="J48" s="36">
        <f>SUMPRODUCT(Paramètres!$F$15:$F$28*ISNUMBER(TRANSPOSE(Rendements!$C48:$P48)))</f>
        <v/>
      </c>
      <c r="K48" s="36">
        <f>SUMPRODUCT(Paramètres!$G$15:$G$28*ISNUMBER(TRANSPOSE(Rendements!$C48:$P48)))</f>
        <v/>
      </c>
      <c r="L48" s="37">
        <f>IF(C48="","",IF(L47="",100,L47*(1+C48)))</f>
        <v/>
      </c>
      <c r="M48" s="37">
        <f>IF(D48="","",IF(M47="",100,M47*(1+D48)))</f>
        <v/>
      </c>
      <c r="N48" s="37">
        <f>IF(E48="","",IF(N47="",100,N47*(1+E48)))</f>
        <v/>
      </c>
      <c r="O48" s="37">
        <f>IF(F48="","",IF(O47="",100,O47*(1+F48)))</f>
        <v/>
      </c>
      <c r="P48" s="37">
        <f>IF(G48="","",IF(P47="",100,P47*(1+G48)))</f>
        <v/>
      </c>
    </row>
    <row r="49">
      <c r="B49" s="32">
        <f>Rendements!B49</f>
        <v/>
      </c>
      <c r="C49" s="34">
        <f>IF(SUMPRODUCT(Paramètres!$D$15:$D$28*ISNUMBER(TRANSPOSE(Rendements!$C49:$P49)))=0,"",SUMPRODUCT(Paramètres!$D$15:$D$28*ISNUMBER(TRANSPOSE(Rendements!$C49:$P49))*N(+TRANSPOSE(Rendements!$C49:$P49)))/SUMPRODUCT(Paramètres!$D$15:$D$28*ISNUMBER(TRANSPOSE(Rendements!$C49:$P49))))</f>
        <v/>
      </c>
      <c r="D49" s="34">
        <f>IF(SUMPRODUCT(Paramètres!$E$15:$E$28*ISNUMBER(TRANSPOSE(Rendements!$C49:$P49)))=0,"",SUMPRODUCT(Paramètres!$E$15:$E$28*ISNUMBER(TRANSPOSE(Rendements!$C49:$P49))*N(+TRANSPOSE(Rendements!$C49:$P49)))/SUMPRODUCT(Paramètres!$E$15:$E$28*ISNUMBER(TRANSPOSE(Rendements!$C49:$P49))))</f>
        <v/>
      </c>
      <c r="E49" s="34">
        <f>IF(SUMPRODUCT(Paramètres!$F$15:$F$28*ISNUMBER(TRANSPOSE(Rendements!$C49:$P49)))=0,"",SUMPRODUCT(Paramètres!$F$15:$F$28*ISNUMBER(TRANSPOSE(Rendements!$C49:$P49))*N(+TRANSPOSE(Rendements!$C49:$P49)))/SUMPRODUCT(Paramètres!$F$15:$F$28*ISNUMBER(TRANSPOSE(Rendements!$C49:$P49))))</f>
        <v/>
      </c>
      <c r="F49" s="34">
        <f>IF(SUMPRODUCT(Paramètres!$G$15:$G$28*ISNUMBER(TRANSPOSE(Rendements!$C49:$P49)))=0,"",SUMPRODUCT(Paramètres!$G$15:$G$28*ISNUMBER(TRANSPOSE(Rendements!$C49:$P49))*N(+TRANSPOSE(Rendements!$C49:$P49)))/SUMPRODUCT(Paramètres!$G$15:$G$28*ISNUMBER(TRANSPOSE(Rendements!$C49:$P49))))</f>
        <v/>
      </c>
      <c r="G49" s="35">
        <f>IF(OR(C49="",D49="",E49="",F49=""),"",Wc_C1*C49+Wc_C2*D49+Wc_C3*E49+Wc_C4*F49)</f>
        <v/>
      </c>
      <c r="H49" s="36">
        <f>SUMPRODUCT(Paramètres!$D$15:$D$28*ISNUMBER(TRANSPOSE(Rendements!$C49:$P49)))</f>
        <v/>
      </c>
      <c r="I49" s="36">
        <f>SUMPRODUCT(Paramètres!$E$15:$E$28*ISNUMBER(TRANSPOSE(Rendements!$C49:$P49)))</f>
        <v/>
      </c>
      <c r="J49" s="36">
        <f>SUMPRODUCT(Paramètres!$F$15:$F$28*ISNUMBER(TRANSPOSE(Rendements!$C49:$P49)))</f>
        <v/>
      </c>
      <c r="K49" s="36">
        <f>SUMPRODUCT(Paramètres!$G$15:$G$28*ISNUMBER(TRANSPOSE(Rendements!$C49:$P49)))</f>
        <v/>
      </c>
      <c r="L49" s="37">
        <f>IF(C49="","",IF(L48="",100,L48*(1+C49)))</f>
        <v/>
      </c>
      <c r="M49" s="37">
        <f>IF(D49="","",IF(M48="",100,M48*(1+D49)))</f>
        <v/>
      </c>
      <c r="N49" s="37">
        <f>IF(E49="","",IF(N48="",100,N48*(1+E49)))</f>
        <v/>
      </c>
      <c r="O49" s="37">
        <f>IF(F49="","",IF(O48="",100,O48*(1+F49)))</f>
        <v/>
      </c>
      <c r="P49" s="37">
        <f>IF(G49="","",IF(P48="",100,P48*(1+G49)))</f>
        <v/>
      </c>
    </row>
    <row r="50">
      <c r="B50" s="32">
        <f>Rendements!B50</f>
        <v/>
      </c>
      <c r="C50" s="34">
        <f>IF(SUMPRODUCT(Paramètres!$D$15:$D$28*ISNUMBER(TRANSPOSE(Rendements!$C50:$P50)))=0,"",SUMPRODUCT(Paramètres!$D$15:$D$28*ISNUMBER(TRANSPOSE(Rendements!$C50:$P50))*N(+TRANSPOSE(Rendements!$C50:$P50)))/SUMPRODUCT(Paramètres!$D$15:$D$28*ISNUMBER(TRANSPOSE(Rendements!$C50:$P50))))</f>
        <v/>
      </c>
      <c r="D50" s="34">
        <f>IF(SUMPRODUCT(Paramètres!$E$15:$E$28*ISNUMBER(TRANSPOSE(Rendements!$C50:$P50)))=0,"",SUMPRODUCT(Paramètres!$E$15:$E$28*ISNUMBER(TRANSPOSE(Rendements!$C50:$P50))*N(+TRANSPOSE(Rendements!$C50:$P50)))/SUMPRODUCT(Paramètres!$E$15:$E$28*ISNUMBER(TRANSPOSE(Rendements!$C50:$P50))))</f>
        <v/>
      </c>
      <c r="E50" s="34">
        <f>IF(SUMPRODUCT(Paramètres!$F$15:$F$28*ISNUMBER(TRANSPOSE(Rendements!$C50:$P50)))=0,"",SUMPRODUCT(Paramètres!$F$15:$F$28*ISNUMBER(TRANSPOSE(Rendements!$C50:$P50))*N(+TRANSPOSE(Rendements!$C50:$P50)))/SUMPRODUCT(Paramètres!$F$15:$F$28*ISNUMBER(TRANSPOSE(Rendements!$C50:$P50))))</f>
        <v/>
      </c>
      <c r="F50" s="34">
        <f>IF(SUMPRODUCT(Paramètres!$G$15:$G$28*ISNUMBER(TRANSPOSE(Rendements!$C50:$P50)))=0,"",SUMPRODUCT(Paramètres!$G$15:$G$28*ISNUMBER(TRANSPOSE(Rendements!$C50:$P50))*N(+TRANSPOSE(Rendements!$C50:$P50)))/SUMPRODUCT(Paramètres!$G$15:$G$28*ISNUMBER(TRANSPOSE(Rendements!$C50:$P50))))</f>
        <v/>
      </c>
      <c r="G50" s="35">
        <f>IF(OR(C50="",D50="",E50="",F50=""),"",Wc_C1*C50+Wc_C2*D50+Wc_C3*E50+Wc_C4*F50)</f>
        <v/>
      </c>
      <c r="H50" s="36">
        <f>SUMPRODUCT(Paramètres!$D$15:$D$28*ISNUMBER(TRANSPOSE(Rendements!$C50:$P50)))</f>
        <v/>
      </c>
      <c r="I50" s="36">
        <f>SUMPRODUCT(Paramètres!$E$15:$E$28*ISNUMBER(TRANSPOSE(Rendements!$C50:$P50)))</f>
        <v/>
      </c>
      <c r="J50" s="36">
        <f>SUMPRODUCT(Paramètres!$F$15:$F$28*ISNUMBER(TRANSPOSE(Rendements!$C50:$P50)))</f>
        <v/>
      </c>
      <c r="K50" s="36">
        <f>SUMPRODUCT(Paramètres!$G$15:$G$28*ISNUMBER(TRANSPOSE(Rendements!$C50:$P50)))</f>
        <v/>
      </c>
      <c r="L50" s="37">
        <f>IF(C50="","",IF(L49="",100,L49*(1+C50)))</f>
        <v/>
      </c>
      <c r="M50" s="37">
        <f>IF(D50="","",IF(M49="",100,M49*(1+D50)))</f>
        <v/>
      </c>
      <c r="N50" s="37">
        <f>IF(E50="","",IF(N49="",100,N49*(1+E50)))</f>
        <v/>
      </c>
      <c r="O50" s="37">
        <f>IF(F50="","",IF(O49="",100,O49*(1+F50)))</f>
        <v/>
      </c>
      <c r="P50" s="37">
        <f>IF(G50="","",IF(P49="",100,P49*(1+G50)))</f>
        <v/>
      </c>
    </row>
    <row r="51">
      <c r="B51" s="32">
        <f>Rendements!B51</f>
        <v/>
      </c>
      <c r="C51" s="34">
        <f>IF(SUMPRODUCT(Paramètres!$D$15:$D$28*ISNUMBER(TRANSPOSE(Rendements!$C51:$P51)))=0,"",SUMPRODUCT(Paramètres!$D$15:$D$28*ISNUMBER(TRANSPOSE(Rendements!$C51:$P51))*N(+TRANSPOSE(Rendements!$C51:$P51)))/SUMPRODUCT(Paramètres!$D$15:$D$28*ISNUMBER(TRANSPOSE(Rendements!$C51:$P51))))</f>
        <v/>
      </c>
      <c r="D51" s="34">
        <f>IF(SUMPRODUCT(Paramètres!$E$15:$E$28*ISNUMBER(TRANSPOSE(Rendements!$C51:$P51)))=0,"",SUMPRODUCT(Paramètres!$E$15:$E$28*ISNUMBER(TRANSPOSE(Rendements!$C51:$P51))*N(+TRANSPOSE(Rendements!$C51:$P51)))/SUMPRODUCT(Paramètres!$E$15:$E$28*ISNUMBER(TRANSPOSE(Rendements!$C51:$P51))))</f>
        <v/>
      </c>
      <c r="E51" s="34">
        <f>IF(SUMPRODUCT(Paramètres!$F$15:$F$28*ISNUMBER(TRANSPOSE(Rendements!$C51:$P51)))=0,"",SUMPRODUCT(Paramètres!$F$15:$F$28*ISNUMBER(TRANSPOSE(Rendements!$C51:$P51))*N(+TRANSPOSE(Rendements!$C51:$P51)))/SUMPRODUCT(Paramètres!$F$15:$F$28*ISNUMBER(TRANSPOSE(Rendements!$C51:$P51))))</f>
        <v/>
      </c>
      <c r="F51" s="34">
        <f>IF(SUMPRODUCT(Paramètres!$G$15:$G$28*ISNUMBER(TRANSPOSE(Rendements!$C51:$P51)))=0,"",SUMPRODUCT(Paramètres!$G$15:$G$28*ISNUMBER(TRANSPOSE(Rendements!$C51:$P51))*N(+TRANSPOSE(Rendements!$C51:$P51)))/SUMPRODUCT(Paramètres!$G$15:$G$28*ISNUMBER(TRANSPOSE(Rendements!$C51:$P51))))</f>
        <v/>
      </c>
      <c r="G51" s="35">
        <f>IF(OR(C51="",D51="",E51="",F51=""),"",Wc_C1*C51+Wc_C2*D51+Wc_C3*E51+Wc_C4*F51)</f>
        <v/>
      </c>
      <c r="H51" s="36">
        <f>SUMPRODUCT(Paramètres!$D$15:$D$28*ISNUMBER(TRANSPOSE(Rendements!$C51:$P51)))</f>
        <v/>
      </c>
      <c r="I51" s="36">
        <f>SUMPRODUCT(Paramètres!$E$15:$E$28*ISNUMBER(TRANSPOSE(Rendements!$C51:$P51)))</f>
        <v/>
      </c>
      <c r="J51" s="36">
        <f>SUMPRODUCT(Paramètres!$F$15:$F$28*ISNUMBER(TRANSPOSE(Rendements!$C51:$P51)))</f>
        <v/>
      </c>
      <c r="K51" s="36">
        <f>SUMPRODUCT(Paramètres!$G$15:$G$28*ISNUMBER(TRANSPOSE(Rendements!$C51:$P51)))</f>
        <v/>
      </c>
      <c r="L51" s="37">
        <f>IF(C51="","",IF(L50="",100,L50*(1+C51)))</f>
        <v/>
      </c>
      <c r="M51" s="37">
        <f>IF(D51="","",IF(M50="",100,M50*(1+D51)))</f>
        <v/>
      </c>
      <c r="N51" s="37">
        <f>IF(E51="","",IF(N50="",100,N50*(1+E51)))</f>
        <v/>
      </c>
      <c r="O51" s="37">
        <f>IF(F51="","",IF(O50="",100,O50*(1+F51)))</f>
        <v/>
      </c>
      <c r="P51" s="37">
        <f>IF(G51="","",IF(P50="",100,P50*(1+G51)))</f>
        <v/>
      </c>
    </row>
    <row r="52">
      <c r="B52" s="32">
        <f>Rendements!B52</f>
        <v/>
      </c>
      <c r="C52" s="34">
        <f>IF(SUMPRODUCT(Paramètres!$D$15:$D$28*ISNUMBER(TRANSPOSE(Rendements!$C52:$P52)))=0,"",SUMPRODUCT(Paramètres!$D$15:$D$28*ISNUMBER(TRANSPOSE(Rendements!$C52:$P52))*N(+TRANSPOSE(Rendements!$C52:$P52)))/SUMPRODUCT(Paramètres!$D$15:$D$28*ISNUMBER(TRANSPOSE(Rendements!$C52:$P52))))</f>
        <v/>
      </c>
      <c r="D52" s="34">
        <f>IF(SUMPRODUCT(Paramètres!$E$15:$E$28*ISNUMBER(TRANSPOSE(Rendements!$C52:$P52)))=0,"",SUMPRODUCT(Paramètres!$E$15:$E$28*ISNUMBER(TRANSPOSE(Rendements!$C52:$P52))*N(+TRANSPOSE(Rendements!$C52:$P52)))/SUMPRODUCT(Paramètres!$E$15:$E$28*ISNUMBER(TRANSPOSE(Rendements!$C52:$P52))))</f>
        <v/>
      </c>
      <c r="E52" s="34">
        <f>IF(SUMPRODUCT(Paramètres!$F$15:$F$28*ISNUMBER(TRANSPOSE(Rendements!$C52:$P52)))=0,"",SUMPRODUCT(Paramètres!$F$15:$F$28*ISNUMBER(TRANSPOSE(Rendements!$C52:$P52))*N(+TRANSPOSE(Rendements!$C52:$P52)))/SUMPRODUCT(Paramètres!$F$15:$F$28*ISNUMBER(TRANSPOSE(Rendements!$C52:$P52))))</f>
        <v/>
      </c>
      <c r="F52" s="34">
        <f>IF(SUMPRODUCT(Paramètres!$G$15:$G$28*ISNUMBER(TRANSPOSE(Rendements!$C52:$P52)))=0,"",SUMPRODUCT(Paramètres!$G$15:$G$28*ISNUMBER(TRANSPOSE(Rendements!$C52:$P52))*N(+TRANSPOSE(Rendements!$C52:$P52)))/SUMPRODUCT(Paramètres!$G$15:$G$28*ISNUMBER(TRANSPOSE(Rendements!$C52:$P52))))</f>
        <v/>
      </c>
      <c r="G52" s="35">
        <f>IF(OR(C52="",D52="",E52="",F52=""),"",Wc_C1*C52+Wc_C2*D52+Wc_C3*E52+Wc_C4*F52)</f>
        <v/>
      </c>
      <c r="H52" s="36">
        <f>SUMPRODUCT(Paramètres!$D$15:$D$28*ISNUMBER(TRANSPOSE(Rendements!$C52:$P52)))</f>
        <v/>
      </c>
      <c r="I52" s="36">
        <f>SUMPRODUCT(Paramètres!$E$15:$E$28*ISNUMBER(TRANSPOSE(Rendements!$C52:$P52)))</f>
        <v/>
      </c>
      <c r="J52" s="36">
        <f>SUMPRODUCT(Paramètres!$F$15:$F$28*ISNUMBER(TRANSPOSE(Rendements!$C52:$P52)))</f>
        <v/>
      </c>
      <c r="K52" s="36">
        <f>SUMPRODUCT(Paramètres!$G$15:$G$28*ISNUMBER(TRANSPOSE(Rendements!$C52:$P52)))</f>
        <v/>
      </c>
      <c r="L52" s="37">
        <f>IF(C52="","",IF(L51="",100,L51*(1+C52)))</f>
        <v/>
      </c>
      <c r="M52" s="37">
        <f>IF(D52="","",IF(M51="",100,M51*(1+D52)))</f>
        <v/>
      </c>
      <c r="N52" s="37">
        <f>IF(E52="","",IF(N51="",100,N51*(1+E52)))</f>
        <v/>
      </c>
      <c r="O52" s="37">
        <f>IF(F52="","",IF(O51="",100,O51*(1+F52)))</f>
        <v/>
      </c>
      <c r="P52" s="37">
        <f>IF(G52="","",IF(P51="",100,P51*(1+G52)))</f>
        <v/>
      </c>
    </row>
    <row r="53">
      <c r="B53" s="32">
        <f>Rendements!B53</f>
        <v/>
      </c>
      <c r="C53" s="34">
        <f>IF(SUMPRODUCT(Paramètres!$D$15:$D$28*ISNUMBER(TRANSPOSE(Rendements!$C53:$P53)))=0,"",SUMPRODUCT(Paramètres!$D$15:$D$28*ISNUMBER(TRANSPOSE(Rendements!$C53:$P53))*N(+TRANSPOSE(Rendements!$C53:$P53)))/SUMPRODUCT(Paramètres!$D$15:$D$28*ISNUMBER(TRANSPOSE(Rendements!$C53:$P53))))</f>
        <v/>
      </c>
      <c r="D53" s="34">
        <f>IF(SUMPRODUCT(Paramètres!$E$15:$E$28*ISNUMBER(TRANSPOSE(Rendements!$C53:$P53)))=0,"",SUMPRODUCT(Paramètres!$E$15:$E$28*ISNUMBER(TRANSPOSE(Rendements!$C53:$P53))*N(+TRANSPOSE(Rendements!$C53:$P53)))/SUMPRODUCT(Paramètres!$E$15:$E$28*ISNUMBER(TRANSPOSE(Rendements!$C53:$P53))))</f>
        <v/>
      </c>
      <c r="E53" s="34">
        <f>IF(SUMPRODUCT(Paramètres!$F$15:$F$28*ISNUMBER(TRANSPOSE(Rendements!$C53:$P53)))=0,"",SUMPRODUCT(Paramètres!$F$15:$F$28*ISNUMBER(TRANSPOSE(Rendements!$C53:$P53))*N(+TRANSPOSE(Rendements!$C53:$P53)))/SUMPRODUCT(Paramètres!$F$15:$F$28*ISNUMBER(TRANSPOSE(Rendements!$C53:$P53))))</f>
        <v/>
      </c>
      <c r="F53" s="34">
        <f>IF(SUMPRODUCT(Paramètres!$G$15:$G$28*ISNUMBER(TRANSPOSE(Rendements!$C53:$P53)))=0,"",SUMPRODUCT(Paramètres!$G$15:$G$28*ISNUMBER(TRANSPOSE(Rendements!$C53:$P53))*N(+TRANSPOSE(Rendements!$C53:$P53)))/SUMPRODUCT(Paramètres!$G$15:$G$28*ISNUMBER(TRANSPOSE(Rendements!$C53:$P53))))</f>
        <v/>
      </c>
      <c r="G53" s="35">
        <f>IF(OR(C53="",D53="",E53="",F53=""),"",Wc_C1*C53+Wc_C2*D53+Wc_C3*E53+Wc_C4*F53)</f>
        <v/>
      </c>
      <c r="H53" s="36">
        <f>SUMPRODUCT(Paramètres!$D$15:$D$28*ISNUMBER(TRANSPOSE(Rendements!$C53:$P53)))</f>
        <v/>
      </c>
      <c r="I53" s="36">
        <f>SUMPRODUCT(Paramètres!$E$15:$E$28*ISNUMBER(TRANSPOSE(Rendements!$C53:$P53)))</f>
        <v/>
      </c>
      <c r="J53" s="36">
        <f>SUMPRODUCT(Paramètres!$F$15:$F$28*ISNUMBER(TRANSPOSE(Rendements!$C53:$P53)))</f>
        <v/>
      </c>
      <c r="K53" s="36">
        <f>SUMPRODUCT(Paramètres!$G$15:$G$28*ISNUMBER(TRANSPOSE(Rendements!$C53:$P53)))</f>
        <v/>
      </c>
      <c r="L53" s="37">
        <f>IF(C53="","",IF(L52="",100,L52*(1+C53)))</f>
        <v/>
      </c>
      <c r="M53" s="37">
        <f>IF(D53="","",IF(M52="",100,M52*(1+D53)))</f>
        <v/>
      </c>
      <c r="N53" s="37">
        <f>IF(E53="","",IF(N52="",100,N52*(1+E53)))</f>
        <v/>
      </c>
      <c r="O53" s="37">
        <f>IF(F53="","",IF(O52="",100,O52*(1+F53)))</f>
        <v/>
      </c>
      <c r="P53" s="37">
        <f>IF(G53="","",IF(P52="",100,P52*(1+G53)))</f>
        <v/>
      </c>
    </row>
    <row r="54">
      <c r="B54" s="32">
        <f>Rendements!B54</f>
        <v/>
      </c>
      <c r="C54" s="34">
        <f>IF(SUMPRODUCT(Paramètres!$D$15:$D$28*ISNUMBER(TRANSPOSE(Rendements!$C54:$P54)))=0,"",SUMPRODUCT(Paramètres!$D$15:$D$28*ISNUMBER(TRANSPOSE(Rendements!$C54:$P54))*N(+TRANSPOSE(Rendements!$C54:$P54)))/SUMPRODUCT(Paramètres!$D$15:$D$28*ISNUMBER(TRANSPOSE(Rendements!$C54:$P54))))</f>
        <v/>
      </c>
      <c r="D54" s="34">
        <f>IF(SUMPRODUCT(Paramètres!$E$15:$E$28*ISNUMBER(TRANSPOSE(Rendements!$C54:$P54)))=0,"",SUMPRODUCT(Paramètres!$E$15:$E$28*ISNUMBER(TRANSPOSE(Rendements!$C54:$P54))*N(+TRANSPOSE(Rendements!$C54:$P54)))/SUMPRODUCT(Paramètres!$E$15:$E$28*ISNUMBER(TRANSPOSE(Rendements!$C54:$P54))))</f>
        <v/>
      </c>
      <c r="E54" s="34">
        <f>IF(SUMPRODUCT(Paramètres!$F$15:$F$28*ISNUMBER(TRANSPOSE(Rendements!$C54:$P54)))=0,"",SUMPRODUCT(Paramètres!$F$15:$F$28*ISNUMBER(TRANSPOSE(Rendements!$C54:$P54))*N(+TRANSPOSE(Rendements!$C54:$P54)))/SUMPRODUCT(Paramètres!$F$15:$F$28*ISNUMBER(TRANSPOSE(Rendements!$C54:$P54))))</f>
        <v/>
      </c>
      <c r="F54" s="34">
        <f>IF(SUMPRODUCT(Paramètres!$G$15:$G$28*ISNUMBER(TRANSPOSE(Rendements!$C54:$P54)))=0,"",SUMPRODUCT(Paramètres!$G$15:$G$28*ISNUMBER(TRANSPOSE(Rendements!$C54:$P54))*N(+TRANSPOSE(Rendements!$C54:$P54)))/SUMPRODUCT(Paramètres!$G$15:$G$28*ISNUMBER(TRANSPOSE(Rendements!$C54:$P54))))</f>
        <v/>
      </c>
      <c r="G54" s="35">
        <f>IF(OR(C54="",D54="",E54="",F54=""),"",Wc_C1*C54+Wc_C2*D54+Wc_C3*E54+Wc_C4*F54)</f>
        <v/>
      </c>
      <c r="H54" s="36">
        <f>SUMPRODUCT(Paramètres!$D$15:$D$28*ISNUMBER(TRANSPOSE(Rendements!$C54:$P54)))</f>
        <v/>
      </c>
      <c r="I54" s="36">
        <f>SUMPRODUCT(Paramètres!$E$15:$E$28*ISNUMBER(TRANSPOSE(Rendements!$C54:$P54)))</f>
        <v/>
      </c>
      <c r="J54" s="36">
        <f>SUMPRODUCT(Paramètres!$F$15:$F$28*ISNUMBER(TRANSPOSE(Rendements!$C54:$P54)))</f>
        <v/>
      </c>
      <c r="K54" s="36">
        <f>SUMPRODUCT(Paramètres!$G$15:$G$28*ISNUMBER(TRANSPOSE(Rendements!$C54:$P54)))</f>
        <v/>
      </c>
      <c r="L54" s="37">
        <f>IF(C54="","",IF(L53="",100,L53*(1+C54)))</f>
        <v/>
      </c>
      <c r="M54" s="37">
        <f>IF(D54="","",IF(M53="",100,M53*(1+D54)))</f>
        <v/>
      </c>
      <c r="N54" s="37">
        <f>IF(E54="","",IF(N53="",100,N53*(1+E54)))</f>
        <v/>
      </c>
      <c r="O54" s="37">
        <f>IF(F54="","",IF(O53="",100,O53*(1+F54)))</f>
        <v/>
      </c>
      <c r="P54" s="37">
        <f>IF(G54="","",IF(P53="",100,P53*(1+G54)))</f>
        <v/>
      </c>
    </row>
    <row r="55">
      <c r="B55" s="32">
        <f>Rendements!B55</f>
        <v/>
      </c>
      <c r="C55" s="34">
        <f>IF(SUMPRODUCT(Paramètres!$D$15:$D$28*ISNUMBER(TRANSPOSE(Rendements!$C55:$P55)))=0,"",SUMPRODUCT(Paramètres!$D$15:$D$28*ISNUMBER(TRANSPOSE(Rendements!$C55:$P55))*N(+TRANSPOSE(Rendements!$C55:$P55)))/SUMPRODUCT(Paramètres!$D$15:$D$28*ISNUMBER(TRANSPOSE(Rendements!$C55:$P55))))</f>
        <v/>
      </c>
      <c r="D55" s="34">
        <f>IF(SUMPRODUCT(Paramètres!$E$15:$E$28*ISNUMBER(TRANSPOSE(Rendements!$C55:$P55)))=0,"",SUMPRODUCT(Paramètres!$E$15:$E$28*ISNUMBER(TRANSPOSE(Rendements!$C55:$P55))*N(+TRANSPOSE(Rendements!$C55:$P55)))/SUMPRODUCT(Paramètres!$E$15:$E$28*ISNUMBER(TRANSPOSE(Rendements!$C55:$P55))))</f>
        <v/>
      </c>
      <c r="E55" s="34">
        <f>IF(SUMPRODUCT(Paramètres!$F$15:$F$28*ISNUMBER(TRANSPOSE(Rendements!$C55:$P55)))=0,"",SUMPRODUCT(Paramètres!$F$15:$F$28*ISNUMBER(TRANSPOSE(Rendements!$C55:$P55))*N(+TRANSPOSE(Rendements!$C55:$P55)))/SUMPRODUCT(Paramètres!$F$15:$F$28*ISNUMBER(TRANSPOSE(Rendements!$C55:$P55))))</f>
        <v/>
      </c>
      <c r="F55" s="34">
        <f>IF(SUMPRODUCT(Paramètres!$G$15:$G$28*ISNUMBER(TRANSPOSE(Rendements!$C55:$P55)))=0,"",SUMPRODUCT(Paramètres!$G$15:$G$28*ISNUMBER(TRANSPOSE(Rendements!$C55:$P55))*N(+TRANSPOSE(Rendements!$C55:$P55)))/SUMPRODUCT(Paramètres!$G$15:$G$28*ISNUMBER(TRANSPOSE(Rendements!$C55:$P55))))</f>
        <v/>
      </c>
      <c r="G55" s="35">
        <f>IF(OR(C55="",D55="",E55="",F55=""),"",Wc_C1*C55+Wc_C2*D55+Wc_C3*E55+Wc_C4*F55)</f>
        <v/>
      </c>
      <c r="H55" s="36">
        <f>SUMPRODUCT(Paramètres!$D$15:$D$28*ISNUMBER(TRANSPOSE(Rendements!$C55:$P55)))</f>
        <v/>
      </c>
      <c r="I55" s="36">
        <f>SUMPRODUCT(Paramètres!$E$15:$E$28*ISNUMBER(TRANSPOSE(Rendements!$C55:$P55)))</f>
        <v/>
      </c>
      <c r="J55" s="36">
        <f>SUMPRODUCT(Paramètres!$F$15:$F$28*ISNUMBER(TRANSPOSE(Rendements!$C55:$P55)))</f>
        <v/>
      </c>
      <c r="K55" s="36">
        <f>SUMPRODUCT(Paramètres!$G$15:$G$28*ISNUMBER(TRANSPOSE(Rendements!$C55:$P55)))</f>
        <v/>
      </c>
      <c r="L55" s="37">
        <f>IF(C55="","",IF(L54="",100,L54*(1+C55)))</f>
        <v/>
      </c>
      <c r="M55" s="37">
        <f>IF(D55="","",IF(M54="",100,M54*(1+D55)))</f>
        <v/>
      </c>
      <c r="N55" s="37">
        <f>IF(E55="","",IF(N54="",100,N54*(1+E55)))</f>
        <v/>
      </c>
      <c r="O55" s="37">
        <f>IF(F55="","",IF(O54="",100,O54*(1+F55)))</f>
        <v/>
      </c>
      <c r="P55" s="37">
        <f>IF(G55="","",IF(P54="",100,P54*(1+G55)))</f>
        <v/>
      </c>
    </row>
    <row r="56">
      <c r="B56" s="32">
        <f>Rendements!B56</f>
        <v/>
      </c>
      <c r="C56" s="34">
        <f>IF(SUMPRODUCT(Paramètres!$D$15:$D$28*ISNUMBER(TRANSPOSE(Rendements!$C56:$P56)))=0,"",SUMPRODUCT(Paramètres!$D$15:$D$28*ISNUMBER(TRANSPOSE(Rendements!$C56:$P56))*N(+TRANSPOSE(Rendements!$C56:$P56)))/SUMPRODUCT(Paramètres!$D$15:$D$28*ISNUMBER(TRANSPOSE(Rendements!$C56:$P56))))</f>
        <v/>
      </c>
      <c r="D56" s="34">
        <f>IF(SUMPRODUCT(Paramètres!$E$15:$E$28*ISNUMBER(TRANSPOSE(Rendements!$C56:$P56)))=0,"",SUMPRODUCT(Paramètres!$E$15:$E$28*ISNUMBER(TRANSPOSE(Rendements!$C56:$P56))*N(+TRANSPOSE(Rendements!$C56:$P56)))/SUMPRODUCT(Paramètres!$E$15:$E$28*ISNUMBER(TRANSPOSE(Rendements!$C56:$P56))))</f>
        <v/>
      </c>
      <c r="E56" s="34">
        <f>IF(SUMPRODUCT(Paramètres!$F$15:$F$28*ISNUMBER(TRANSPOSE(Rendements!$C56:$P56)))=0,"",SUMPRODUCT(Paramètres!$F$15:$F$28*ISNUMBER(TRANSPOSE(Rendements!$C56:$P56))*N(+TRANSPOSE(Rendements!$C56:$P56)))/SUMPRODUCT(Paramètres!$F$15:$F$28*ISNUMBER(TRANSPOSE(Rendements!$C56:$P56))))</f>
        <v/>
      </c>
      <c r="F56" s="34">
        <f>IF(SUMPRODUCT(Paramètres!$G$15:$G$28*ISNUMBER(TRANSPOSE(Rendements!$C56:$P56)))=0,"",SUMPRODUCT(Paramètres!$G$15:$G$28*ISNUMBER(TRANSPOSE(Rendements!$C56:$P56))*N(+TRANSPOSE(Rendements!$C56:$P56)))/SUMPRODUCT(Paramètres!$G$15:$G$28*ISNUMBER(TRANSPOSE(Rendements!$C56:$P56))))</f>
        <v/>
      </c>
      <c r="G56" s="35">
        <f>IF(OR(C56="",D56="",E56="",F56=""),"",Wc_C1*C56+Wc_C2*D56+Wc_C3*E56+Wc_C4*F56)</f>
        <v/>
      </c>
      <c r="H56" s="36">
        <f>SUMPRODUCT(Paramètres!$D$15:$D$28*ISNUMBER(TRANSPOSE(Rendements!$C56:$P56)))</f>
        <v/>
      </c>
      <c r="I56" s="36">
        <f>SUMPRODUCT(Paramètres!$E$15:$E$28*ISNUMBER(TRANSPOSE(Rendements!$C56:$P56)))</f>
        <v/>
      </c>
      <c r="J56" s="36">
        <f>SUMPRODUCT(Paramètres!$F$15:$F$28*ISNUMBER(TRANSPOSE(Rendements!$C56:$P56)))</f>
        <v/>
      </c>
      <c r="K56" s="36">
        <f>SUMPRODUCT(Paramètres!$G$15:$G$28*ISNUMBER(TRANSPOSE(Rendements!$C56:$P56)))</f>
        <v/>
      </c>
      <c r="L56" s="37">
        <f>IF(C56="","",IF(L55="",100,L55*(1+C56)))</f>
        <v/>
      </c>
      <c r="M56" s="37">
        <f>IF(D56="","",IF(M55="",100,M55*(1+D56)))</f>
        <v/>
      </c>
      <c r="N56" s="37">
        <f>IF(E56="","",IF(N55="",100,N55*(1+E56)))</f>
        <v/>
      </c>
      <c r="O56" s="37">
        <f>IF(F56="","",IF(O55="",100,O55*(1+F56)))</f>
        <v/>
      </c>
      <c r="P56" s="37">
        <f>IF(G56="","",IF(P55="",100,P55*(1+G56)))</f>
        <v/>
      </c>
    </row>
    <row r="57">
      <c r="B57" s="32">
        <f>Rendements!B57</f>
        <v/>
      </c>
      <c r="C57" s="34">
        <f>IF(SUMPRODUCT(Paramètres!$D$15:$D$28*ISNUMBER(TRANSPOSE(Rendements!$C57:$P57)))=0,"",SUMPRODUCT(Paramètres!$D$15:$D$28*ISNUMBER(TRANSPOSE(Rendements!$C57:$P57))*N(+TRANSPOSE(Rendements!$C57:$P57)))/SUMPRODUCT(Paramètres!$D$15:$D$28*ISNUMBER(TRANSPOSE(Rendements!$C57:$P57))))</f>
        <v/>
      </c>
      <c r="D57" s="34">
        <f>IF(SUMPRODUCT(Paramètres!$E$15:$E$28*ISNUMBER(TRANSPOSE(Rendements!$C57:$P57)))=0,"",SUMPRODUCT(Paramètres!$E$15:$E$28*ISNUMBER(TRANSPOSE(Rendements!$C57:$P57))*N(+TRANSPOSE(Rendements!$C57:$P57)))/SUMPRODUCT(Paramètres!$E$15:$E$28*ISNUMBER(TRANSPOSE(Rendements!$C57:$P57))))</f>
        <v/>
      </c>
      <c r="E57" s="34">
        <f>IF(SUMPRODUCT(Paramètres!$F$15:$F$28*ISNUMBER(TRANSPOSE(Rendements!$C57:$P57)))=0,"",SUMPRODUCT(Paramètres!$F$15:$F$28*ISNUMBER(TRANSPOSE(Rendements!$C57:$P57))*N(+TRANSPOSE(Rendements!$C57:$P57)))/SUMPRODUCT(Paramètres!$F$15:$F$28*ISNUMBER(TRANSPOSE(Rendements!$C57:$P57))))</f>
        <v/>
      </c>
      <c r="F57" s="34">
        <f>IF(SUMPRODUCT(Paramètres!$G$15:$G$28*ISNUMBER(TRANSPOSE(Rendements!$C57:$P57)))=0,"",SUMPRODUCT(Paramètres!$G$15:$G$28*ISNUMBER(TRANSPOSE(Rendements!$C57:$P57))*N(+TRANSPOSE(Rendements!$C57:$P57)))/SUMPRODUCT(Paramètres!$G$15:$G$28*ISNUMBER(TRANSPOSE(Rendements!$C57:$P57))))</f>
        <v/>
      </c>
      <c r="G57" s="35">
        <f>IF(OR(C57="",D57="",E57="",F57=""),"",Wc_C1*C57+Wc_C2*D57+Wc_C3*E57+Wc_C4*F57)</f>
        <v/>
      </c>
      <c r="H57" s="36">
        <f>SUMPRODUCT(Paramètres!$D$15:$D$28*ISNUMBER(TRANSPOSE(Rendements!$C57:$P57)))</f>
        <v/>
      </c>
      <c r="I57" s="36">
        <f>SUMPRODUCT(Paramètres!$E$15:$E$28*ISNUMBER(TRANSPOSE(Rendements!$C57:$P57)))</f>
        <v/>
      </c>
      <c r="J57" s="36">
        <f>SUMPRODUCT(Paramètres!$F$15:$F$28*ISNUMBER(TRANSPOSE(Rendements!$C57:$P57)))</f>
        <v/>
      </c>
      <c r="K57" s="36">
        <f>SUMPRODUCT(Paramètres!$G$15:$G$28*ISNUMBER(TRANSPOSE(Rendements!$C57:$P57)))</f>
        <v/>
      </c>
      <c r="L57" s="37">
        <f>IF(C57="","",IF(L56="",100,L56*(1+C57)))</f>
        <v/>
      </c>
      <c r="M57" s="37">
        <f>IF(D57="","",IF(M56="",100,M56*(1+D57)))</f>
        <v/>
      </c>
      <c r="N57" s="37">
        <f>IF(E57="","",IF(N56="",100,N56*(1+E57)))</f>
        <v/>
      </c>
      <c r="O57" s="37">
        <f>IF(F57="","",IF(O56="",100,O56*(1+F57)))</f>
        <v/>
      </c>
      <c r="P57" s="37">
        <f>IF(G57="","",IF(P56="",100,P56*(1+G57)))</f>
        <v/>
      </c>
    </row>
    <row r="58">
      <c r="B58" s="32">
        <f>Rendements!B58</f>
        <v/>
      </c>
      <c r="C58" s="34">
        <f>IF(SUMPRODUCT(Paramètres!$D$15:$D$28*ISNUMBER(TRANSPOSE(Rendements!$C58:$P58)))=0,"",SUMPRODUCT(Paramètres!$D$15:$D$28*ISNUMBER(TRANSPOSE(Rendements!$C58:$P58))*N(+TRANSPOSE(Rendements!$C58:$P58)))/SUMPRODUCT(Paramètres!$D$15:$D$28*ISNUMBER(TRANSPOSE(Rendements!$C58:$P58))))</f>
        <v/>
      </c>
      <c r="D58" s="34">
        <f>IF(SUMPRODUCT(Paramètres!$E$15:$E$28*ISNUMBER(TRANSPOSE(Rendements!$C58:$P58)))=0,"",SUMPRODUCT(Paramètres!$E$15:$E$28*ISNUMBER(TRANSPOSE(Rendements!$C58:$P58))*N(+TRANSPOSE(Rendements!$C58:$P58)))/SUMPRODUCT(Paramètres!$E$15:$E$28*ISNUMBER(TRANSPOSE(Rendements!$C58:$P58))))</f>
        <v/>
      </c>
      <c r="E58" s="34">
        <f>IF(SUMPRODUCT(Paramètres!$F$15:$F$28*ISNUMBER(TRANSPOSE(Rendements!$C58:$P58)))=0,"",SUMPRODUCT(Paramètres!$F$15:$F$28*ISNUMBER(TRANSPOSE(Rendements!$C58:$P58))*N(+TRANSPOSE(Rendements!$C58:$P58)))/SUMPRODUCT(Paramètres!$F$15:$F$28*ISNUMBER(TRANSPOSE(Rendements!$C58:$P58))))</f>
        <v/>
      </c>
      <c r="F58" s="34">
        <f>IF(SUMPRODUCT(Paramètres!$G$15:$G$28*ISNUMBER(TRANSPOSE(Rendements!$C58:$P58)))=0,"",SUMPRODUCT(Paramètres!$G$15:$G$28*ISNUMBER(TRANSPOSE(Rendements!$C58:$P58))*N(+TRANSPOSE(Rendements!$C58:$P58)))/SUMPRODUCT(Paramètres!$G$15:$G$28*ISNUMBER(TRANSPOSE(Rendements!$C58:$P58))))</f>
        <v/>
      </c>
      <c r="G58" s="35">
        <f>IF(OR(C58="",D58="",E58="",F58=""),"",Wc_C1*C58+Wc_C2*D58+Wc_C3*E58+Wc_C4*F58)</f>
        <v/>
      </c>
      <c r="H58" s="36">
        <f>SUMPRODUCT(Paramètres!$D$15:$D$28*ISNUMBER(TRANSPOSE(Rendements!$C58:$P58)))</f>
        <v/>
      </c>
      <c r="I58" s="36">
        <f>SUMPRODUCT(Paramètres!$E$15:$E$28*ISNUMBER(TRANSPOSE(Rendements!$C58:$P58)))</f>
        <v/>
      </c>
      <c r="J58" s="36">
        <f>SUMPRODUCT(Paramètres!$F$15:$F$28*ISNUMBER(TRANSPOSE(Rendements!$C58:$P58)))</f>
        <v/>
      </c>
      <c r="K58" s="36">
        <f>SUMPRODUCT(Paramètres!$G$15:$G$28*ISNUMBER(TRANSPOSE(Rendements!$C58:$P58)))</f>
        <v/>
      </c>
      <c r="L58" s="37">
        <f>IF(C58="","",IF(L57="",100,L57*(1+C58)))</f>
        <v/>
      </c>
      <c r="M58" s="37">
        <f>IF(D58="","",IF(M57="",100,M57*(1+D58)))</f>
        <v/>
      </c>
      <c r="N58" s="37">
        <f>IF(E58="","",IF(N57="",100,N57*(1+E58)))</f>
        <v/>
      </c>
      <c r="O58" s="37">
        <f>IF(F58="","",IF(O57="",100,O57*(1+F58)))</f>
        <v/>
      </c>
      <c r="P58" s="37">
        <f>IF(G58="","",IF(P57="",100,P57*(1+G58)))</f>
        <v/>
      </c>
    </row>
    <row r="59">
      <c r="B59" s="32">
        <f>Rendements!B59</f>
        <v/>
      </c>
      <c r="C59" s="34">
        <f>IF(SUMPRODUCT(Paramètres!$D$15:$D$28*ISNUMBER(TRANSPOSE(Rendements!$C59:$P59)))=0,"",SUMPRODUCT(Paramètres!$D$15:$D$28*ISNUMBER(TRANSPOSE(Rendements!$C59:$P59))*N(+TRANSPOSE(Rendements!$C59:$P59)))/SUMPRODUCT(Paramètres!$D$15:$D$28*ISNUMBER(TRANSPOSE(Rendements!$C59:$P59))))</f>
        <v/>
      </c>
      <c r="D59" s="34">
        <f>IF(SUMPRODUCT(Paramètres!$E$15:$E$28*ISNUMBER(TRANSPOSE(Rendements!$C59:$P59)))=0,"",SUMPRODUCT(Paramètres!$E$15:$E$28*ISNUMBER(TRANSPOSE(Rendements!$C59:$P59))*N(+TRANSPOSE(Rendements!$C59:$P59)))/SUMPRODUCT(Paramètres!$E$15:$E$28*ISNUMBER(TRANSPOSE(Rendements!$C59:$P59))))</f>
        <v/>
      </c>
      <c r="E59" s="34">
        <f>IF(SUMPRODUCT(Paramètres!$F$15:$F$28*ISNUMBER(TRANSPOSE(Rendements!$C59:$P59)))=0,"",SUMPRODUCT(Paramètres!$F$15:$F$28*ISNUMBER(TRANSPOSE(Rendements!$C59:$P59))*N(+TRANSPOSE(Rendements!$C59:$P59)))/SUMPRODUCT(Paramètres!$F$15:$F$28*ISNUMBER(TRANSPOSE(Rendements!$C59:$P59))))</f>
        <v/>
      </c>
      <c r="F59" s="34">
        <f>IF(SUMPRODUCT(Paramètres!$G$15:$G$28*ISNUMBER(TRANSPOSE(Rendements!$C59:$P59)))=0,"",SUMPRODUCT(Paramètres!$G$15:$G$28*ISNUMBER(TRANSPOSE(Rendements!$C59:$P59))*N(+TRANSPOSE(Rendements!$C59:$P59)))/SUMPRODUCT(Paramètres!$G$15:$G$28*ISNUMBER(TRANSPOSE(Rendements!$C59:$P59))))</f>
        <v/>
      </c>
      <c r="G59" s="35">
        <f>IF(OR(C59="",D59="",E59="",F59=""),"",Wc_C1*C59+Wc_C2*D59+Wc_C3*E59+Wc_C4*F59)</f>
        <v/>
      </c>
      <c r="H59" s="36">
        <f>SUMPRODUCT(Paramètres!$D$15:$D$28*ISNUMBER(TRANSPOSE(Rendements!$C59:$P59)))</f>
        <v/>
      </c>
      <c r="I59" s="36">
        <f>SUMPRODUCT(Paramètres!$E$15:$E$28*ISNUMBER(TRANSPOSE(Rendements!$C59:$P59)))</f>
        <v/>
      </c>
      <c r="J59" s="36">
        <f>SUMPRODUCT(Paramètres!$F$15:$F$28*ISNUMBER(TRANSPOSE(Rendements!$C59:$P59)))</f>
        <v/>
      </c>
      <c r="K59" s="36">
        <f>SUMPRODUCT(Paramètres!$G$15:$G$28*ISNUMBER(TRANSPOSE(Rendements!$C59:$P59)))</f>
        <v/>
      </c>
      <c r="L59" s="37">
        <f>IF(C59="","",IF(L58="",100,L58*(1+C59)))</f>
        <v/>
      </c>
      <c r="M59" s="37">
        <f>IF(D59="","",IF(M58="",100,M58*(1+D59)))</f>
        <v/>
      </c>
      <c r="N59" s="37">
        <f>IF(E59="","",IF(N58="",100,N58*(1+E59)))</f>
        <v/>
      </c>
      <c r="O59" s="37">
        <f>IF(F59="","",IF(O58="",100,O58*(1+F59)))</f>
        <v/>
      </c>
      <c r="P59" s="37">
        <f>IF(G59="","",IF(P58="",100,P58*(1+G59)))</f>
        <v/>
      </c>
    </row>
    <row r="60">
      <c r="B60" s="32">
        <f>Rendements!B60</f>
        <v/>
      </c>
      <c r="C60" s="34">
        <f>IF(SUMPRODUCT(Paramètres!$D$15:$D$28*ISNUMBER(TRANSPOSE(Rendements!$C60:$P60)))=0,"",SUMPRODUCT(Paramètres!$D$15:$D$28*ISNUMBER(TRANSPOSE(Rendements!$C60:$P60))*N(+TRANSPOSE(Rendements!$C60:$P60)))/SUMPRODUCT(Paramètres!$D$15:$D$28*ISNUMBER(TRANSPOSE(Rendements!$C60:$P60))))</f>
        <v/>
      </c>
      <c r="D60" s="34">
        <f>IF(SUMPRODUCT(Paramètres!$E$15:$E$28*ISNUMBER(TRANSPOSE(Rendements!$C60:$P60)))=0,"",SUMPRODUCT(Paramètres!$E$15:$E$28*ISNUMBER(TRANSPOSE(Rendements!$C60:$P60))*N(+TRANSPOSE(Rendements!$C60:$P60)))/SUMPRODUCT(Paramètres!$E$15:$E$28*ISNUMBER(TRANSPOSE(Rendements!$C60:$P60))))</f>
        <v/>
      </c>
      <c r="E60" s="34">
        <f>IF(SUMPRODUCT(Paramètres!$F$15:$F$28*ISNUMBER(TRANSPOSE(Rendements!$C60:$P60)))=0,"",SUMPRODUCT(Paramètres!$F$15:$F$28*ISNUMBER(TRANSPOSE(Rendements!$C60:$P60))*N(+TRANSPOSE(Rendements!$C60:$P60)))/SUMPRODUCT(Paramètres!$F$15:$F$28*ISNUMBER(TRANSPOSE(Rendements!$C60:$P60))))</f>
        <v/>
      </c>
      <c r="F60" s="34">
        <f>IF(SUMPRODUCT(Paramètres!$G$15:$G$28*ISNUMBER(TRANSPOSE(Rendements!$C60:$P60)))=0,"",SUMPRODUCT(Paramètres!$G$15:$G$28*ISNUMBER(TRANSPOSE(Rendements!$C60:$P60))*N(+TRANSPOSE(Rendements!$C60:$P60)))/SUMPRODUCT(Paramètres!$G$15:$G$28*ISNUMBER(TRANSPOSE(Rendements!$C60:$P60))))</f>
        <v/>
      </c>
      <c r="G60" s="35">
        <f>IF(OR(C60="",D60="",E60="",F60=""),"",Wc_C1*C60+Wc_C2*D60+Wc_C3*E60+Wc_C4*F60)</f>
        <v/>
      </c>
      <c r="H60" s="36">
        <f>SUMPRODUCT(Paramètres!$D$15:$D$28*ISNUMBER(TRANSPOSE(Rendements!$C60:$P60)))</f>
        <v/>
      </c>
      <c r="I60" s="36">
        <f>SUMPRODUCT(Paramètres!$E$15:$E$28*ISNUMBER(TRANSPOSE(Rendements!$C60:$P60)))</f>
        <v/>
      </c>
      <c r="J60" s="36">
        <f>SUMPRODUCT(Paramètres!$F$15:$F$28*ISNUMBER(TRANSPOSE(Rendements!$C60:$P60)))</f>
        <v/>
      </c>
      <c r="K60" s="36">
        <f>SUMPRODUCT(Paramètres!$G$15:$G$28*ISNUMBER(TRANSPOSE(Rendements!$C60:$P60)))</f>
        <v/>
      </c>
      <c r="L60" s="37">
        <f>IF(C60="","",IF(L59="",100,L59*(1+C60)))</f>
        <v/>
      </c>
      <c r="M60" s="37">
        <f>IF(D60="","",IF(M59="",100,M59*(1+D60)))</f>
        <v/>
      </c>
      <c r="N60" s="37">
        <f>IF(E60="","",IF(N59="",100,N59*(1+E60)))</f>
        <v/>
      </c>
      <c r="O60" s="37">
        <f>IF(F60="","",IF(O59="",100,O59*(1+F60)))</f>
        <v/>
      </c>
      <c r="P60" s="37">
        <f>IF(G60="","",IF(P59="",100,P59*(1+G60)))</f>
        <v/>
      </c>
    </row>
    <row r="61">
      <c r="B61" s="32">
        <f>Rendements!B61</f>
        <v/>
      </c>
      <c r="C61" s="34">
        <f>IF(SUMPRODUCT(Paramètres!$D$15:$D$28*ISNUMBER(TRANSPOSE(Rendements!$C61:$P61)))=0,"",SUMPRODUCT(Paramètres!$D$15:$D$28*ISNUMBER(TRANSPOSE(Rendements!$C61:$P61))*N(+TRANSPOSE(Rendements!$C61:$P61)))/SUMPRODUCT(Paramètres!$D$15:$D$28*ISNUMBER(TRANSPOSE(Rendements!$C61:$P61))))</f>
        <v/>
      </c>
      <c r="D61" s="34">
        <f>IF(SUMPRODUCT(Paramètres!$E$15:$E$28*ISNUMBER(TRANSPOSE(Rendements!$C61:$P61)))=0,"",SUMPRODUCT(Paramètres!$E$15:$E$28*ISNUMBER(TRANSPOSE(Rendements!$C61:$P61))*N(+TRANSPOSE(Rendements!$C61:$P61)))/SUMPRODUCT(Paramètres!$E$15:$E$28*ISNUMBER(TRANSPOSE(Rendements!$C61:$P61))))</f>
        <v/>
      </c>
      <c r="E61" s="34">
        <f>IF(SUMPRODUCT(Paramètres!$F$15:$F$28*ISNUMBER(TRANSPOSE(Rendements!$C61:$P61)))=0,"",SUMPRODUCT(Paramètres!$F$15:$F$28*ISNUMBER(TRANSPOSE(Rendements!$C61:$P61))*N(+TRANSPOSE(Rendements!$C61:$P61)))/SUMPRODUCT(Paramètres!$F$15:$F$28*ISNUMBER(TRANSPOSE(Rendements!$C61:$P61))))</f>
        <v/>
      </c>
      <c r="F61" s="34">
        <f>IF(SUMPRODUCT(Paramètres!$G$15:$G$28*ISNUMBER(TRANSPOSE(Rendements!$C61:$P61)))=0,"",SUMPRODUCT(Paramètres!$G$15:$G$28*ISNUMBER(TRANSPOSE(Rendements!$C61:$P61))*N(+TRANSPOSE(Rendements!$C61:$P61)))/SUMPRODUCT(Paramètres!$G$15:$G$28*ISNUMBER(TRANSPOSE(Rendements!$C61:$P61))))</f>
        <v/>
      </c>
      <c r="G61" s="35">
        <f>IF(OR(C61="",D61="",E61="",F61=""),"",Wc_C1*C61+Wc_C2*D61+Wc_C3*E61+Wc_C4*F61)</f>
        <v/>
      </c>
      <c r="H61" s="36">
        <f>SUMPRODUCT(Paramètres!$D$15:$D$28*ISNUMBER(TRANSPOSE(Rendements!$C61:$P61)))</f>
        <v/>
      </c>
      <c r="I61" s="36">
        <f>SUMPRODUCT(Paramètres!$E$15:$E$28*ISNUMBER(TRANSPOSE(Rendements!$C61:$P61)))</f>
        <v/>
      </c>
      <c r="J61" s="36">
        <f>SUMPRODUCT(Paramètres!$F$15:$F$28*ISNUMBER(TRANSPOSE(Rendements!$C61:$P61)))</f>
        <v/>
      </c>
      <c r="K61" s="36">
        <f>SUMPRODUCT(Paramètres!$G$15:$G$28*ISNUMBER(TRANSPOSE(Rendements!$C61:$P61)))</f>
        <v/>
      </c>
      <c r="L61" s="37">
        <f>IF(C61="","",IF(L60="",100,L60*(1+C61)))</f>
        <v/>
      </c>
      <c r="M61" s="37">
        <f>IF(D61="","",IF(M60="",100,M60*(1+D61)))</f>
        <v/>
      </c>
      <c r="N61" s="37">
        <f>IF(E61="","",IF(N60="",100,N60*(1+E61)))</f>
        <v/>
      </c>
      <c r="O61" s="37">
        <f>IF(F61="","",IF(O60="",100,O60*(1+F61)))</f>
        <v/>
      </c>
      <c r="P61" s="37">
        <f>IF(G61="","",IF(P60="",100,P60*(1+G61)))</f>
        <v/>
      </c>
    </row>
    <row r="62">
      <c r="B62" s="32">
        <f>Rendements!B62</f>
        <v/>
      </c>
      <c r="C62" s="34">
        <f>IF(SUMPRODUCT(Paramètres!$D$15:$D$28*ISNUMBER(TRANSPOSE(Rendements!$C62:$P62)))=0,"",SUMPRODUCT(Paramètres!$D$15:$D$28*ISNUMBER(TRANSPOSE(Rendements!$C62:$P62))*N(+TRANSPOSE(Rendements!$C62:$P62)))/SUMPRODUCT(Paramètres!$D$15:$D$28*ISNUMBER(TRANSPOSE(Rendements!$C62:$P62))))</f>
        <v/>
      </c>
      <c r="D62" s="34">
        <f>IF(SUMPRODUCT(Paramètres!$E$15:$E$28*ISNUMBER(TRANSPOSE(Rendements!$C62:$P62)))=0,"",SUMPRODUCT(Paramètres!$E$15:$E$28*ISNUMBER(TRANSPOSE(Rendements!$C62:$P62))*N(+TRANSPOSE(Rendements!$C62:$P62)))/SUMPRODUCT(Paramètres!$E$15:$E$28*ISNUMBER(TRANSPOSE(Rendements!$C62:$P62))))</f>
        <v/>
      </c>
      <c r="E62" s="34">
        <f>IF(SUMPRODUCT(Paramètres!$F$15:$F$28*ISNUMBER(TRANSPOSE(Rendements!$C62:$P62)))=0,"",SUMPRODUCT(Paramètres!$F$15:$F$28*ISNUMBER(TRANSPOSE(Rendements!$C62:$P62))*N(+TRANSPOSE(Rendements!$C62:$P62)))/SUMPRODUCT(Paramètres!$F$15:$F$28*ISNUMBER(TRANSPOSE(Rendements!$C62:$P62))))</f>
        <v/>
      </c>
      <c r="F62" s="34">
        <f>IF(SUMPRODUCT(Paramètres!$G$15:$G$28*ISNUMBER(TRANSPOSE(Rendements!$C62:$P62)))=0,"",SUMPRODUCT(Paramètres!$G$15:$G$28*ISNUMBER(TRANSPOSE(Rendements!$C62:$P62))*N(+TRANSPOSE(Rendements!$C62:$P62)))/SUMPRODUCT(Paramètres!$G$15:$G$28*ISNUMBER(TRANSPOSE(Rendements!$C62:$P62))))</f>
        <v/>
      </c>
      <c r="G62" s="35">
        <f>IF(OR(C62="",D62="",E62="",F62=""),"",Wc_C1*C62+Wc_C2*D62+Wc_C3*E62+Wc_C4*F62)</f>
        <v/>
      </c>
      <c r="H62" s="36">
        <f>SUMPRODUCT(Paramètres!$D$15:$D$28*ISNUMBER(TRANSPOSE(Rendements!$C62:$P62)))</f>
        <v/>
      </c>
      <c r="I62" s="36">
        <f>SUMPRODUCT(Paramètres!$E$15:$E$28*ISNUMBER(TRANSPOSE(Rendements!$C62:$P62)))</f>
        <v/>
      </c>
      <c r="J62" s="36">
        <f>SUMPRODUCT(Paramètres!$F$15:$F$28*ISNUMBER(TRANSPOSE(Rendements!$C62:$P62)))</f>
        <v/>
      </c>
      <c r="K62" s="36">
        <f>SUMPRODUCT(Paramètres!$G$15:$G$28*ISNUMBER(TRANSPOSE(Rendements!$C62:$P62)))</f>
        <v/>
      </c>
      <c r="L62" s="37">
        <f>IF(C62="","",IF(L61="",100,L61*(1+C62)))</f>
        <v/>
      </c>
      <c r="M62" s="37">
        <f>IF(D62="","",IF(M61="",100,M61*(1+D62)))</f>
        <v/>
      </c>
      <c r="N62" s="37">
        <f>IF(E62="","",IF(N61="",100,N61*(1+E62)))</f>
        <v/>
      </c>
      <c r="O62" s="37">
        <f>IF(F62="","",IF(O61="",100,O61*(1+F62)))</f>
        <v/>
      </c>
      <c r="P62" s="37">
        <f>IF(G62="","",IF(P61="",100,P61*(1+G62)))</f>
        <v/>
      </c>
    </row>
    <row r="63">
      <c r="B63" s="32">
        <f>Rendements!B63</f>
        <v/>
      </c>
      <c r="C63" s="34">
        <f>IF(SUMPRODUCT(Paramètres!$D$15:$D$28*ISNUMBER(TRANSPOSE(Rendements!$C63:$P63)))=0,"",SUMPRODUCT(Paramètres!$D$15:$D$28*ISNUMBER(TRANSPOSE(Rendements!$C63:$P63))*N(+TRANSPOSE(Rendements!$C63:$P63)))/SUMPRODUCT(Paramètres!$D$15:$D$28*ISNUMBER(TRANSPOSE(Rendements!$C63:$P63))))</f>
        <v/>
      </c>
      <c r="D63" s="34">
        <f>IF(SUMPRODUCT(Paramètres!$E$15:$E$28*ISNUMBER(TRANSPOSE(Rendements!$C63:$P63)))=0,"",SUMPRODUCT(Paramètres!$E$15:$E$28*ISNUMBER(TRANSPOSE(Rendements!$C63:$P63))*N(+TRANSPOSE(Rendements!$C63:$P63)))/SUMPRODUCT(Paramètres!$E$15:$E$28*ISNUMBER(TRANSPOSE(Rendements!$C63:$P63))))</f>
        <v/>
      </c>
      <c r="E63" s="34">
        <f>IF(SUMPRODUCT(Paramètres!$F$15:$F$28*ISNUMBER(TRANSPOSE(Rendements!$C63:$P63)))=0,"",SUMPRODUCT(Paramètres!$F$15:$F$28*ISNUMBER(TRANSPOSE(Rendements!$C63:$P63))*N(+TRANSPOSE(Rendements!$C63:$P63)))/SUMPRODUCT(Paramètres!$F$15:$F$28*ISNUMBER(TRANSPOSE(Rendements!$C63:$P63))))</f>
        <v/>
      </c>
      <c r="F63" s="34">
        <f>IF(SUMPRODUCT(Paramètres!$G$15:$G$28*ISNUMBER(TRANSPOSE(Rendements!$C63:$P63)))=0,"",SUMPRODUCT(Paramètres!$G$15:$G$28*ISNUMBER(TRANSPOSE(Rendements!$C63:$P63))*N(+TRANSPOSE(Rendements!$C63:$P63)))/SUMPRODUCT(Paramètres!$G$15:$G$28*ISNUMBER(TRANSPOSE(Rendements!$C63:$P63))))</f>
        <v/>
      </c>
      <c r="G63" s="35">
        <f>IF(OR(C63="",D63="",E63="",F63=""),"",Wc_C1*C63+Wc_C2*D63+Wc_C3*E63+Wc_C4*F63)</f>
        <v/>
      </c>
      <c r="H63" s="36">
        <f>SUMPRODUCT(Paramètres!$D$15:$D$28*ISNUMBER(TRANSPOSE(Rendements!$C63:$P63)))</f>
        <v/>
      </c>
      <c r="I63" s="36">
        <f>SUMPRODUCT(Paramètres!$E$15:$E$28*ISNUMBER(TRANSPOSE(Rendements!$C63:$P63)))</f>
        <v/>
      </c>
      <c r="J63" s="36">
        <f>SUMPRODUCT(Paramètres!$F$15:$F$28*ISNUMBER(TRANSPOSE(Rendements!$C63:$P63)))</f>
        <v/>
      </c>
      <c r="K63" s="36">
        <f>SUMPRODUCT(Paramètres!$G$15:$G$28*ISNUMBER(TRANSPOSE(Rendements!$C63:$P63)))</f>
        <v/>
      </c>
      <c r="L63" s="37">
        <f>IF(C63="","",IF(L62="",100,L62*(1+C63)))</f>
        <v/>
      </c>
      <c r="M63" s="37">
        <f>IF(D63="","",IF(M62="",100,M62*(1+D63)))</f>
        <v/>
      </c>
      <c r="N63" s="37">
        <f>IF(E63="","",IF(N62="",100,N62*(1+E63)))</f>
        <v/>
      </c>
      <c r="O63" s="37">
        <f>IF(F63="","",IF(O62="",100,O62*(1+F63)))</f>
        <v/>
      </c>
      <c r="P63" s="37">
        <f>IF(G63="","",IF(P62="",100,P62*(1+G63)))</f>
        <v/>
      </c>
    </row>
    <row r="64">
      <c r="B64" s="32">
        <f>Rendements!B64</f>
        <v/>
      </c>
      <c r="C64" s="34">
        <f>IF(SUMPRODUCT(Paramètres!$D$15:$D$28*ISNUMBER(TRANSPOSE(Rendements!$C64:$P64)))=0,"",SUMPRODUCT(Paramètres!$D$15:$D$28*ISNUMBER(TRANSPOSE(Rendements!$C64:$P64))*N(+TRANSPOSE(Rendements!$C64:$P64)))/SUMPRODUCT(Paramètres!$D$15:$D$28*ISNUMBER(TRANSPOSE(Rendements!$C64:$P64))))</f>
        <v/>
      </c>
      <c r="D64" s="34">
        <f>IF(SUMPRODUCT(Paramètres!$E$15:$E$28*ISNUMBER(TRANSPOSE(Rendements!$C64:$P64)))=0,"",SUMPRODUCT(Paramètres!$E$15:$E$28*ISNUMBER(TRANSPOSE(Rendements!$C64:$P64))*N(+TRANSPOSE(Rendements!$C64:$P64)))/SUMPRODUCT(Paramètres!$E$15:$E$28*ISNUMBER(TRANSPOSE(Rendements!$C64:$P64))))</f>
        <v/>
      </c>
      <c r="E64" s="34">
        <f>IF(SUMPRODUCT(Paramètres!$F$15:$F$28*ISNUMBER(TRANSPOSE(Rendements!$C64:$P64)))=0,"",SUMPRODUCT(Paramètres!$F$15:$F$28*ISNUMBER(TRANSPOSE(Rendements!$C64:$P64))*N(+TRANSPOSE(Rendements!$C64:$P64)))/SUMPRODUCT(Paramètres!$F$15:$F$28*ISNUMBER(TRANSPOSE(Rendements!$C64:$P64))))</f>
        <v/>
      </c>
      <c r="F64" s="34">
        <f>IF(SUMPRODUCT(Paramètres!$G$15:$G$28*ISNUMBER(TRANSPOSE(Rendements!$C64:$P64)))=0,"",SUMPRODUCT(Paramètres!$G$15:$G$28*ISNUMBER(TRANSPOSE(Rendements!$C64:$P64))*N(+TRANSPOSE(Rendements!$C64:$P64)))/SUMPRODUCT(Paramètres!$G$15:$G$28*ISNUMBER(TRANSPOSE(Rendements!$C64:$P64))))</f>
        <v/>
      </c>
      <c r="G64" s="35">
        <f>IF(OR(C64="",D64="",E64="",F64=""),"",Wc_C1*C64+Wc_C2*D64+Wc_C3*E64+Wc_C4*F64)</f>
        <v/>
      </c>
      <c r="H64" s="36">
        <f>SUMPRODUCT(Paramètres!$D$15:$D$28*ISNUMBER(TRANSPOSE(Rendements!$C64:$P64)))</f>
        <v/>
      </c>
      <c r="I64" s="36">
        <f>SUMPRODUCT(Paramètres!$E$15:$E$28*ISNUMBER(TRANSPOSE(Rendements!$C64:$P64)))</f>
        <v/>
      </c>
      <c r="J64" s="36">
        <f>SUMPRODUCT(Paramètres!$F$15:$F$28*ISNUMBER(TRANSPOSE(Rendements!$C64:$P64)))</f>
        <v/>
      </c>
      <c r="K64" s="36">
        <f>SUMPRODUCT(Paramètres!$G$15:$G$28*ISNUMBER(TRANSPOSE(Rendements!$C64:$P64)))</f>
        <v/>
      </c>
      <c r="L64" s="37">
        <f>IF(C64="","",IF(L63="",100,L63*(1+C64)))</f>
        <v/>
      </c>
      <c r="M64" s="37">
        <f>IF(D64="","",IF(M63="",100,M63*(1+D64)))</f>
        <v/>
      </c>
      <c r="N64" s="37">
        <f>IF(E64="","",IF(N63="",100,N63*(1+E64)))</f>
        <v/>
      </c>
      <c r="O64" s="37">
        <f>IF(F64="","",IF(O63="",100,O63*(1+F64)))</f>
        <v/>
      </c>
      <c r="P64" s="37">
        <f>IF(G64="","",IF(P63="",100,P63*(1+G64)))</f>
        <v/>
      </c>
    </row>
    <row r="65">
      <c r="B65" s="32">
        <f>Rendements!B65</f>
        <v/>
      </c>
      <c r="C65" s="34">
        <f>IF(SUMPRODUCT(Paramètres!$D$15:$D$28*ISNUMBER(TRANSPOSE(Rendements!$C65:$P65)))=0,"",SUMPRODUCT(Paramètres!$D$15:$D$28*ISNUMBER(TRANSPOSE(Rendements!$C65:$P65))*N(+TRANSPOSE(Rendements!$C65:$P65)))/SUMPRODUCT(Paramètres!$D$15:$D$28*ISNUMBER(TRANSPOSE(Rendements!$C65:$P65))))</f>
        <v/>
      </c>
      <c r="D65" s="34">
        <f>IF(SUMPRODUCT(Paramètres!$E$15:$E$28*ISNUMBER(TRANSPOSE(Rendements!$C65:$P65)))=0,"",SUMPRODUCT(Paramètres!$E$15:$E$28*ISNUMBER(TRANSPOSE(Rendements!$C65:$P65))*N(+TRANSPOSE(Rendements!$C65:$P65)))/SUMPRODUCT(Paramètres!$E$15:$E$28*ISNUMBER(TRANSPOSE(Rendements!$C65:$P65))))</f>
        <v/>
      </c>
      <c r="E65" s="34">
        <f>IF(SUMPRODUCT(Paramètres!$F$15:$F$28*ISNUMBER(TRANSPOSE(Rendements!$C65:$P65)))=0,"",SUMPRODUCT(Paramètres!$F$15:$F$28*ISNUMBER(TRANSPOSE(Rendements!$C65:$P65))*N(+TRANSPOSE(Rendements!$C65:$P65)))/SUMPRODUCT(Paramètres!$F$15:$F$28*ISNUMBER(TRANSPOSE(Rendements!$C65:$P65))))</f>
        <v/>
      </c>
      <c r="F65" s="34">
        <f>IF(SUMPRODUCT(Paramètres!$G$15:$G$28*ISNUMBER(TRANSPOSE(Rendements!$C65:$P65)))=0,"",SUMPRODUCT(Paramètres!$G$15:$G$28*ISNUMBER(TRANSPOSE(Rendements!$C65:$P65))*N(+TRANSPOSE(Rendements!$C65:$P65)))/SUMPRODUCT(Paramètres!$G$15:$G$28*ISNUMBER(TRANSPOSE(Rendements!$C65:$P65))))</f>
        <v/>
      </c>
      <c r="G65" s="35">
        <f>IF(OR(C65="",D65="",E65="",F65=""),"",Wc_C1*C65+Wc_C2*D65+Wc_C3*E65+Wc_C4*F65)</f>
        <v/>
      </c>
      <c r="H65" s="36">
        <f>SUMPRODUCT(Paramètres!$D$15:$D$28*ISNUMBER(TRANSPOSE(Rendements!$C65:$P65)))</f>
        <v/>
      </c>
      <c r="I65" s="36">
        <f>SUMPRODUCT(Paramètres!$E$15:$E$28*ISNUMBER(TRANSPOSE(Rendements!$C65:$P65)))</f>
        <v/>
      </c>
      <c r="J65" s="36">
        <f>SUMPRODUCT(Paramètres!$F$15:$F$28*ISNUMBER(TRANSPOSE(Rendements!$C65:$P65)))</f>
        <v/>
      </c>
      <c r="K65" s="36">
        <f>SUMPRODUCT(Paramètres!$G$15:$G$28*ISNUMBER(TRANSPOSE(Rendements!$C65:$P65)))</f>
        <v/>
      </c>
      <c r="L65" s="37">
        <f>IF(C65="","",IF(L64="",100,L64*(1+C65)))</f>
        <v/>
      </c>
      <c r="M65" s="37">
        <f>IF(D65="","",IF(M64="",100,M64*(1+D65)))</f>
        <v/>
      </c>
      <c r="N65" s="37">
        <f>IF(E65="","",IF(N64="",100,N64*(1+E65)))</f>
        <v/>
      </c>
      <c r="O65" s="37">
        <f>IF(F65="","",IF(O64="",100,O64*(1+F65)))</f>
        <v/>
      </c>
      <c r="P65" s="37">
        <f>IF(G65="","",IF(P64="",100,P64*(1+G65)))</f>
        <v/>
      </c>
    </row>
    <row r="66">
      <c r="B66" s="32">
        <f>Rendements!B66</f>
        <v/>
      </c>
      <c r="C66" s="34">
        <f>IF(SUMPRODUCT(Paramètres!$D$15:$D$28*ISNUMBER(TRANSPOSE(Rendements!$C66:$P66)))=0,"",SUMPRODUCT(Paramètres!$D$15:$D$28*ISNUMBER(TRANSPOSE(Rendements!$C66:$P66))*N(+TRANSPOSE(Rendements!$C66:$P66)))/SUMPRODUCT(Paramètres!$D$15:$D$28*ISNUMBER(TRANSPOSE(Rendements!$C66:$P66))))</f>
        <v/>
      </c>
      <c r="D66" s="34">
        <f>IF(SUMPRODUCT(Paramètres!$E$15:$E$28*ISNUMBER(TRANSPOSE(Rendements!$C66:$P66)))=0,"",SUMPRODUCT(Paramètres!$E$15:$E$28*ISNUMBER(TRANSPOSE(Rendements!$C66:$P66))*N(+TRANSPOSE(Rendements!$C66:$P66)))/SUMPRODUCT(Paramètres!$E$15:$E$28*ISNUMBER(TRANSPOSE(Rendements!$C66:$P66))))</f>
        <v/>
      </c>
      <c r="E66" s="34">
        <f>IF(SUMPRODUCT(Paramètres!$F$15:$F$28*ISNUMBER(TRANSPOSE(Rendements!$C66:$P66)))=0,"",SUMPRODUCT(Paramètres!$F$15:$F$28*ISNUMBER(TRANSPOSE(Rendements!$C66:$P66))*N(+TRANSPOSE(Rendements!$C66:$P66)))/SUMPRODUCT(Paramètres!$F$15:$F$28*ISNUMBER(TRANSPOSE(Rendements!$C66:$P66))))</f>
        <v/>
      </c>
      <c r="F66" s="34">
        <f>IF(SUMPRODUCT(Paramètres!$G$15:$G$28*ISNUMBER(TRANSPOSE(Rendements!$C66:$P66)))=0,"",SUMPRODUCT(Paramètres!$G$15:$G$28*ISNUMBER(TRANSPOSE(Rendements!$C66:$P66))*N(+TRANSPOSE(Rendements!$C66:$P66)))/SUMPRODUCT(Paramètres!$G$15:$G$28*ISNUMBER(TRANSPOSE(Rendements!$C66:$P66))))</f>
        <v/>
      </c>
      <c r="G66" s="35">
        <f>IF(OR(C66="",D66="",E66="",F66=""),"",Wc_C1*C66+Wc_C2*D66+Wc_C3*E66+Wc_C4*F66)</f>
        <v/>
      </c>
      <c r="H66" s="36">
        <f>SUMPRODUCT(Paramètres!$D$15:$D$28*ISNUMBER(TRANSPOSE(Rendements!$C66:$P66)))</f>
        <v/>
      </c>
      <c r="I66" s="36">
        <f>SUMPRODUCT(Paramètres!$E$15:$E$28*ISNUMBER(TRANSPOSE(Rendements!$C66:$P66)))</f>
        <v/>
      </c>
      <c r="J66" s="36">
        <f>SUMPRODUCT(Paramètres!$F$15:$F$28*ISNUMBER(TRANSPOSE(Rendements!$C66:$P66)))</f>
        <v/>
      </c>
      <c r="K66" s="36">
        <f>SUMPRODUCT(Paramètres!$G$15:$G$28*ISNUMBER(TRANSPOSE(Rendements!$C66:$P66)))</f>
        <v/>
      </c>
      <c r="L66" s="37">
        <f>IF(C66="","",IF(L65="",100,L65*(1+C66)))</f>
        <v/>
      </c>
      <c r="M66" s="37">
        <f>IF(D66="","",IF(M65="",100,M65*(1+D66)))</f>
        <v/>
      </c>
      <c r="N66" s="37">
        <f>IF(E66="","",IF(N65="",100,N65*(1+E66)))</f>
        <v/>
      </c>
      <c r="O66" s="37">
        <f>IF(F66="","",IF(O65="",100,O65*(1+F66)))</f>
        <v/>
      </c>
      <c r="P66" s="37">
        <f>IF(G66="","",IF(P65="",100,P65*(1+G66)))</f>
        <v/>
      </c>
    </row>
    <row r="67">
      <c r="B67" s="32">
        <f>Rendements!B67</f>
        <v/>
      </c>
      <c r="C67" s="34">
        <f>IF(SUMPRODUCT(Paramètres!$D$15:$D$28*ISNUMBER(TRANSPOSE(Rendements!$C67:$P67)))=0,"",SUMPRODUCT(Paramètres!$D$15:$D$28*ISNUMBER(TRANSPOSE(Rendements!$C67:$P67))*N(+TRANSPOSE(Rendements!$C67:$P67)))/SUMPRODUCT(Paramètres!$D$15:$D$28*ISNUMBER(TRANSPOSE(Rendements!$C67:$P67))))</f>
        <v/>
      </c>
      <c r="D67" s="34">
        <f>IF(SUMPRODUCT(Paramètres!$E$15:$E$28*ISNUMBER(TRANSPOSE(Rendements!$C67:$P67)))=0,"",SUMPRODUCT(Paramètres!$E$15:$E$28*ISNUMBER(TRANSPOSE(Rendements!$C67:$P67))*N(+TRANSPOSE(Rendements!$C67:$P67)))/SUMPRODUCT(Paramètres!$E$15:$E$28*ISNUMBER(TRANSPOSE(Rendements!$C67:$P67))))</f>
        <v/>
      </c>
      <c r="E67" s="34">
        <f>IF(SUMPRODUCT(Paramètres!$F$15:$F$28*ISNUMBER(TRANSPOSE(Rendements!$C67:$P67)))=0,"",SUMPRODUCT(Paramètres!$F$15:$F$28*ISNUMBER(TRANSPOSE(Rendements!$C67:$P67))*N(+TRANSPOSE(Rendements!$C67:$P67)))/SUMPRODUCT(Paramètres!$F$15:$F$28*ISNUMBER(TRANSPOSE(Rendements!$C67:$P67))))</f>
        <v/>
      </c>
      <c r="F67" s="34">
        <f>IF(SUMPRODUCT(Paramètres!$G$15:$G$28*ISNUMBER(TRANSPOSE(Rendements!$C67:$P67)))=0,"",SUMPRODUCT(Paramètres!$G$15:$G$28*ISNUMBER(TRANSPOSE(Rendements!$C67:$P67))*N(+TRANSPOSE(Rendements!$C67:$P67)))/SUMPRODUCT(Paramètres!$G$15:$G$28*ISNUMBER(TRANSPOSE(Rendements!$C67:$P67))))</f>
        <v/>
      </c>
      <c r="G67" s="35">
        <f>IF(OR(C67="",D67="",E67="",F67=""),"",Wc_C1*C67+Wc_C2*D67+Wc_C3*E67+Wc_C4*F67)</f>
        <v/>
      </c>
      <c r="H67" s="36">
        <f>SUMPRODUCT(Paramètres!$D$15:$D$28*ISNUMBER(TRANSPOSE(Rendements!$C67:$P67)))</f>
        <v/>
      </c>
      <c r="I67" s="36">
        <f>SUMPRODUCT(Paramètres!$E$15:$E$28*ISNUMBER(TRANSPOSE(Rendements!$C67:$P67)))</f>
        <v/>
      </c>
      <c r="J67" s="36">
        <f>SUMPRODUCT(Paramètres!$F$15:$F$28*ISNUMBER(TRANSPOSE(Rendements!$C67:$P67)))</f>
        <v/>
      </c>
      <c r="K67" s="36">
        <f>SUMPRODUCT(Paramètres!$G$15:$G$28*ISNUMBER(TRANSPOSE(Rendements!$C67:$P67)))</f>
        <v/>
      </c>
      <c r="L67" s="37">
        <f>IF(C67="","",IF(L66="",100,L66*(1+C67)))</f>
        <v/>
      </c>
      <c r="M67" s="37">
        <f>IF(D67="","",IF(M66="",100,M66*(1+D67)))</f>
        <v/>
      </c>
      <c r="N67" s="37">
        <f>IF(E67="","",IF(N66="",100,N66*(1+E67)))</f>
        <v/>
      </c>
      <c r="O67" s="37">
        <f>IF(F67="","",IF(O66="",100,O66*(1+F67)))</f>
        <v/>
      </c>
      <c r="P67" s="37">
        <f>IF(G67="","",IF(P66="",100,P66*(1+G67)))</f>
        <v/>
      </c>
    </row>
    <row r="68">
      <c r="B68" s="32">
        <f>Rendements!B68</f>
        <v/>
      </c>
      <c r="C68" s="34">
        <f>IF(SUMPRODUCT(Paramètres!$D$15:$D$28*ISNUMBER(TRANSPOSE(Rendements!$C68:$P68)))=0,"",SUMPRODUCT(Paramètres!$D$15:$D$28*ISNUMBER(TRANSPOSE(Rendements!$C68:$P68))*N(+TRANSPOSE(Rendements!$C68:$P68)))/SUMPRODUCT(Paramètres!$D$15:$D$28*ISNUMBER(TRANSPOSE(Rendements!$C68:$P68))))</f>
        <v/>
      </c>
      <c r="D68" s="34">
        <f>IF(SUMPRODUCT(Paramètres!$E$15:$E$28*ISNUMBER(TRANSPOSE(Rendements!$C68:$P68)))=0,"",SUMPRODUCT(Paramètres!$E$15:$E$28*ISNUMBER(TRANSPOSE(Rendements!$C68:$P68))*N(+TRANSPOSE(Rendements!$C68:$P68)))/SUMPRODUCT(Paramètres!$E$15:$E$28*ISNUMBER(TRANSPOSE(Rendements!$C68:$P68))))</f>
        <v/>
      </c>
      <c r="E68" s="34">
        <f>IF(SUMPRODUCT(Paramètres!$F$15:$F$28*ISNUMBER(TRANSPOSE(Rendements!$C68:$P68)))=0,"",SUMPRODUCT(Paramètres!$F$15:$F$28*ISNUMBER(TRANSPOSE(Rendements!$C68:$P68))*N(+TRANSPOSE(Rendements!$C68:$P68)))/SUMPRODUCT(Paramètres!$F$15:$F$28*ISNUMBER(TRANSPOSE(Rendements!$C68:$P68))))</f>
        <v/>
      </c>
      <c r="F68" s="34">
        <f>IF(SUMPRODUCT(Paramètres!$G$15:$G$28*ISNUMBER(TRANSPOSE(Rendements!$C68:$P68)))=0,"",SUMPRODUCT(Paramètres!$G$15:$G$28*ISNUMBER(TRANSPOSE(Rendements!$C68:$P68))*N(+TRANSPOSE(Rendements!$C68:$P68)))/SUMPRODUCT(Paramètres!$G$15:$G$28*ISNUMBER(TRANSPOSE(Rendements!$C68:$P68))))</f>
        <v/>
      </c>
      <c r="G68" s="35">
        <f>IF(OR(C68="",D68="",E68="",F68=""),"",Wc_C1*C68+Wc_C2*D68+Wc_C3*E68+Wc_C4*F68)</f>
        <v/>
      </c>
      <c r="H68" s="36">
        <f>SUMPRODUCT(Paramètres!$D$15:$D$28*ISNUMBER(TRANSPOSE(Rendements!$C68:$P68)))</f>
        <v/>
      </c>
      <c r="I68" s="36">
        <f>SUMPRODUCT(Paramètres!$E$15:$E$28*ISNUMBER(TRANSPOSE(Rendements!$C68:$P68)))</f>
        <v/>
      </c>
      <c r="J68" s="36">
        <f>SUMPRODUCT(Paramètres!$F$15:$F$28*ISNUMBER(TRANSPOSE(Rendements!$C68:$P68)))</f>
        <v/>
      </c>
      <c r="K68" s="36">
        <f>SUMPRODUCT(Paramètres!$G$15:$G$28*ISNUMBER(TRANSPOSE(Rendements!$C68:$P68)))</f>
        <v/>
      </c>
      <c r="L68" s="37">
        <f>IF(C68="","",IF(L67="",100,L67*(1+C68)))</f>
        <v/>
      </c>
      <c r="M68" s="37">
        <f>IF(D68="","",IF(M67="",100,M67*(1+D68)))</f>
        <v/>
      </c>
      <c r="N68" s="37">
        <f>IF(E68="","",IF(N67="",100,N67*(1+E68)))</f>
        <v/>
      </c>
      <c r="O68" s="37">
        <f>IF(F68="","",IF(O67="",100,O67*(1+F68)))</f>
        <v/>
      </c>
      <c r="P68" s="37">
        <f>IF(G68="","",IF(P67="",100,P67*(1+G68)))</f>
        <v/>
      </c>
    </row>
    <row r="69">
      <c r="B69" s="32">
        <f>Rendements!B69</f>
        <v/>
      </c>
      <c r="C69" s="34">
        <f>IF(SUMPRODUCT(Paramètres!$D$15:$D$28*ISNUMBER(TRANSPOSE(Rendements!$C69:$P69)))=0,"",SUMPRODUCT(Paramètres!$D$15:$D$28*ISNUMBER(TRANSPOSE(Rendements!$C69:$P69))*N(+TRANSPOSE(Rendements!$C69:$P69)))/SUMPRODUCT(Paramètres!$D$15:$D$28*ISNUMBER(TRANSPOSE(Rendements!$C69:$P69))))</f>
        <v/>
      </c>
      <c r="D69" s="34">
        <f>IF(SUMPRODUCT(Paramètres!$E$15:$E$28*ISNUMBER(TRANSPOSE(Rendements!$C69:$P69)))=0,"",SUMPRODUCT(Paramètres!$E$15:$E$28*ISNUMBER(TRANSPOSE(Rendements!$C69:$P69))*N(+TRANSPOSE(Rendements!$C69:$P69)))/SUMPRODUCT(Paramètres!$E$15:$E$28*ISNUMBER(TRANSPOSE(Rendements!$C69:$P69))))</f>
        <v/>
      </c>
      <c r="E69" s="34">
        <f>IF(SUMPRODUCT(Paramètres!$F$15:$F$28*ISNUMBER(TRANSPOSE(Rendements!$C69:$P69)))=0,"",SUMPRODUCT(Paramètres!$F$15:$F$28*ISNUMBER(TRANSPOSE(Rendements!$C69:$P69))*N(+TRANSPOSE(Rendements!$C69:$P69)))/SUMPRODUCT(Paramètres!$F$15:$F$28*ISNUMBER(TRANSPOSE(Rendements!$C69:$P69))))</f>
        <v/>
      </c>
      <c r="F69" s="34">
        <f>IF(SUMPRODUCT(Paramètres!$G$15:$G$28*ISNUMBER(TRANSPOSE(Rendements!$C69:$P69)))=0,"",SUMPRODUCT(Paramètres!$G$15:$G$28*ISNUMBER(TRANSPOSE(Rendements!$C69:$P69))*N(+TRANSPOSE(Rendements!$C69:$P69)))/SUMPRODUCT(Paramètres!$G$15:$G$28*ISNUMBER(TRANSPOSE(Rendements!$C69:$P69))))</f>
        <v/>
      </c>
      <c r="G69" s="35">
        <f>IF(OR(C69="",D69="",E69="",F69=""),"",Wc_C1*C69+Wc_C2*D69+Wc_C3*E69+Wc_C4*F69)</f>
        <v/>
      </c>
      <c r="H69" s="36">
        <f>SUMPRODUCT(Paramètres!$D$15:$D$28*ISNUMBER(TRANSPOSE(Rendements!$C69:$P69)))</f>
        <v/>
      </c>
      <c r="I69" s="36">
        <f>SUMPRODUCT(Paramètres!$E$15:$E$28*ISNUMBER(TRANSPOSE(Rendements!$C69:$P69)))</f>
        <v/>
      </c>
      <c r="J69" s="36">
        <f>SUMPRODUCT(Paramètres!$F$15:$F$28*ISNUMBER(TRANSPOSE(Rendements!$C69:$P69)))</f>
        <v/>
      </c>
      <c r="K69" s="36">
        <f>SUMPRODUCT(Paramètres!$G$15:$G$28*ISNUMBER(TRANSPOSE(Rendements!$C69:$P69)))</f>
        <v/>
      </c>
      <c r="L69" s="37">
        <f>IF(C69="","",IF(L68="",100,L68*(1+C69)))</f>
        <v/>
      </c>
      <c r="M69" s="37">
        <f>IF(D69="","",IF(M68="",100,M68*(1+D69)))</f>
        <v/>
      </c>
      <c r="N69" s="37">
        <f>IF(E69="","",IF(N68="",100,N68*(1+E69)))</f>
        <v/>
      </c>
      <c r="O69" s="37">
        <f>IF(F69="","",IF(O68="",100,O68*(1+F69)))</f>
        <v/>
      </c>
      <c r="P69" s="37">
        <f>IF(G69="","",IF(P68="",100,P68*(1+G69)))</f>
        <v/>
      </c>
    </row>
    <row r="70">
      <c r="B70" s="32">
        <f>Rendements!B70</f>
        <v/>
      </c>
      <c r="C70" s="34">
        <f>IF(SUMPRODUCT(Paramètres!$D$15:$D$28*ISNUMBER(TRANSPOSE(Rendements!$C70:$P70)))=0,"",SUMPRODUCT(Paramètres!$D$15:$D$28*ISNUMBER(TRANSPOSE(Rendements!$C70:$P70))*N(+TRANSPOSE(Rendements!$C70:$P70)))/SUMPRODUCT(Paramètres!$D$15:$D$28*ISNUMBER(TRANSPOSE(Rendements!$C70:$P70))))</f>
        <v/>
      </c>
      <c r="D70" s="34">
        <f>IF(SUMPRODUCT(Paramètres!$E$15:$E$28*ISNUMBER(TRANSPOSE(Rendements!$C70:$P70)))=0,"",SUMPRODUCT(Paramètres!$E$15:$E$28*ISNUMBER(TRANSPOSE(Rendements!$C70:$P70))*N(+TRANSPOSE(Rendements!$C70:$P70)))/SUMPRODUCT(Paramètres!$E$15:$E$28*ISNUMBER(TRANSPOSE(Rendements!$C70:$P70))))</f>
        <v/>
      </c>
      <c r="E70" s="34">
        <f>IF(SUMPRODUCT(Paramètres!$F$15:$F$28*ISNUMBER(TRANSPOSE(Rendements!$C70:$P70)))=0,"",SUMPRODUCT(Paramètres!$F$15:$F$28*ISNUMBER(TRANSPOSE(Rendements!$C70:$P70))*N(+TRANSPOSE(Rendements!$C70:$P70)))/SUMPRODUCT(Paramètres!$F$15:$F$28*ISNUMBER(TRANSPOSE(Rendements!$C70:$P70))))</f>
        <v/>
      </c>
      <c r="F70" s="34">
        <f>IF(SUMPRODUCT(Paramètres!$G$15:$G$28*ISNUMBER(TRANSPOSE(Rendements!$C70:$P70)))=0,"",SUMPRODUCT(Paramètres!$G$15:$G$28*ISNUMBER(TRANSPOSE(Rendements!$C70:$P70))*N(+TRANSPOSE(Rendements!$C70:$P70)))/SUMPRODUCT(Paramètres!$G$15:$G$28*ISNUMBER(TRANSPOSE(Rendements!$C70:$P70))))</f>
        <v/>
      </c>
      <c r="G70" s="35">
        <f>IF(OR(C70="",D70="",E70="",F70=""),"",Wc_C1*C70+Wc_C2*D70+Wc_C3*E70+Wc_C4*F70)</f>
        <v/>
      </c>
      <c r="H70" s="36">
        <f>SUMPRODUCT(Paramètres!$D$15:$D$28*ISNUMBER(TRANSPOSE(Rendements!$C70:$P70)))</f>
        <v/>
      </c>
      <c r="I70" s="36">
        <f>SUMPRODUCT(Paramètres!$E$15:$E$28*ISNUMBER(TRANSPOSE(Rendements!$C70:$P70)))</f>
        <v/>
      </c>
      <c r="J70" s="36">
        <f>SUMPRODUCT(Paramètres!$F$15:$F$28*ISNUMBER(TRANSPOSE(Rendements!$C70:$P70)))</f>
        <v/>
      </c>
      <c r="K70" s="36">
        <f>SUMPRODUCT(Paramètres!$G$15:$G$28*ISNUMBER(TRANSPOSE(Rendements!$C70:$P70)))</f>
        <v/>
      </c>
      <c r="L70" s="37">
        <f>IF(C70="","",IF(L69="",100,L69*(1+C70)))</f>
        <v/>
      </c>
      <c r="M70" s="37">
        <f>IF(D70="","",IF(M69="",100,M69*(1+D70)))</f>
        <v/>
      </c>
      <c r="N70" s="37">
        <f>IF(E70="","",IF(N69="",100,N69*(1+E70)))</f>
        <v/>
      </c>
      <c r="O70" s="37">
        <f>IF(F70="","",IF(O69="",100,O69*(1+F70)))</f>
        <v/>
      </c>
      <c r="P70" s="37">
        <f>IF(G70="","",IF(P69="",100,P69*(1+G70)))</f>
        <v/>
      </c>
    </row>
    <row r="71">
      <c r="B71" s="32">
        <f>Rendements!B71</f>
        <v/>
      </c>
      <c r="C71" s="34">
        <f>IF(SUMPRODUCT(Paramètres!$D$15:$D$28*ISNUMBER(TRANSPOSE(Rendements!$C71:$P71)))=0,"",SUMPRODUCT(Paramètres!$D$15:$D$28*ISNUMBER(TRANSPOSE(Rendements!$C71:$P71))*N(+TRANSPOSE(Rendements!$C71:$P71)))/SUMPRODUCT(Paramètres!$D$15:$D$28*ISNUMBER(TRANSPOSE(Rendements!$C71:$P71))))</f>
        <v/>
      </c>
      <c r="D71" s="34">
        <f>IF(SUMPRODUCT(Paramètres!$E$15:$E$28*ISNUMBER(TRANSPOSE(Rendements!$C71:$P71)))=0,"",SUMPRODUCT(Paramètres!$E$15:$E$28*ISNUMBER(TRANSPOSE(Rendements!$C71:$P71))*N(+TRANSPOSE(Rendements!$C71:$P71)))/SUMPRODUCT(Paramètres!$E$15:$E$28*ISNUMBER(TRANSPOSE(Rendements!$C71:$P71))))</f>
        <v/>
      </c>
      <c r="E71" s="34">
        <f>IF(SUMPRODUCT(Paramètres!$F$15:$F$28*ISNUMBER(TRANSPOSE(Rendements!$C71:$P71)))=0,"",SUMPRODUCT(Paramètres!$F$15:$F$28*ISNUMBER(TRANSPOSE(Rendements!$C71:$P71))*N(+TRANSPOSE(Rendements!$C71:$P71)))/SUMPRODUCT(Paramètres!$F$15:$F$28*ISNUMBER(TRANSPOSE(Rendements!$C71:$P71))))</f>
        <v/>
      </c>
      <c r="F71" s="34">
        <f>IF(SUMPRODUCT(Paramètres!$G$15:$G$28*ISNUMBER(TRANSPOSE(Rendements!$C71:$P71)))=0,"",SUMPRODUCT(Paramètres!$G$15:$G$28*ISNUMBER(TRANSPOSE(Rendements!$C71:$P71))*N(+TRANSPOSE(Rendements!$C71:$P71)))/SUMPRODUCT(Paramètres!$G$15:$G$28*ISNUMBER(TRANSPOSE(Rendements!$C71:$P71))))</f>
        <v/>
      </c>
      <c r="G71" s="35">
        <f>IF(OR(C71="",D71="",E71="",F71=""),"",Wc_C1*C71+Wc_C2*D71+Wc_C3*E71+Wc_C4*F71)</f>
        <v/>
      </c>
      <c r="H71" s="36">
        <f>SUMPRODUCT(Paramètres!$D$15:$D$28*ISNUMBER(TRANSPOSE(Rendements!$C71:$P71)))</f>
        <v/>
      </c>
      <c r="I71" s="36">
        <f>SUMPRODUCT(Paramètres!$E$15:$E$28*ISNUMBER(TRANSPOSE(Rendements!$C71:$P71)))</f>
        <v/>
      </c>
      <c r="J71" s="36">
        <f>SUMPRODUCT(Paramètres!$F$15:$F$28*ISNUMBER(TRANSPOSE(Rendements!$C71:$P71)))</f>
        <v/>
      </c>
      <c r="K71" s="36">
        <f>SUMPRODUCT(Paramètres!$G$15:$G$28*ISNUMBER(TRANSPOSE(Rendements!$C71:$P71)))</f>
        <v/>
      </c>
      <c r="L71" s="37">
        <f>IF(C71="","",IF(L70="",100,L70*(1+C71)))</f>
        <v/>
      </c>
      <c r="M71" s="37">
        <f>IF(D71="","",IF(M70="",100,M70*(1+D71)))</f>
        <v/>
      </c>
      <c r="N71" s="37">
        <f>IF(E71="","",IF(N70="",100,N70*(1+E71)))</f>
        <v/>
      </c>
      <c r="O71" s="37">
        <f>IF(F71="","",IF(O70="",100,O70*(1+F71)))</f>
        <v/>
      </c>
      <c r="P71" s="37">
        <f>IF(G71="","",IF(P70="",100,P70*(1+G71)))</f>
        <v/>
      </c>
    </row>
    <row r="72">
      <c r="B72" s="32">
        <f>Rendements!B72</f>
        <v/>
      </c>
      <c r="C72" s="34">
        <f>IF(SUMPRODUCT(Paramètres!$D$15:$D$28*ISNUMBER(TRANSPOSE(Rendements!$C72:$P72)))=0,"",SUMPRODUCT(Paramètres!$D$15:$D$28*ISNUMBER(TRANSPOSE(Rendements!$C72:$P72))*N(+TRANSPOSE(Rendements!$C72:$P72)))/SUMPRODUCT(Paramètres!$D$15:$D$28*ISNUMBER(TRANSPOSE(Rendements!$C72:$P72))))</f>
        <v/>
      </c>
      <c r="D72" s="34">
        <f>IF(SUMPRODUCT(Paramètres!$E$15:$E$28*ISNUMBER(TRANSPOSE(Rendements!$C72:$P72)))=0,"",SUMPRODUCT(Paramètres!$E$15:$E$28*ISNUMBER(TRANSPOSE(Rendements!$C72:$P72))*N(+TRANSPOSE(Rendements!$C72:$P72)))/SUMPRODUCT(Paramètres!$E$15:$E$28*ISNUMBER(TRANSPOSE(Rendements!$C72:$P72))))</f>
        <v/>
      </c>
      <c r="E72" s="34">
        <f>IF(SUMPRODUCT(Paramètres!$F$15:$F$28*ISNUMBER(TRANSPOSE(Rendements!$C72:$P72)))=0,"",SUMPRODUCT(Paramètres!$F$15:$F$28*ISNUMBER(TRANSPOSE(Rendements!$C72:$P72))*N(+TRANSPOSE(Rendements!$C72:$P72)))/SUMPRODUCT(Paramètres!$F$15:$F$28*ISNUMBER(TRANSPOSE(Rendements!$C72:$P72))))</f>
        <v/>
      </c>
      <c r="F72" s="34">
        <f>IF(SUMPRODUCT(Paramètres!$G$15:$G$28*ISNUMBER(TRANSPOSE(Rendements!$C72:$P72)))=0,"",SUMPRODUCT(Paramètres!$G$15:$G$28*ISNUMBER(TRANSPOSE(Rendements!$C72:$P72))*N(+TRANSPOSE(Rendements!$C72:$P72)))/SUMPRODUCT(Paramètres!$G$15:$G$28*ISNUMBER(TRANSPOSE(Rendements!$C72:$P72))))</f>
        <v/>
      </c>
      <c r="G72" s="35">
        <f>IF(OR(C72="",D72="",E72="",F72=""),"",Wc_C1*C72+Wc_C2*D72+Wc_C3*E72+Wc_C4*F72)</f>
        <v/>
      </c>
      <c r="H72" s="36">
        <f>SUMPRODUCT(Paramètres!$D$15:$D$28*ISNUMBER(TRANSPOSE(Rendements!$C72:$P72)))</f>
        <v/>
      </c>
      <c r="I72" s="36">
        <f>SUMPRODUCT(Paramètres!$E$15:$E$28*ISNUMBER(TRANSPOSE(Rendements!$C72:$P72)))</f>
        <v/>
      </c>
      <c r="J72" s="36">
        <f>SUMPRODUCT(Paramètres!$F$15:$F$28*ISNUMBER(TRANSPOSE(Rendements!$C72:$P72)))</f>
        <v/>
      </c>
      <c r="K72" s="36">
        <f>SUMPRODUCT(Paramètres!$G$15:$G$28*ISNUMBER(TRANSPOSE(Rendements!$C72:$P72)))</f>
        <v/>
      </c>
      <c r="L72" s="37">
        <f>IF(C72="","",IF(L71="",100,L71*(1+C72)))</f>
        <v/>
      </c>
      <c r="M72" s="37">
        <f>IF(D72="","",IF(M71="",100,M71*(1+D72)))</f>
        <v/>
      </c>
      <c r="N72" s="37">
        <f>IF(E72="","",IF(N71="",100,N71*(1+E72)))</f>
        <v/>
      </c>
      <c r="O72" s="37">
        <f>IF(F72="","",IF(O71="",100,O71*(1+F72)))</f>
        <v/>
      </c>
      <c r="P72" s="37">
        <f>IF(G72="","",IF(P71="",100,P71*(1+G72)))</f>
        <v/>
      </c>
    </row>
    <row r="73">
      <c r="B73" s="32">
        <f>Rendements!B73</f>
        <v/>
      </c>
      <c r="C73" s="34">
        <f>IF(SUMPRODUCT(Paramètres!$D$15:$D$28*ISNUMBER(TRANSPOSE(Rendements!$C73:$P73)))=0,"",SUMPRODUCT(Paramètres!$D$15:$D$28*ISNUMBER(TRANSPOSE(Rendements!$C73:$P73))*N(+TRANSPOSE(Rendements!$C73:$P73)))/SUMPRODUCT(Paramètres!$D$15:$D$28*ISNUMBER(TRANSPOSE(Rendements!$C73:$P73))))</f>
        <v/>
      </c>
      <c r="D73" s="34">
        <f>IF(SUMPRODUCT(Paramètres!$E$15:$E$28*ISNUMBER(TRANSPOSE(Rendements!$C73:$P73)))=0,"",SUMPRODUCT(Paramètres!$E$15:$E$28*ISNUMBER(TRANSPOSE(Rendements!$C73:$P73))*N(+TRANSPOSE(Rendements!$C73:$P73)))/SUMPRODUCT(Paramètres!$E$15:$E$28*ISNUMBER(TRANSPOSE(Rendements!$C73:$P73))))</f>
        <v/>
      </c>
      <c r="E73" s="34">
        <f>IF(SUMPRODUCT(Paramètres!$F$15:$F$28*ISNUMBER(TRANSPOSE(Rendements!$C73:$P73)))=0,"",SUMPRODUCT(Paramètres!$F$15:$F$28*ISNUMBER(TRANSPOSE(Rendements!$C73:$P73))*N(+TRANSPOSE(Rendements!$C73:$P73)))/SUMPRODUCT(Paramètres!$F$15:$F$28*ISNUMBER(TRANSPOSE(Rendements!$C73:$P73))))</f>
        <v/>
      </c>
      <c r="F73" s="34">
        <f>IF(SUMPRODUCT(Paramètres!$G$15:$G$28*ISNUMBER(TRANSPOSE(Rendements!$C73:$P73)))=0,"",SUMPRODUCT(Paramètres!$G$15:$G$28*ISNUMBER(TRANSPOSE(Rendements!$C73:$P73))*N(+TRANSPOSE(Rendements!$C73:$P73)))/SUMPRODUCT(Paramètres!$G$15:$G$28*ISNUMBER(TRANSPOSE(Rendements!$C73:$P73))))</f>
        <v/>
      </c>
      <c r="G73" s="35">
        <f>IF(OR(C73="",D73="",E73="",F73=""),"",Wc_C1*C73+Wc_C2*D73+Wc_C3*E73+Wc_C4*F73)</f>
        <v/>
      </c>
      <c r="H73" s="36">
        <f>SUMPRODUCT(Paramètres!$D$15:$D$28*ISNUMBER(TRANSPOSE(Rendements!$C73:$P73)))</f>
        <v/>
      </c>
      <c r="I73" s="36">
        <f>SUMPRODUCT(Paramètres!$E$15:$E$28*ISNUMBER(TRANSPOSE(Rendements!$C73:$P73)))</f>
        <v/>
      </c>
      <c r="J73" s="36">
        <f>SUMPRODUCT(Paramètres!$F$15:$F$28*ISNUMBER(TRANSPOSE(Rendements!$C73:$P73)))</f>
        <v/>
      </c>
      <c r="K73" s="36">
        <f>SUMPRODUCT(Paramètres!$G$15:$G$28*ISNUMBER(TRANSPOSE(Rendements!$C73:$P73)))</f>
        <v/>
      </c>
      <c r="L73" s="37">
        <f>IF(C73="","",IF(L72="",100,L72*(1+C73)))</f>
        <v/>
      </c>
      <c r="M73" s="37">
        <f>IF(D73="","",IF(M72="",100,M72*(1+D73)))</f>
        <v/>
      </c>
      <c r="N73" s="37">
        <f>IF(E73="","",IF(N72="",100,N72*(1+E73)))</f>
        <v/>
      </c>
      <c r="O73" s="37">
        <f>IF(F73="","",IF(O72="",100,O72*(1+F73)))</f>
        <v/>
      </c>
      <c r="P73" s="37">
        <f>IF(G73="","",IF(P72="",100,P72*(1+G73)))</f>
        <v/>
      </c>
    </row>
    <row r="74">
      <c r="B74" s="32">
        <f>Rendements!B74</f>
        <v/>
      </c>
      <c r="C74" s="34">
        <f>IF(SUMPRODUCT(Paramètres!$D$15:$D$28*ISNUMBER(TRANSPOSE(Rendements!$C74:$P74)))=0,"",SUMPRODUCT(Paramètres!$D$15:$D$28*ISNUMBER(TRANSPOSE(Rendements!$C74:$P74))*N(+TRANSPOSE(Rendements!$C74:$P74)))/SUMPRODUCT(Paramètres!$D$15:$D$28*ISNUMBER(TRANSPOSE(Rendements!$C74:$P74))))</f>
        <v/>
      </c>
      <c r="D74" s="34">
        <f>IF(SUMPRODUCT(Paramètres!$E$15:$E$28*ISNUMBER(TRANSPOSE(Rendements!$C74:$P74)))=0,"",SUMPRODUCT(Paramètres!$E$15:$E$28*ISNUMBER(TRANSPOSE(Rendements!$C74:$P74))*N(+TRANSPOSE(Rendements!$C74:$P74)))/SUMPRODUCT(Paramètres!$E$15:$E$28*ISNUMBER(TRANSPOSE(Rendements!$C74:$P74))))</f>
        <v/>
      </c>
      <c r="E74" s="34">
        <f>IF(SUMPRODUCT(Paramètres!$F$15:$F$28*ISNUMBER(TRANSPOSE(Rendements!$C74:$P74)))=0,"",SUMPRODUCT(Paramètres!$F$15:$F$28*ISNUMBER(TRANSPOSE(Rendements!$C74:$P74))*N(+TRANSPOSE(Rendements!$C74:$P74)))/SUMPRODUCT(Paramètres!$F$15:$F$28*ISNUMBER(TRANSPOSE(Rendements!$C74:$P74))))</f>
        <v/>
      </c>
      <c r="F74" s="34">
        <f>IF(SUMPRODUCT(Paramètres!$G$15:$G$28*ISNUMBER(TRANSPOSE(Rendements!$C74:$P74)))=0,"",SUMPRODUCT(Paramètres!$G$15:$G$28*ISNUMBER(TRANSPOSE(Rendements!$C74:$P74))*N(+TRANSPOSE(Rendements!$C74:$P74)))/SUMPRODUCT(Paramètres!$G$15:$G$28*ISNUMBER(TRANSPOSE(Rendements!$C74:$P74))))</f>
        <v/>
      </c>
      <c r="G74" s="35">
        <f>IF(OR(C74="",D74="",E74="",F74=""),"",Wc_C1*C74+Wc_C2*D74+Wc_C3*E74+Wc_C4*F74)</f>
        <v/>
      </c>
      <c r="H74" s="36">
        <f>SUMPRODUCT(Paramètres!$D$15:$D$28*ISNUMBER(TRANSPOSE(Rendements!$C74:$P74)))</f>
        <v/>
      </c>
      <c r="I74" s="36">
        <f>SUMPRODUCT(Paramètres!$E$15:$E$28*ISNUMBER(TRANSPOSE(Rendements!$C74:$P74)))</f>
        <v/>
      </c>
      <c r="J74" s="36">
        <f>SUMPRODUCT(Paramètres!$F$15:$F$28*ISNUMBER(TRANSPOSE(Rendements!$C74:$P74)))</f>
        <v/>
      </c>
      <c r="K74" s="36">
        <f>SUMPRODUCT(Paramètres!$G$15:$G$28*ISNUMBER(TRANSPOSE(Rendements!$C74:$P74)))</f>
        <v/>
      </c>
      <c r="L74" s="37">
        <f>IF(C74="","",IF(L73="",100,L73*(1+C74)))</f>
        <v/>
      </c>
      <c r="M74" s="37">
        <f>IF(D74="","",IF(M73="",100,M73*(1+D74)))</f>
        <v/>
      </c>
      <c r="N74" s="37">
        <f>IF(E74="","",IF(N73="",100,N73*(1+E74)))</f>
        <v/>
      </c>
      <c r="O74" s="37">
        <f>IF(F74="","",IF(O73="",100,O73*(1+F74)))</f>
        <v/>
      </c>
      <c r="P74" s="37">
        <f>IF(G74="","",IF(P73="",100,P73*(1+G74)))</f>
        <v/>
      </c>
    </row>
    <row r="75">
      <c r="B75" s="32">
        <f>Rendements!B75</f>
        <v/>
      </c>
      <c r="C75" s="34">
        <f>IF(SUMPRODUCT(Paramètres!$D$15:$D$28*ISNUMBER(TRANSPOSE(Rendements!$C75:$P75)))=0,"",SUMPRODUCT(Paramètres!$D$15:$D$28*ISNUMBER(TRANSPOSE(Rendements!$C75:$P75))*N(+TRANSPOSE(Rendements!$C75:$P75)))/SUMPRODUCT(Paramètres!$D$15:$D$28*ISNUMBER(TRANSPOSE(Rendements!$C75:$P75))))</f>
        <v/>
      </c>
      <c r="D75" s="34">
        <f>IF(SUMPRODUCT(Paramètres!$E$15:$E$28*ISNUMBER(TRANSPOSE(Rendements!$C75:$P75)))=0,"",SUMPRODUCT(Paramètres!$E$15:$E$28*ISNUMBER(TRANSPOSE(Rendements!$C75:$P75))*N(+TRANSPOSE(Rendements!$C75:$P75)))/SUMPRODUCT(Paramètres!$E$15:$E$28*ISNUMBER(TRANSPOSE(Rendements!$C75:$P75))))</f>
        <v/>
      </c>
      <c r="E75" s="34">
        <f>IF(SUMPRODUCT(Paramètres!$F$15:$F$28*ISNUMBER(TRANSPOSE(Rendements!$C75:$P75)))=0,"",SUMPRODUCT(Paramètres!$F$15:$F$28*ISNUMBER(TRANSPOSE(Rendements!$C75:$P75))*N(+TRANSPOSE(Rendements!$C75:$P75)))/SUMPRODUCT(Paramètres!$F$15:$F$28*ISNUMBER(TRANSPOSE(Rendements!$C75:$P75))))</f>
        <v/>
      </c>
      <c r="F75" s="34">
        <f>IF(SUMPRODUCT(Paramètres!$G$15:$G$28*ISNUMBER(TRANSPOSE(Rendements!$C75:$P75)))=0,"",SUMPRODUCT(Paramètres!$G$15:$G$28*ISNUMBER(TRANSPOSE(Rendements!$C75:$P75))*N(+TRANSPOSE(Rendements!$C75:$P75)))/SUMPRODUCT(Paramètres!$G$15:$G$28*ISNUMBER(TRANSPOSE(Rendements!$C75:$P75))))</f>
        <v/>
      </c>
      <c r="G75" s="35">
        <f>IF(OR(C75="",D75="",E75="",F75=""),"",Wc_C1*C75+Wc_C2*D75+Wc_C3*E75+Wc_C4*F75)</f>
        <v/>
      </c>
      <c r="H75" s="36">
        <f>SUMPRODUCT(Paramètres!$D$15:$D$28*ISNUMBER(TRANSPOSE(Rendements!$C75:$P75)))</f>
        <v/>
      </c>
      <c r="I75" s="36">
        <f>SUMPRODUCT(Paramètres!$E$15:$E$28*ISNUMBER(TRANSPOSE(Rendements!$C75:$P75)))</f>
        <v/>
      </c>
      <c r="J75" s="36">
        <f>SUMPRODUCT(Paramètres!$F$15:$F$28*ISNUMBER(TRANSPOSE(Rendements!$C75:$P75)))</f>
        <v/>
      </c>
      <c r="K75" s="36">
        <f>SUMPRODUCT(Paramètres!$G$15:$G$28*ISNUMBER(TRANSPOSE(Rendements!$C75:$P75)))</f>
        <v/>
      </c>
      <c r="L75" s="37">
        <f>IF(C75="","",IF(L74="",100,L74*(1+C75)))</f>
        <v/>
      </c>
      <c r="M75" s="37">
        <f>IF(D75="","",IF(M74="",100,M74*(1+D75)))</f>
        <v/>
      </c>
      <c r="N75" s="37">
        <f>IF(E75="","",IF(N74="",100,N74*(1+E75)))</f>
        <v/>
      </c>
      <c r="O75" s="37">
        <f>IF(F75="","",IF(O74="",100,O74*(1+F75)))</f>
        <v/>
      </c>
      <c r="P75" s="37">
        <f>IF(G75="","",IF(P74="",100,P74*(1+G75)))</f>
        <v/>
      </c>
    </row>
    <row r="76">
      <c r="B76" s="32">
        <f>Rendements!B76</f>
        <v/>
      </c>
      <c r="C76" s="34">
        <f>IF(SUMPRODUCT(Paramètres!$D$15:$D$28*ISNUMBER(TRANSPOSE(Rendements!$C76:$P76)))=0,"",SUMPRODUCT(Paramètres!$D$15:$D$28*ISNUMBER(TRANSPOSE(Rendements!$C76:$P76))*N(+TRANSPOSE(Rendements!$C76:$P76)))/SUMPRODUCT(Paramètres!$D$15:$D$28*ISNUMBER(TRANSPOSE(Rendements!$C76:$P76))))</f>
        <v/>
      </c>
      <c r="D76" s="34">
        <f>IF(SUMPRODUCT(Paramètres!$E$15:$E$28*ISNUMBER(TRANSPOSE(Rendements!$C76:$P76)))=0,"",SUMPRODUCT(Paramètres!$E$15:$E$28*ISNUMBER(TRANSPOSE(Rendements!$C76:$P76))*N(+TRANSPOSE(Rendements!$C76:$P76)))/SUMPRODUCT(Paramètres!$E$15:$E$28*ISNUMBER(TRANSPOSE(Rendements!$C76:$P76))))</f>
        <v/>
      </c>
      <c r="E76" s="34">
        <f>IF(SUMPRODUCT(Paramètres!$F$15:$F$28*ISNUMBER(TRANSPOSE(Rendements!$C76:$P76)))=0,"",SUMPRODUCT(Paramètres!$F$15:$F$28*ISNUMBER(TRANSPOSE(Rendements!$C76:$P76))*N(+TRANSPOSE(Rendements!$C76:$P76)))/SUMPRODUCT(Paramètres!$F$15:$F$28*ISNUMBER(TRANSPOSE(Rendements!$C76:$P76))))</f>
        <v/>
      </c>
      <c r="F76" s="34">
        <f>IF(SUMPRODUCT(Paramètres!$G$15:$G$28*ISNUMBER(TRANSPOSE(Rendements!$C76:$P76)))=0,"",SUMPRODUCT(Paramètres!$G$15:$G$28*ISNUMBER(TRANSPOSE(Rendements!$C76:$P76))*N(+TRANSPOSE(Rendements!$C76:$P76)))/SUMPRODUCT(Paramètres!$G$15:$G$28*ISNUMBER(TRANSPOSE(Rendements!$C76:$P76))))</f>
        <v/>
      </c>
      <c r="G76" s="35">
        <f>IF(OR(C76="",D76="",E76="",F76=""),"",Wc_C1*C76+Wc_C2*D76+Wc_C3*E76+Wc_C4*F76)</f>
        <v/>
      </c>
      <c r="H76" s="36">
        <f>SUMPRODUCT(Paramètres!$D$15:$D$28*ISNUMBER(TRANSPOSE(Rendements!$C76:$P76)))</f>
        <v/>
      </c>
      <c r="I76" s="36">
        <f>SUMPRODUCT(Paramètres!$E$15:$E$28*ISNUMBER(TRANSPOSE(Rendements!$C76:$P76)))</f>
        <v/>
      </c>
      <c r="J76" s="36">
        <f>SUMPRODUCT(Paramètres!$F$15:$F$28*ISNUMBER(TRANSPOSE(Rendements!$C76:$P76)))</f>
        <v/>
      </c>
      <c r="K76" s="36">
        <f>SUMPRODUCT(Paramètres!$G$15:$G$28*ISNUMBER(TRANSPOSE(Rendements!$C76:$P76)))</f>
        <v/>
      </c>
      <c r="L76" s="37">
        <f>IF(C76="","",IF(L75="",100,L75*(1+C76)))</f>
        <v/>
      </c>
      <c r="M76" s="37">
        <f>IF(D76="","",IF(M75="",100,M75*(1+D76)))</f>
        <v/>
      </c>
      <c r="N76" s="37">
        <f>IF(E76="","",IF(N75="",100,N75*(1+E76)))</f>
        <v/>
      </c>
      <c r="O76" s="37">
        <f>IF(F76="","",IF(O75="",100,O75*(1+F76)))</f>
        <v/>
      </c>
      <c r="P76" s="37">
        <f>IF(G76="","",IF(P75="",100,P75*(1+G76)))</f>
        <v/>
      </c>
    </row>
    <row r="77">
      <c r="B77" s="32">
        <f>Rendements!B77</f>
        <v/>
      </c>
      <c r="C77" s="34">
        <f>IF(SUMPRODUCT(Paramètres!$D$15:$D$28*ISNUMBER(TRANSPOSE(Rendements!$C77:$P77)))=0,"",SUMPRODUCT(Paramètres!$D$15:$D$28*ISNUMBER(TRANSPOSE(Rendements!$C77:$P77))*N(+TRANSPOSE(Rendements!$C77:$P77)))/SUMPRODUCT(Paramètres!$D$15:$D$28*ISNUMBER(TRANSPOSE(Rendements!$C77:$P77))))</f>
        <v/>
      </c>
      <c r="D77" s="34">
        <f>IF(SUMPRODUCT(Paramètres!$E$15:$E$28*ISNUMBER(TRANSPOSE(Rendements!$C77:$P77)))=0,"",SUMPRODUCT(Paramètres!$E$15:$E$28*ISNUMBER(TRANSPOSE(Rendements!$C77:$P77))*N(+TRANSPOSE(Rendements!$C77:$P77)))/SUMPRODUCT(Paramètres!$E$15:$E$28*ISNUMBER(TRANSPOSE(Rendements!$C77:$P77))))</f>
        <v/>
      </c>
      <c r="E77" s="34">
        <f>IF(SUMPRODUCT(Paramètres!$F$15:$F$28*ISNUMBER(TRANSPOSE(Rendements!$C77:$P77)))=0,"",SUMPRODUCT(Paramètres!$F$15:$F$28*ISNUMBER(TRANSPOSE(Rendements!$C77:$P77))*N(+TRANSPOSE(Rendements!$C77:$P77)))/SUMPRODUCT(Paramètres!$F$15:$F$28*ISNUMBER(TRANSPOSE(Rendements!$C77:$P77))))</f>
        <v/>
      </c>
      <c r="F77" s="34">
        <f>IF(SUMPRODUCT(Paramètres!$G$15:$G$28*ISNUMBER(TRANSPOSE(Rendements!$C77:$P77)))=0,"",SUMPRODUCT(Paramètres!$G$15:$G$28*ISNUMBER(TRANSPOSE(Rendements!$C77:$P77))*N(+TRANSPOSE(Rendements!$C77:$P77)))/SUMPRODUCT(Paramètres!$G$15:$G$28*ISNUMBER(TRANSPOSE(Rendements!$C77:$P77))))</f>
        <v/>
      </c>
      <c r="G77" s="35">
        <f>IF(OR(C77="",D77="",E77="",F77=""),"",Wc_C1*C77+Wc_C2*D77+Wc_C3*E77+Wc_C4*F77)</f>
        <v/>
      </c>
      <c r="H77" s="36">
        <f>SUMPRODUCT(Paramètres!$D$15:$D$28*ISNUMBER(TRANSPOSE(Rendements!$C77:$P77)))</f>
        <v/>
      </c>
      <c r="I77" s="36">
        <f>SUMPRODUCT(Paramètres!$E$15:$E$28*ISNUMBER(TRANSPOSE(Rendements!$C77:$P77)))</f>
        <v/>
      </c>
      <c r="J77" s="36">
        <f>SUMPRODUCT(Paramètres!$F$15:$F$28*ISNUMBER(TRANSPOSE(Rendements!$C77:$P77)))</f>
        <v/>
      </c>
      <c r="K77" s="36">
        <f>SUMPRODUCT(Paramètres!$G$15:$G$28*ISNUMBER(TRANSPOSE(Rendements!$C77:$P77)))</f>
        <v/>
      </c>
      <c r="L77" s="37">
        <f>IF(C77="","",IF(L76="",100,L76*(1+C77)))</f>
        <v/>
      </c>
      <c r="M77" s="37">
        <f>IF(D77="","",IF(M76="",100,M76*(1+D77)))</f>
        <v/>
      </c>
      <c r="N77" s="37">
        <f>IF(E77="","",IF(N76="",100,N76*(1+E77)))</f>
        <v/>
      </c>
      <c r="O77" s="37">
        <f>IF(F77="","",IF(O76="",100,O76*(1+F77)))</f>
        <v/>
      </c>
      <c r="P77" s="37">
        <f>IF(G77="","",IF(P76="",100,P76*(1+G77)))</f>
        <v/>
      </c>
    </row>
    <row r="78">
      <c r="B78" s="32">
        <f>Rendements!B78</f>
        <v/>
      </c>
      <c r="C78" s="34">
        <f>IF(SUMPRODUCT(Paramètres!$D$15:$D$28*ISNUMBER(TRANSPOSE(Rendements!$C78:$P78)))=0,"",SUMPRODUCT(Paramètres!$D$15:$D$28*ISNUMBER(TRANSPOSE(Rendements!$C78:$P78))*N(+TRANSPOSE(Rendements!$C78:$P78)))/SUMPRODUCT(Paramètres!$D$15:$D$28*ISNUMBER(TRANSPOSE(Rendements!$C78:$P78))))</f>
        <v/>
      </c>
      <c r="D78" s="34">
        <f>IF(SUMPRODUCT(Paramètres!$E$15:$E$28*ISNUMBER(TRANSPOSE(Rendements!$C78:$P78)))=0,"",SUMPRODUCT(Paramètres!$E$15:$E$28*ISNUMBER(TRANSPOSE(Rendements!$C78:$P78))*N(+TRANSPOSE(Rendements!$C78:$P78)))/SUMPRODUCT(Paramètres!$E$15:$E$28*ISNUMBER(TRANSPOSE(Rendements!$C78:$P78))))</f>
        <v/>
      </c>
      <c r="E78" s="34">
        <f>IF(SUMPRODUCT(Paramètres!$F$15:$F$28*ISNUMBER(TRANSPOSE(Rendements!$C78:$P78)))=0,"",SUMPRODUCT(Paramètres!$F$15:$F$28*ISNUMBER(TRANSPOSE(Rendements!$C78:$P78))*N(+TRANSPOSE(Rendements!$C78:$P78)))/SUMPRODUCT(Paramètres!$F$15:$F$28*ISNUMBER(TRANSPOSE(Rendements!$C78:$P78))))</f>
        <v/>
      </c>
      <c r="F78" s="34">
        <f>IF(SUMPRODUCT(Paramètres!$G$15:$G$28*ISNUMBER(TRANSPOSE(Rendements!$C78:$P78)))=0,"",SUMPRODUCT(Paramètres!$G$15:$G$28*ISNUMBER(TRANSPOSE(Rendements!$C78:$P78))*N(+TRANSPOSE(Rendements!$C78:$P78)))/SUMPRODUCT(Paramètres!$G$15:$G$28*ISNUMBER(TRANSPOSE(Rendements!$C78:$P78))))</f>
        <v/>
      </c>
      <c r="G78" s="35">
        <f>IF(OR(C78="",D78="",E78="",F78=""),"",Wc_C1*C78+Wc_C2*D78+Wc_C3*E78+Wc_C4*F78)</f>
        <v/>
      </c>
      <c r="H78" s="36">
        <f>SUMPRODUCT(Paramètres!$D$15:$D$28*ISNUMBER(TRANSPOSE(Rendements!$C78:$P78)))</f>
        <v/>
      </c>
      <c r="I78" s="36">
        <f>SUMPRODUCT(Paramètres!$E$15:$E$28*ISNUMBER(TRANSPOSE(Rendements!$C78:$P78)))</f>
        <v/>
      </c>
      <c r="J78" s="36">
        <f>SUMPRODUCT(Paramètres!$F$15:$F$28*ISNUMBER(TRANSPOSE(Rendements!$C78:$P78)))</f>
        <v/>
      </c>
      <c r="K78" s="36">
        <f>SUMPRODUCT(Paramètres!$G$15:$G$28*ISNUMBER(TRANSPOSE(Rendements!$C78:$P78)))</f>
        <v/>
      </c>
      <c r="L78" s="37">
        <f>IF(C78="","",IF(L77="",100,L77*(1+C78)))</f>
        <v/>
      </c>
      <c r="M78" s="37">
        <f>IF(D78="","",IF(M77="",100,M77*(1+D78)))</f>
        <v/>
      </c>
      <c r="N78" s="37">
        <f>IF(E78="","",IF(N77="",100,N77*(1+E78)))</f>
        <v/>
      </c>
      <c r="O78" s="37">
        <f>IF(F78="","",IF(O77="",100,O77*(1+F78)))</f>
        <v/>
      </c>
      <c r="P78" s="37">
        <f>IF(G78="","",IF(P77="",100,P77*(1+G78)))</f>
        <v/>
      </c>
    </row>
    <row r="79">
      <c r="B79" s="32">
        <f>Rendements!B79</f>
        <v/>
      </c>
      <c r="C79" s="34">
        <f>IF(SUMPRODUCT(Paramètres!$D$15:$D$28*ISNUMBER(TRANSPOSE(Rendements!$C79:$P79)))=0,"",SUMPRODUCT(Paramètres!$D$15:$D$28*ISNUMBER(TRANSPOSE(Rendements!$C79:$P79))*N(+TRANSPOSE(Rendements!$C79:$P79)))/SUMPRODUCT(Paramètres!$D$15:$D$28*ISNUMBER(TRANSPOSE(Rendements!$C79:$P79))))</f>
        <v/>
      </c>
      <c r="D79" s="34">
        <f>IF(SUMPRODUCT(Paramètres!$E$15:$E$28*ISNUMBER(TRANSPOSE(Rendements!$C79:$P79)))=0,"",SUMPRODUCT(Paramètres!$E$15:$E$28*ISNUMBER(TRANSPOSE(Rendements!$C79:$P79))*N(+TRANSPOSE(Rendements!$C79:$P79)))/SUMPRODUCT(Paramètres!$E$15:$E$28*ISNUMBER(TRANSPOSE(Rendements!$C79:$P79))))</f>
        <v/>
      </c>
      <c r="E79" s="34">
        <f>IF(SUMPRODUCT(Paramètres!$F$15:$F$28*ISNUMBER(TRANSPOSE(Rendements!$C79:$P79)))=0,"",SUMPRODUCT(Paramètres!$F$15:$F$28*ISNUMBER(TRANSPOSE(Rendements!$C79:$P79))*N(+TRANSPOSE(Rendements!$C79:$P79)))/SUMPRODUCT(Paramètres!$F$15:$F$28*ISNUMBER(TRANSPOSE(Rendements!$C79:$P79))))</f>
        <v/>
      </c>
      <c r="F79" s="34">
        <f>IF(SUMPRODUCT(Paramètres!$G$15:$G$28*ISNUMBER(TRANSPOSE(Rendements!$C79:$P79)))=0,"",SUMPRODUCT(Paramètres!$G$15:$G$28*ISNUMBER(TRANSPOSE(Rendements!$C79:$P79))*N(+TRANSPOSE(Rendements!$C79:$P79)))/SUMPRODUCT(Paramètres!$G$15:$G$28*ISNUMBER(TRANSPOSE(Rendements!$C79:$P79))))</f>
        <v/>
      </c>
      <c r="G79" s="35">
        <f>IF(OR(C79="",D79="",E79="",F79=""),"",Wc_C1*C79+Wc_C2*D79+Wc_C3*E79+Wc_C4*F79)</f>
        <v/>
      </c>
      <c r="H79" s="36">
        <f>SUMPRODUCT(Paramètres!$D$15:$D$28*ISNUMBER(TRANSPOSE(Rendements!$C79:$P79)))</f>
        <v/>
      </c>
      <c r="I79" s="36">
        <f>SUMPRODUCT(Paramètres!$E$15:$E$28*ISNUMBER(TRANSPOSE(Rendements!$C79:$P79)))</f>
        <v/>
      </c>
      <c r="J79" s="36">
        <f>SUMPRODUCT(Paramètres!$F$15:$F$28*ISNUMBER(TRANSPOSE(Rendements!$C79:$P79)))</f>
        <v/>
      </c>
      <c r="K79" s="36">
        <f>SUMPRODUCT(Paramètres!$G$15:$G$28*ISNUMBER(TRANSPOSE(Rendements!$C79:$P79)))</f>
        <v/>
      </c>
      <c r="L79" s="37">
        <f>IF(C79="","",IF(L78="",100,L78*(1+C79)))</f>
        <v/>
      </c>
      <c r="M79" s="37">
        <f>IF(D79="","",IF(M78="",100,M78*(1+D79)))</f>
        <v/>
      </c>
      <c r="N79" s="37">
        <f>IF(E79="","",IF(N78="",100,N78*(1+E79)))</f>
        <v/>
      </c>
      <c r="O79" s="37">
        <f>IF(F79="","",IF(O78="",100,O78*(1+F79)))</f>
        <v/>
      </c>
      <c r="P79" s="37">
        <f>IF(G79="","",IF(P78="",100,P78*(1+G79)))</f>
        <v/>
      </c>
    </row>
    <row r="80">
      <c r="B80" s="32">
        <f>Rendements!B80</f>
        <v/>
      </c>
      <c r="C80" s="34">
        <f>IF(SUMPRODUCT(Paramètres!$D$15:$D$28*ISNUMBER(TRANSPOSE(Rendements!$C80:$P80)))=0,"",SUMPRODUCT(Paramètres!$D$15:$D$28*ISNUMBER(TRANSPOSE(Rendements!$C80:$P80))*N(+TRANSPOSE(Rendements!$C80:$P80)))/SUMPRODUCT(Paramètres!$D$15:$D$28*ISNUMBER(TRANSPOSE(Rendements!$C80:$P80))))</f>
        <v/>
      </c>
      <c r="D80" s="34">
        <f>IF(SUMPRODUCT(Paramètres!$E$15:$E$28*ISNUMBER(TRANSPOSE(Rendements!$C80:$P80)))=0,"",SUMPRODUCT(Paramètres!$E$15:$E$28*ISNUMBER(TRANSPOSE(Rendements!$C80:$P80))*N(+TRANSPOSE(Rendements!$C80:$P80)))/SUMPRODUCT(Paramètres!$E$15:$E$28*ISNUMBER(TRANSPOSE(Rendements!$C80:$P80))))</f>
        <v/>
      </c>
      <c r="E80" s="34">
        <f>IF(SUMPRODUCT(Paramètres!$F$15:$F$28*ISNUMBER(TRANSPOSE(Rendements!$C80:$P80)))=0,"",SUMPRODUCT(Paramètres!$F$15:$F$28*ISNUMBER(TRANSPOSE(Rendements!$C80:$P80))*N(+TRANSPOSE(Rendements!$C80:$P80)))/SUMPRODUCT(Paramètres!$F$15:$F$28*ISNUMBER(TRANSPOSE(Rendements!$C80:$P80))))</f>
        <v/>
      </c>
      <c r="F80" s="34">
        <f>IF(SUMPRODUCT(Paramètres!$G$15:$G$28*ISNUMBER(TRANSPOSE(Rendements!$C80:$P80)))=0,"",SUMPRODUCT(Paramètres!$G$15:$G$28*ISNUMBER(TRANSPOSE(Rendements!$C80:$P80))*N(+TRANSPOSE(Rendements!$C80:$P80)))/SUMPRODUCT(Paramètres!$G$15:$G$28*ISNUMBER(TRANSPOSE(Rendements!$C80:$P80))))</f>
        <v/>
      </c>
      <c r="G80" s="35">
        <f>IF(OR(C80="",D80="",E80="",F80=""),"",Wc_C1*C80+Wc_C2*D80+Wc_C3*E80+Wc_C4*F80)</f>
        <v/>
      </c>
      <c r="H80" s="36">
        <f>SUMPRODUCT(Paramètres!$D$15:$D$28*ISNUMBER(TRANSPOSE(Rendements!$C80:$P80)))</f>
        <v/>
      </c>
      <c r="I80" s="36">
        <f>SUMPRODUCT(Paramètres!$E$15:$E$28*ISNUMBER(TRANSPOSE(Rendements!$C80:$P80)))</f>
        <v/>
      </c>
      <c r="J80" s="36">
        <f>SUMPRODUCT(Paramètres!$F$15:$F$28*ISNUMBER(TRANSPOSE(Rendements!$C80:$P80)))</f>
        <v/>
      </c>
      <c r="K80" s="36">
        <f>SUMPRODUCT(Paramètres!$G$15:$G$28*ISNUMBER(TRANSPOSE(Rendements!$C80:$P80)))</f>
        <v/>
      </c>
      <c r="L80" s="37">
        <f>IF(C80="","",IF(L79="",100,L79*(1+C80)))</f>
        <v/>
      </c>
      <c r="M80" s="37">
        <f>IF(D80="","",IF(M79="",100,M79*(1+D80)))</f>
        <v/>
      </c>
      <c r="N80" s="37">
        <f>IF(E80="","",IF(N79="",100,N79*(1+E80)))</f>
        <v/>
      </c>
      <c r="O80" s="37">
        <f>IF(F80="","",IF(O79="",100,O79*(1+F80)))</f>
        <v/>
      </c>
      <c r="P80" s="37">
        <f>IF(G80="","",IF(P79="",100,P79*(1+G80)))</f>
        <v/>
      </c>
    </row>
    <row r="81">
      <c r="B81" s="32">
        <f>Rendements!B81</f>
        <v/>
      </c>
      <c r="C81" s="34">
        <f>IF(SUMPRODUCT(Paramètres!$D$15:$D$28*ISNUMBER(TRANSPOSE(Rendements!$C81:$P81)))=0,"",SUMPRODUCT(Paramètres!$D$15:$D$28*ISNUMBER(TRANSPOSE(Rendements!$C81:$P81))*N(+TRANSPOSE(Rendements!$C81:$P81)))/SUMPRODUCT(Paramètres!$D$15:$D$28*ISNUMBER(TRANSPOSE(Rendements!$C81:$P81))))</f>
        <v/>
      </c>
      <c r="D81" s="34">
        <f>IF(SUMPRODUCT(Paramètres!$E$15:$E$28*ISNUMBER(TRANSPOSE(Rendements!$C81:$P81)))=0,"",SUMPRODUCT(Paramètres!$E$15:$E$28*ISNUMBER(TRANSPOSE(Rendements!$C81:$P81))*N(+TRANSPOSE(Rendements!$C81:$P81)))/SUMPRODUCT(Paramètres!$E$15:$E$28*ISNUMBER(TRANSPOSE(Rendements!$C81:$P81))))</f>
        <v/>
      </c>
      <c r="E81" s="34">
        <f>IF(SUMPRODUCT(Paramètres!$F$15:$F$28*ISNUMBER(TRANSPOSE(Rendements!$C81:$P81)))=0,"",SUMPRODUCT(Paramètres!$F$15:$F$28*ISNUMBER(TRANSPOSE(Rendements!$C81:$P81))*N(+TRANSPOSE(Rendements!$C81:$P81)))/SUMPRODUCT(Paramètres!$F$15:$F$28*ISNUMBER(TRANSPOSE(Rendements!$C81:$P81))))</f>
        <v/>
      </c>
      <c r="F81" s="34">
        <f>IF(SUMPRODUCT(Paramètres!$G$15:$G$28*ISNUMBER(TRANSPOSE(Rendements!$C81:$P81)))=0,"",SUMPRODUCT(Paramètres!$G$15:$G$28*ISNUMBER(TRANSPOSE(Rendements!$C81:$P81))*N(+TRANSPOSE(Rendements!$C81:$P81)))/SUMPRODUCT(Paramètres!$G$15:$G$28*ISNUMBER(TRANSPOSE(Rendements!$C81:$P81))))</f>
        <v/>
      </c>
      <c r="G81" s="35">
        <f>IF(OR(C81="",D81="",E81="",F81=""),"",Wc_C1*C81+Wc_C2*D81+Wc_C3*E81+Wc_C4*F81)</f>
        <v/>
      </c>
      <c r="H81" s="36">
        <f>SUMPRODUCT(Paramètres!$D$15:$D$28*ISNUMBER(TRANSPOSE(Rendements!$C81:$P81)))</f>
        <v/>
      </c>
      <c r="I81" s="36">
        <f>SUMPRODUCT(Paramètres!$E$15:$E$28*ISNUMBER(TRANSPOSE(Rendements!$C81:$P81)))</f>
        <v/>
      </c>
      <c r="J81" s="36">
        <f>SUMPRODUCT(Paramètres!$F$15:$F$28*ISNUMBER(TRANSPOSE(Rendements!$C81:$P81)))</f>
        <v/>
      </c>
      <c r="K81" s="36">
        <f>SUMPRODUCT(Paramètres!$G$15:$G$28*ISNUMBER(TRANSPOSE(Rendements!$C81:$P81)))</f>
        <v/>
      </c>
      <c r="L81" s="37">
        <f>IF(C81="","",IF(L80="",100,L80*(1+C81)))</f>
        <v/>
      </c>
      <c r="M81" s="37">
        <f>IF(D81="","",IF(M80="",100,M80*(1+D81)))</f>
        <v/>
      </c>
      <c r="N81" s="37">
        <f>IF(E81="","",IF(N80="",100,N80*(1+E81)))</f>
        <v/>
      </c>
      <c r="O81" s="37">
        <f>IF(F81="","",IF(O80="",100,O80*(1+F81)))</f>
        <v/>
      </c>
      <c r="P81" s="37">
        <f>IF(G81="","",IF(P80="",100,P80*(1+G81)))</f>
        <v/>
      </c>
    </row>
    <row r="82">
      <c r="B82" s="32">
        <f>Rendements!B82</f>
        <v/>
      </c>
      <c r="C82" s="34">
        <f>IF(SUMPRODUCT(Paramètres!$D$15:$D$28*ISNUMBER(TRANSPOSE(Rendements!$C82:$P82)))=0,"",SUMPRODUCT(Paramètres!$D$15:$D$28*ISNUMBER(TRANSPOSE(Rendements!$C82:$P82))*N(+TRANSPOSE(Rendements!$C82:$P82)))/SUMPRODUCT(Paramètres!$D$15:$D$28*ISNUMBER(TRANSPOSE(Rendements!$C82:$P82))))</f>
        <v/>
      </c>
      <c r="D82" s="34">
        <f>IF(SUMPRODUCT(Paramètres!$E$15:$E$28*ISNUMBER(TRANSPOSE(Rendements!$C82:$P82)))=0,"",SUMPRODUCT(Paramètres!$E$15:$E$28*ISNUMBER(TRANSPOSE(Rendements!$C82:$P82))*N(+TRANSPOSE(Rendements!$C82:$P82)))/SUMPRODUCT(Paramètres!$E$15:$E$28*ISNUMBER(TRANSPOSE(Rendements!$C82:$P82))))</f>
        <v/>
      </c>
      <c r="E82" s="34">
        <f>IF(SUMPRODUCT(Paramètres!$F$15:$F$28*ISNUMBER(TRANSPOSE(Rendements!$C82:$P82)))=0,"",SUMPRODUCT(Paramètres!$F$15:$F$28*ISNUMBER(TRANSPOSE(Rendements!$C82:$P82))*N(+TRANSPOSE(Rendements!$C82:$P82)))/SUMPRODUCT(Paramètres!$F$15:$F$28*ISNUMBER(TRANSPOSE(Rendements!$C82:$P82))))</f>
        <v/>
      </c>
      <c r="F82" s="34">
        <f>IF(SUMPRODUCT(Paramètres!$G$15:$G$28*ISNUMBER(TRANSPOSE(Rendements!$C82:$P82)))=0,"",SUMPRODUCT(Paramètres!$G$15:$G$28*ISNUMBER(TRANSPOSE(Rendements!$C82:$P82))*N(+TRANSPOSE(Rendements!$C82:$P82)))/SUMPRODUCT(Paramètres!$G$15:$G$28*ISNUMBER(TRANSPOSE(Rendements!$C82:$P82))))</f>
        <v/>
      </c>
      <c r="G82" s="35">
        <f>IF(OR(C82="",D82="",E82="",F82=""),"",Wc_C1*C82+Wc_C2*D82+Wc_C3*E82+Wc_C4*F82)</f>
        <v/>
      </c>
      <c r="H82" s="36">
        <f>SUMPRODUCT(Paramètres!$D$15:$D$28*ISNUMBER(TRANSPOSE(Rendements!$C82:$P82)))</f>
        <v/>
      </c>
      <c r="I82" s="36">
        <f>SUMPRODUCT(Paramètres!$E$15:$E$28*ISNUMBER(TRANSPOSE(Rendements!$C82:$P82)))</f>
        <v/>
      </c>
      <c r="J82" s="36">
        <f>SUMPRODUCT(Paramètres!$F$15:$F$28*ISNUMBER(TRANSPOSE(Rendements!$C82:$P82)))</f>
        <v/>
      </c>
      <c r="K82" s="36">
        <f>SUMPRODUCT(Paramètres!$G$15:$G$28*ISNUMBER(TRANSPOSE(Rendements!$C82:$P82)))</f>
        <v/>
      </c>
      <c r="L82" s="37">
        <f>IF(C82="","",IF(L81="",100,L81*(1+C82)))</f>
        <v/>
      </c>
      <c r="M82" s="37">
        <f>IF(D82="","",IF(M81="",100,M81*(1+D82)))</f>
        <v/>
      </c>
      <c r="N82" s="37">
        <f>IF(E82="","",IF(N81="",100,N81*(1+E82)))</f>
        <v/>
      </c>
      <c r="O82" s="37">
        <f>IF(F82="","",IF(O81="",100,O81*(1+F82)))</f>
        <v/>
      </c>
      <c r="P82" s="37">
        <f>IF(G82="","",IF(P81="",100,P81*(1+G82)))</f>
        <v/>
      </c>
    </row>
    <row r="83">
      <c r="B83" s="32">
        <f>Rendements!B83</f>
        <v/>
      </c>
      <c r="C83" s="34">
        <f>IF(SUMPRODUCT(Paramètres!$D$15:$D$28*ISNUMBER(TRANSPOSE(Rendements!$C83:$P83)))=0,"",SUMPRODUCT(Paramètres!$D$15:$D$28*ISNUMBER(TRANSPOSE(Rendements!$C83:$P83))*N(+TRANSPOSE(Rendements!$C83:$P83)))/SUMPRODUCT(Paramètres!$D$15:$D$28*ISNUMBER(TRANSPOSE(Rendements!$C83:$P83))))</f>
        <v/>
      </c>
      <c r="D83" s="34">
        <f>IF(SUMPRODUCT(Paramètres!$E$15:$E$28*ISNUMBER(TRANSPOSE(Rendements!$C83:$P83)))=0,"",SUMPRODUCT(Paramètres!$E$15:$E$28*ISNUMBER(TRANSPOSE(Rendements!$C83:$P83))*N(+TRANSPOSE(Rendements!$C83:$P83)))/SUMPRODUCT(Paramètres!$E$15:$E$28*ISNUMBER(TRANSPOSE(Rendements!$C83:$P83))))</f>
        <v/>
      </c>
      <c r="E83" s="34">
        <f>IF(SUMPRODUCT(Paramètres!$F$15:$F$28*ISNUMBER(TRANSPOSE(Rendements!$C83:$P83)))=0,"",SUMPRODUCT(Paramètres!$F$15:$F$28*ISNUMBER(TRANSPOSE(Rendements!$C83:$P83))*N(+TRANSPOSE(Rendements!$C83:$P83)))/SUMPRODUCT(Paramètres!$F$15:$F$28*ISNUMBER(TRANSPOSE(Rendements!$C83:$P83))))</f>
        <v/>
      </c>
      <c r="F83" s="34">
        <f>IF(SUMPRODUCT(Paramètres!$G$15:$G$28*ISNUMBER(TRANSPOSE(Rendements!$C83:$P83)))=0,"",SUMPRODUCT(Paramètres!$G$15:$G$28*ISNUMBER(TRANSPOSE(Rendements!$C83:$P83))*N(+TRANSPOSE(Rendements!$C83:$P83)))/SUMPRODUCT(Paramètres!$G$15:$G$28*ISNUMBER(TRANSPOSE(Rendements!$C83:$P83))))</f>
        <v/>
      </c>
      <c r="G83" s="35">
        <f>IF(OR(C83="",D83="",E83="",F83=""),"",Wc_C1*C83+Wc_C2*D83+Wc_C3*E83+Wc_C4*F83)</f>
        <v/>
      </c>
      <c r="H83" s="36">
        <f>SUMPRODUCT(Paramètres!$D$15:$D$28*ISNUMBER(TRANSPOSE(Rendements!$C83:$P83)))</f>
        <v/>
      </c>
      <c r="I83" s="36">
        <f>SUMPRODUCT(Paramètres!$E$15:$E$28*ISNUMBER(TRANSPOSE(Rendements!$C83:$P83)))</f>
        <v/>
      </c>
      <c r="J83" s="36">
        <f>SUMPRODUCT(Paramètres!$F$15:$F$28*ISNUMBER(TRANSPOSE(Rendements!$C83:$P83)))</f>
        <v/>
      </c>
      <c r="K83" s="36">
        <f>SUMPRODUCT(Paramètres!$G$15:$G$28*ISNUMBER(TRANSPOSE(Rendements!$C83:$P83)))</f>
        <v/>
      </c>
      <c r="L83" s="37">
        <f>IF(C83="","",IF(L82="",100,L82*(1+C83)))</f>
        <v/>
      </c>
      <c r="M83" s="37">
        <f>IF(D83="","",IF(M82="",100,M82*(1+D83)))</f>
        <v/>
      </c>
      <c r="N83" s="37">
        <f>IF(E83="","",IF(N82="",100,N82*(1+E83)))</f>
        <v/>
      </c>
      <c r="O83" s="37">
        <f>IF(F83="","",IF(O82="",100,O82*(1+F83)))</f>
        <v/>
      </c>
      <c r="P83" s="37">
        <f>IF(G83="","",IF(P82="",100,P82*(1+G83)))</f>
        <v/>
      </c>
    </row>
    <row r="84">
      <c r="B84" s="32">
        <f>Rendements!B84</f>
        <v/>
      </c>
      <c r="C84" s="34">
        <f>IF(SUMPRODUCT(Paramètres!$D$15:$D$28*ISNUMBER(TRANSPOSE(Rendements!$C84:$P84)))=0,"",SUMPRODUCT(Paramètres!$D$15:$D$28*ISNUMBER(TRANSPOSE(Rendements!$C84:$P84))*N(+TRANSPOSE(Rendements!$C84:$P84)))/SUMPRODUCT(Paramètres!$D$15:$D$28*ISNUMBER(TRANSPOSE(Rendements!$C84:$P84))))</f>
        <v/>
      </c>
      <c r="D84" s="34">
        <f>IF(SUMPRODUCT(Paramètres!$E$15:$E$28*ISNUMBER(TRANSPOSE(Rendements!$C84:$P84)))=0,"",SUMPRODUCT(Paramètres!$E$15:$E$28*ISNUMBER(TRANSPOSE(Rendements!$C84:$P84))*N(+TRANSPOSE(Rendements!$C84:$P84)))/SUMPRODUCT(Paramètres!$E$15:$E$28*ISNUMBER(TRANSPOSE(Rendements!$C84:$P84))))</f>
        <v/>
      </c>
      <c r="E84" s="34">
        <f>IF(SUMPRODUCT(Paramètres!$F$15:$F$28*ISNUMBER(TRANSPOSE(Rendements!$C84:$P84)))=0,"",SUMPRODUCT(Paramètres!$F$15:$F$28*ISNUMBER(TRANSPOSE(Rendements!$C84:$P84))*N(+TRANSPOSE(Rendements!$C84:$P84)))/SUMPRODUCT(Paramètres!$F$15:$F$28*ISNUMBER(TRANSPOSE(Rendements!$C84:$P84))))</f>
        <v/>
      </c>
      <c r="F84" s="34">
        <f>IF(SUMPRODUCT(Paramètres!$G$15:$G$28*ISNUMBER(TRANSPOSE(Rendements!$C84:$P84)))=0,"",SUMPRODUCT(Paramètres!$G$15:$G$28*ISNUMBER(TRANSPOSE(Rendements!$C84:$P84))*N(+TRANSPOSE(Rendements!$C84:$P84)))/SUMPRODUCT(Paramètres!$G$15:$G$28*ISNUMBER(TRANSPOSE(Rendements!$C84:$P84))))</f>
        <v/>
      </c>
      <c r="G84" s="35">
        <f>IF(OR(C84="",D84="",E84="",F84=""),"",Wc_C1*C84+Wc_C2*D84+Wc_C3*E84+Wc_C4*F84)</f>
        <v/>
      </c>
      <c r="H84" s="36">
        <f>SUMPRODUCT(Paramètres!$D$15:$D$28*ISNUMBER(TRANSPOSE(Rendements!$C84:$P84)))</f>
        <v/>
      </c>
      <c r="I84" s="36">
        <f>SUMPRODUCT(Paramètres!$E$15:$E$28*ISNUMBER(TRANSPOSE(Rendements!$C84:$P84)))</f>
        <v/>
      </c>
      <c r="J84" s="36">
        <f>SUMPRODUCT(Paramètres!$F$15:$F$28*ISNUMBER(TRANSPOSE(Rendements!$C84:$P84)))</f>
        <v/>
      </c>
      <c r="K84" s="36">
        <f>SUMPRODUCT(Paramètres!$G$15:$G$28*ISNUMBER(TRANSPOSE(Rendements!$C84:$P84)))</f>
        <v/>
      </c>
      <c r="L84" s="37">
        <f>IF(C84="","",IF(L83="",100,L83*(1+C84)))</f>
        <v/>
      </c>
      <c r="M84" s="37">
        <f>IF(D84="","",IF(M83="",100,M83*(1+D84)))</f>
        <v/>
      </c>
      <c r="N84" s="37">
        <f>IF(E84="","",IF(N83="",100,N83*(1+E84)))</f>
        <v/>
      </c>
      <c r="O84" s="37">
        <f>IF(F84="","",IF(O83="",100,O83*(1+F84)))</f>
        <v/>
      </c>
      <c r="P84" s="37">
        <f>IF(G84="","",IF(P83="",100,P83*(1+G84)))</f>
        <v/>
      </c>
    </row>
    <row r="85">
      <c r="B85" s="32">
        <f>Rendements!B85</f>
        <v/>
      </c>
      <c r="C85" s="34">
        <f>IF(SUMPRODUCT(Paramètres!$D$15:$D$28*ISNUMBER(TRANSPOSE(Rendements!$C85:$P85)))=0,"",SUMPRODUCT(Paramètres!$D$15:$D$28*ISNUMBER(TRANSPOSE(Rendements!$C85:$P85))*N(+TRANSPOSE(Rendements!$C85:$P85)))/SUMPRODUCT(Paramètres!$D$15:$D$28*ISNUMBER(TRANSPOSE(Rendements!$C85:$P85))))</f>
        <v/>
      </c>
      <c r="D85" s="34">
        <f>IF(SUMPRODUCT(Paramètres!$E$15:$E$28*ISNUMBER(TRANSPOSE(Rendements!$C85:$P85)))=0,"",SUMPRODUCT(Paramètres!$E$15:$E$28*ISNUMBER(TRANSPOSE(Rendements!$C85:$P85))*N(+TRANSPOSE(Rendements!$C85:$P85)))/SUMPRODUCT(Paramètres!$E$15:$E$28*ISNUMBER(TRANSPOSE(Rendements!$C85:$P85))))</f>
        <v/>
      </c>
      <c r="E85" s="34">
        <f>IF(SUMPRODUCT(Paramètres!$F$15:$F$28*ISNUMBER(TRANSPOSE(Rendements!$C85:$P85)))=0,"",SUMPRODUCT(Paramètres!$F$15:$F$28*ISNUMBER(TRANSPOSE(Rendements!$C85:$P85))*N(+TRANSPOSE(Rendements!$C85:$P85)))/SUMPRODUCT(Paramètres!$F$15:$F$28*ISNUMBER(TRANSPOSE(Rendements!$C85:$P85))))</f>
        <v/>
      </c>
      <c r="F85" s="34">
        <f>IF(SUMPRODUCT(Paramètres!$G$15:$G$28*ISNUMBER(TRANSPOSE(Rendements!$C85:$P85)))=0,"",SUMPRODUCT(Paramètres!$G$15:$G$28*ISNUMBER(TRANSPOSE(Rendements!$C85:$P85))*N(+TRANSPOSE(Rendements!$C85:$P85)))/SUMPRODUCT(Paramètres!$G$15:$G$28*ISNUMBER(TRANSPOSE(Rendements!$C85:$P85))))</f>
        <v/>
      </c>
      <c r="G85" s="35">
        <f>IF(OR(C85="",D85="",E85="",F85=""),"",Wc_C1*C85+Wc_C2*D85+Wc_C3*E85+Wc_C4*F85)</f>
        <v/>
      </c>
      <c r="H85" s="36">
        <f>SUMPRODUCT(Paramètres!$D$15:$D$28*ISNUMBER(TRANSPOSE(Rendements!$C85:$P85)))</f>
        <v/>
      </c>
      <c r="I85" s="36">
        <f>SUMPRODUCT(Paramètres!$E$15:$E$28*ISNUMBER(TRANSPOSE(Rendements!$C85:$P85)))</f>
        <v/>
      </c>
      <c r="J85" s="36">
        <f>SUMPRODUCT(Paramètres!$F$15:$F$28*ISNUMBER(TRANSPOSE(Rendements!$C85:$P85)))</f>
        <v/>
      </c>
      <c r="K85" s="36">
        <f>SUMPRODUCT(Paramètres!$G$15:$G$28*ISNUMBER(TRANSPOSE(Rendements!$C85:$P85)))</f>
        <v/>
      </c>
      <c r="L85" s="37">
        <f>IF(C85="","",IF(L84="",100,L84*(1+C85)))</f>
        <v/>
      </c>
      <c r="M85" s="37">
        <f>IF(D85="","",IF(M84="",100,M84*(1+D85)))</f>
        <v/>
      </c>
      <c r="N85" s="37">
        <f>IF(E85="","",IF(N84="",100,N84*(1+E85)))</f>
        <v/>
      </c>
      <c r="O85" s="37">
        <f>IF(F85="","",IF(O84="",100,O84*(1+F85)))</f>
        <v/>
      </c>
      <c r="P85" s="37">
        <f>IF(G85="","",IF(P84="",100,P84*(1+G85)))</f>
        <v/>
      </c>
    </row>
    <row r="86">
      <c r="B86" s="32">
        <f>Rendements!B86</f>
        <v/>
      </c>
      <c r="C86" s="34">
        <f>IF(SUMPRODUCT(Paramètres!$D$15:$D$28*ISNUMBER(TRANSPOSE(Rendements!$C86:$P86)))=0,"",SUMPRODUCT(Paramètres!$D$15:$D$28*ISNUMBER(TRANSPOSE(Rendements!$C86:$P86))*N(+TRANSPOSE(Rendements!$C86:$P86)))/SUMPRODUCT(Paramètres!$D$15:$D$28*ISNUMBER(TRANSPOSE(Rendements!$C86:$P86))))</f>
        <v/>
      </c>
      <c r="D86" s="34">
        <f>IF(SUMPRODUCT(Paramètres!$E$15:$E$28*ISNUMBER(TRANSPOSE(Rendements!$C86:$P86)))=0,"",SUMPRODUCT(Paramètres!$E$15:$E$28*ISNUMBER(TRANSPOSE(Rendements!$C86:$P86))*N(+TRANSPOSE(Rendements!$C86:$P86)))/SUMPRODUCT(Paramètres!$E$15:$E$28*ISNUMBER(TRANSPOSE(Rendements!$C86:$P86))))</f>
        <v/>
      </c>
      <c r="E86" s="34">
        <f>IF(SUMPRODUCT(Paramètres!$F$15:$F$28*ISNUMBER(TRANSPOSE(Rendements!$C86:$P86)))=0,"",SUMPRODUCT(Paramètres!$F$15:$F$28*ISNUMBER(TRANSPOSE(Rendements!$C86:$P86))*N(+TRANSPOSE(Rendements!$C86:$P86)))/SUMPRODUCT(Paramètres!$F$15:$F$28*ISNUMBER(TRANSPOSE(Rendements!$C86:$P86))))</f>
        <v/>
      </c>
      <c r="F86" s="34">
        <f>IF(SUMPRODUCT(Paramètres!$G$15:$G$28*ISNUMBER(TRANSPOSE(Rendements!$C86:$P86)))=0,"",SUMPRODUCT(Paramètres!$G$15:$G$28*ISNUMBER(TRANSPOSE(Rendements!$C86:$P86))*N(+TRANSPOSE(Rendements!$C86:$P86)))/SUMPRODUCT(Paramètres!$G$15:$G$28*ISNUMBER(TRANSPOSE(Rendements!$C86:$P86))))</f>
        <v/>
      </c>
      <c r="G86" s="35">
        <f>IF(OR(C86="",D86="",E86="",F86=""),"",Wc_C1*C86+Wc_C2*D86+Wc_C3*E86+Wc_C4*F86)</f>
        <v/>
      </c>
      <c r="H86" s="36">
        <f>SUMPRODUCT(Paramètres!$D$15:$D$28*ISNUMBER(TRANSPOSE(Rendements!$C86:$P86)))</f>
        <v/>
      </c>
      <c r="I86" s="36">
        <f>SUMPRODUCT(Paramètres!$E$15:$E$28*ISNUMBER(TRANSPOSE(Rendements!$C86:$P86)))</f>
        <v/>
      </c>
      <c r="J86" s="36">
        <f>SUMPRODUCT(Paramètres!$F$15:$F$28*ISNUMBER(TRANSPOSE(Rendements!$C86:$P86)))</f>
        <v/>
      </c>
      <c r="K86" s="36">
        <f>SUMPRODUCT(Paramètres!$G$15:$G$28*ISNUMBER(TRANSPOSE(Rendements!$C86:$P86)))</f>
        <v/>
      </c>
      <c r="L86" s="37">
        <f>IF(C86="","",IF(L85="",100,L85*(1+C86)))</f>
        <v/>
      </c>
      <c r="M86" s="37">
        <f>IF(D86="","",IF(M85="",100,M85*(1+D86)))</f>
        <v/>
      </c>
      <c r="N86" s="37">
        <f>IF(E86="","",IF(N85="",100,N85*(1+E86)))</f>
        <v/>
      </c>
      <c r="O86" s="37">
        <f>IF(F86="","",IF(O85="",100,O85*(1+F86)))</f>
        <v/>
      </c>
      <c r="P86" s="37">
        <f>IF(G86="","",IF(P85="",100,P85*(1+G86)))</f>
        <v/>
      </c>
    </row>
    <row r="87">
      <c r="B87" s="32">
        <f>Rendements!B87</f>
        <v/>
      </c>
      <c r="C87" s="34">
        <f>IF(SUMPRODUCT(Paramètres!$D$15:$D$28*ISNUMBER(TRANSPOSE(Rendements!$C87:$P87)))=0,"",SUMPRODUCT(Paramètres!$D$15:$D$28*ISNUMBER(TRANSPOSE(Rendements!$C87:$P87))*N(+TRANSPOSE(Rendements!$C87:$P87)))/SUMPRODUCT(Paramètres!$D$15:$D$28*ISNUMBER(TRANSPOSE(Rendements!$C87:$P87))))</f>
        <v/>
      </c>
      <c r="D87" s="34">
        <f>IF(SUMPRODUCT(Paramètres!$E$15:$E$28*ISNUMBER(TRANSPOSE(Rendements!$C87:$P87)))=0,"",SUMPRODUCT(Paramètres!$E$15:$E$28*ISNUMBER(TRANSPOSE(Rendements!$C87:$P87))*N(+TRANSPOSE(Rendements!$C87:$P87)))/SUMPRODUCT(Paramètres!$E$15:$E$28*ISNUMBER(TRANSPOSE(Rendements!$C87:$P87))))</f>
        <v/>
      </c>
      <c r="E87" s="34">
        <f>IF(SUMPRODUCT(Paramètres!$F$15:$F$28*ISNUMBER(TRANSPOSE(Rendements!$C87:$P87)))=0,"",SUMPRODUCT(Paramètres!$F$15:$F$28*ISNUMBER(TRANSPOSE(Rendements!$C87:$P87))*N(+TRANSPOSE(Rendements!$C87:$P87)))/SUMPRODUCT(Paramètres!$F$15:$F$28*ISNUMBER(TRANSPOSE(Rendements!$C87:$P87))))</f>
        <v/>
      </c>
      <c r="F87" s="34">
        <f>IF(SUMPRODUCT(Paramètres!$G$15:$G$28*ISNUMBER(TRANSPOSE(Rendements!$C87:$P87)))=0,"",SUMPRODUCT(Paramètres!$G$15:$G$28*ISNUMBER(TRANSPOSE(Rendements!$C87:$P87))*N(+TRANSPOSE(Rendements!$C87:$P87)))/SUMPRODUCT(Paramètres!$G$15:$G$28*ISNUMBER(TRANSPOSE(Rendements!$C87:$P87))))</f>
        <v/>
      </c>
      <c r="G87" s="35">
        <f>IF(OR(C87="",D87="",E87="",F87=""),"",Wc_C1*C87+Wc_C2*D87+Wc_C3*E87+Wc_C4*F87)</f>
        <v/>
      </c>
      <c r="H87" s="36">
        <f>SUMPRODUCT(Paramètres!$D$15:$D$28*ISNUMBER(TRANSPOSE(Rendements!$C87:$P87)))</f>
        <v/>
      </c>
      <c r="I87" s="36">
        <f>SUMPRODUCT(Paramètres!$E$15:$E$28*ISNUMBER(TRANSPOSE(Rendements!$C87:$P87)))</f>
        <v/>
      </c>
      <c r="J87" s="36">
        <f>SUMPRODUCT(Paramètres!$F$15:$F$28*ISNUMBER(TRANSPOSE(Rendements!$C87:$P87)))</f>
        <v/>
      </c>
      <c r="K87" s="36">
        <f>SUMPRODUCT(Paramètres!$G$15:$G$28*ISNUMBER(TRANSPOSE(Rendements!$C87:$P87)))</f>
        <v/>
      </c>
      <c r="L87" s="37">
        <f>IF(C87="","",IF(L86="",100,L86*(1+C87)))</f>
        <v/>
      </c>
      <c r="M87" s="37">
        <f>IF(D87="","",IF(M86="",100,M86*(1+D87)))</f>
        <v/>
      </c>
      <c r="N87" s="37">
        <f>IF(E87="","",IF(N86="",100,N86*(1+E87)))</f>
        <v/>
      </c>
      <c r="O87" s="37">
        <f>IF(F87="","",IF(O86="",100,O86*(1+F87)))</f>
        <v/>
      </c>
      <c r="P87" s="37">
        <f>IF(G87="","",IF(P86="",100,P86*(1+G87)))</f>
        <v/>
      </c>
    </row>
    <row r="88">
      <c r="B88" s="32">
        <f>Rendements!B88</f>
        <v/>
      </c>
      <c r="C88" s="34">
        <f>IF(SUMPRODUCT(Paramètres!$D$15:$D$28*ISNUMBER(TRANSPOSE(Rendements!$C88:$P88)))=0,"",SUMPRODUCT(Paramètres!$D$15:$D$28*ISNUMBER(TRANSPOSE(Rendements!$C88:$P88))*N(+TRANSPOSE(Rendements!$C88:$P88)))/SUMPRODUCT(Paramètres!$D$15:$D$28*ISNUMBER(TRANSPOSE(Rendements!$C88:$P88))))</f>
        <v/>
      </c>
      <c r="D88" s="34">
        <f>IF(SUMPRODUCT(Paramètres!$E$15:$E$28*ISNUMBER(TRANSPOSE(Rendements!$C88:$P88)))=0,"",SUMPRODUCT(Paramètres!$E$15:$E$28*ISNUMBER(TRANSPOSE(Rendements!$C88:$P88))*N(+TRANSPOSE(Rendements!$C88:$P88)))/SUMPRODUCT(Paramètres!$E$15:$E$28*ISNUMBER(TRANSPOSE(Rendements!$C88:$P88))))</f>
        <v/>
      </c>
      <c r="E88" s="34">
        <f>IF(SUMPRODUCT(Paramètres!$F$15:$F$28*ISNUMBER(TRANSPOSE(Rendements!$C88:$P88)))=0,"",SUMPRODUCT(Paramètres!$F$15:$F$28*ISNUMBER(TRANSPOSE(Rendements!$C88:$P88))*N(+TRANSPOSE(Rendements!$C88:$P88)))/SUMPRODUCT(Paramètres!$F$15:$F$28*ISNUMBER(TRANSPOSE(Rendements!$C88:$P88))))</f>
        <v/>
      </c>
      <c r="F88" s="34">
        <f>IF(SUMPRODUCT(Paramètres!$G$15:$G$28*ISNUMBER(TRANSPOSE(Rendements!$C88:$P88)))=0,"",SUMPRODUCT(Paramètres!$G$15:$G$28*ISNUMBER(TRANSPOSE(Rendements!$C88:$P88))*N(+TRANSPOSE(Rendements!$C88:$P88)))/SUMPRODUCT(Paramètres!$G$15:$G$28*ISNUMBER(TRANSPOSE(Rendements!$C88:$P88))))</f>
        <v/>
      </c>
      <c r="G88" s="35">
        <f>IF(OR(C88="",D88="",E88="",F88=""),"",Wc_C1*C88+Wc_C2*D88+Wc_C3*E88+Wc_C4*F88)</f>
        <v/>
      </c>
      <c r="H88" s="36">
        <f>SUMPRODUCT(Paramètres!$D$15:$D$28*ISNUMBER(TRANSPOSE(Rendements!$C88:$P88)))</f>
        <v/>
      </c>
      <c r="I88" s="36">
        <f>SUMPRODUCT(Paramètres!$E$15:$E$28*ISNUMBER(TRANSPOSE(Rendements!$C88:$P88)))</f>
        <v/>
      </c>
      <c r="J88" s="36">
        <f>SUMPRODUCT(Paramètres!$F$15:$F$28*ISNUMBER(TRANSPOSE(Rendements!$C88:$P88)))</f>
        <v/>
      </c>
      <c r="K88" s="36">
        <f>SUMPRODUCT(Paramètres!$G$15:$G$28*ISNUMBER(TRANSPOSE(Rendements!$C88:$P88)))</f>
        <v/>
      </c>
      <c r="L88" s="37">
        <f>IF(C88="","",IF(L87="",100,L87*(1+C88)))</f>
        <v/>
      </c>
      <c r="M88" s="37">
        <f>IF(D88="","",IF(M87="",100,M87*(1+D88)))</f>
        <v/>
      </c>
      <c r="N88" s="37">
        <f>IF(E88="","",IF(N87="",100,N87*(1+E88)))</f>
        <v/>
      </c>
      <c r="O88" s="37">
        <f>IF(F88="","",IF(O87="",100,O87*(1+F88)))</f>
        <v/>
      </c>
      <c r="P88" s="37">
        <f>IF(G88="","",IF(P87="",100,P87*(1+G88)))</f>
        <v/>
      </c>
    </row>
    <row r="89">
      <c r="B89" s="32">
        <f>Rendements!B89</f>
        <v/>
      </c>
      <c r="C89" s="34">
        <f>IF(SUMPRODUCT(Paramètres!$D$15:$D$28*ISNUMBER(TRANSPOSE(Rendements!$C89:$P89)))=0,"",SUMPRODUCT(Paramètres!$D$15:$D$28*ISNUMBER(TRANSPOSE(Rendements!$C89:$P89))*N(+TRANSPOSE(Rendements!$C89:$P89)))/SUMPRODUCT(Paramètres!$D$15:$D$28*ISNUMBER(TRANSPOSE(Rendements!$C89:$P89))))</f>
        <v/>
      </c>
      <c r="D89" s="34">
        <f>IF(SUMPRODUCT(Paramètres!$E$15:$E$28*ISNUMBER(TRANSPOSE(Rendements!$C89:$P89)))=0,"",SUMPRODUCT(Paramètres!$E$15:$E$28*ISNUMBER(TRANSPOSE(Rendements!$C89:$P89))*N(+TRANSPOSE(Rendements!$C89:$P89)))/SUMPRODUCT(Paramètres!$E$15:$E$28*ISNUMBER(TRANSPOSE(Rendements!$C89:$P89))))</f>
        <v/>
      </c>
      <c r="E89" s="34">
        <f>IF(SUMPRODUCT(Paramètres!$F$15:$F$28*ISNUMBER(TRANSPOSE(Rendements!$C89:$P89)))=0,"",SUMPRODUCT(Paramètres!$F$15:$F$28*ISNUMBER(TRANSPOSE(Rendements!$C89:$P89))*N(+TRANSPOSE(Rendements!$C89:$P89)))/SUMPRODUCT(Paramètres!$F$15:$F$28*ISNUMBER(TRANSPOSE(Rendements!$C89:$P89))))</f>
        <v/>
      </c>
      <c r="F89" s="34">
        <f>IF(SUMPRODUCT(Paramètres!$G$15:$G$28*ISNUMBER(TRANSPOSE(Rendements!$C89:$P89)))=0,"",SUMPRODUCT(Paramètres!$G$15:$G$28*ISNUMBER(TRANSPOSE(Rendements!$C89:$P89))*N(+TRANSPOSE(Rendements!$C89:$P89)))/SUMPRODUCT(Paramètres!$G$15:$G$28*ISNUMBER(TRANSPOSE(Rendements!$C89:$P89))))</f>
        <v/>
      </c>
      <c r="G89" s="35">
        <f>IF(OR(C89="",D89="",E89="",F89=""),"",Wc_C1*C89+Wc_C2*D89+Wc_C3*E89+Wc_C4*F89)</f>
        <v/>
      </c>
      <c r="H89" s="36">
        <f>SUMPRODUCT(Paramètres!$D$15:$D$28*ISNUMBER(TRANSPOSE(Rendements!$C89:$P89)))</f>
        <v/>
      </c>
      <c r="I89" s="36">
        <f>SUMPRODUCT(Paramètres!$E$15:$E$28*ISNUMBER(TRANSPOSE(Rendements!$C89:$P89)))</f>
        <v/>
      </c>
      <c r="J89" s="36">
        <f>SUMPRODUCT(Paramètres!$F$15:$F$28*ISNUMBER(TRANSPOSE(Rendements!$C89:$P89)))</f>
        <v/>
      </c>
      <c r="K89" s="36">
        <f>SUMPRODUCT(Paramètres!$G$15:$G$28*ISNUMBER(TRANSPOSE(Rendements!$C89:$P89)))</f>
        <v/>
      </c>
      <c r="L89" s="37">
        <f>IF(C89="","",IF(L88="",100,L88*(1+C89)))</f>
        <v/>
      </c>
      <c r="M89" s="37">
        <f>IF(D89="","",IF(M88="",100,M88*(1+D89)))</f>
        <v/>
      </c>
      <c r="N89" s="37">
        <f>IF(E89="","",IF(N88="",100,N88*(1+E89)))</f>
        <v/>
      </c>
      <c r="O89" s="37">
        <f>IF(F89="","",IF(O88="",100,O88*(1+F89)))</f>
        <v/>
      </c>
      <c r="P89" s="37">
        <f>IF(G89="","",IF(P88="",100,P88*(1+G89)))</f>
        <v/>
      </c>
    </row>
    <row r="90">
      <c r="B90" s="32">
        <f>Rendements!B90</f>
        <v/>
      </c>
      <c r="C90" s="34">
        <f>IF(SUMPRODUCT(Paramètres!$D$15:$D$28*ISNUMBER(TRANSPOSE(Rendements!$C90:$P90)))=0,"",SUMPRODUCT(Paramètres!$D$15:$D$28*ISNUMBER(TRANSPOSE(Rendements!$C90:$P90))*N(+TRANSPOSE(Rendements!$C90:$P90)))/SUMPRODUCT(Paramètres!$D$15:$D$28*ISNUMBER(TRANSPOSE(Rendements!$C90:$P90))))</f>
        <v/>
      </c>
      <c r="D90" s="34">
        <f>IF(SUMPRODUCT(Paramètres!$E$15:$E$28*ISNUMBER(TRANSPOSE(Rendements!$C90:$P90)))=0,"",SUMPRODUCT(Paramètres!$E$15:$E$28*ISNUMBER(TRANSPOSE(Rendements!$C90:$P90))*N(+TRANSPOSE(Rendements!$C90:$P90)))/SUMPRODUCT(Paramètres!$E$15:$E$28*ISNUMBER(TRANSPOSE(Rendements!$C90:$P90))))</f>
        <v/>
      </c>
      <c r="E90" s="34">
        <f>IF(SUMPRODUCT(Paramètres!$F$15:$F$28*ISNUMBER(TRANSPOSE(Rendements!$C90:$P90)))=0,"",SUMPRODUCT(Paramètres!$F$15:$F$28*ISNUMBER(TRANSPOSE(Rendements!$C90:$P90))*N(+TRANSPOSE(Rendements!$C90:$P90)))/SUMPRODUCT(Paramètres!$F$15:$F$28*ISNUMBER(TRANSPOSE(Rendements!$C90:$P90))))</f>
        <v/>
      </c>
      <c r="F90" s="34">
        <f>IF(SUMPRODUCT(Paramètres!$G$15:$G$28*ISNUMBER(TRANSPOSE(Rendements!$C90:$P90)))=0,"",SUMPRODUCT(Paramètres!$G$15:$G$28*ISNUMBER(TRANSPOSE(Rendements!$C90:$P90))*N(+TRANSPOSE(Rendements!$C90:$P90)))/SUMPRODUCT(Paramètres!$G$15:$G$28*ISNUMBER(TRANSPOSE(Rendements!$C90:$P90))))</f>
        <v/>
      </c>
      <c r="G90" s="35">
        <f>IF(OR(C90="",D90="",E90="",F90=""),"",Wc_C1*C90+Wc_C2*D90+Wc_C3*E90+Wc_C4*F90)</f>
        <v/>
      </c>
      <c r="H90" s="36">
        <f>SUMPRODUCT(Paramètres!$D$15:$D$28*ISNUMBER(TRANSPOSE(Rendements!$C90:$P90)))</f>
        <v/>
      </c>
      <c r="I90" s="36">
        <f>SUMPRODUCT(Paramètres!$E$15:$E$28*ISNUMBER(TRANSPOSE(Rendements!$C90:$P90)))</f>
        <v/>
      </c>
      <c r="J90" s="36">
        <f>SUMPRODUCT(Paramètres!$F$15:$F$28*ISNUMBER(TRANSPOSE(Rendements!$C90:$P90)))</f>
        <v/>
      </c>
      <c r="K90" s="36">
        <f>SUMPRODUCT(Paramètres!$G$15:$G$28*ISNUMBER(TRANSPOSE(Rendements!$C90:$P90)))</f>
        <v/>
      </c>
      <c r="L90" s="37">
        <f>IF(C90="","",IF(L89="",100,L89*(1+C90)))</f>
        <v/>
      </c>
      <c r="M90" s="37">
        <f>IF(D90="","",IF(M89="",100,M89*(1+D90)))</f>
        <v/>
      </c>
      <c r="N90" s="37">
        <f>IF(E90="","",IF(N89="",100,N89*(1+E90)))</f>
        <v/>
      </c>
      <c r="O90" s="37">
        <f>IF(F90="","",IF(O89="",100,O89*(1+F90)))</f>
        <v/>
      </c>
      <c r="P90" s="37">
        <f>IF(G90="","",IF(P89="",100,P89*(1+G90)))</f>
        <v/>
      </c>
    </row>
    <row r="91">
      <c r="B91" s="32">
        <f>Rendements!B91</f>
        <v/>
      </c>
      <c r="C91" s="34">
        <f>IF(SUMPRODUCT(Paramètres!$D$15:$D$28*ISNUMBER(TRANSPOSE(Rendements!$C91:$P91)))=0,"",SUMPRODUCT(Paramètres!$D$15:$D$28*ISNUMBER(TRANSPOSE(Rendements!$C91:$P91))*N(+TRANSPOSE(Rendements!$C91:$P91)))/SUMPRODUCT(Paramètres!$D$15:$D$28*ISNUMBER(TRANSPOSE(Rendements!$C91:$P91))))</f>
        <v/>
      </c>
      <c r="D91" s="34">
        <f>IF(SUMPRODUCT(Paramètres!$E$15:$E$28*ISNUMBER(TRANSPOSE(Rendements!$C91:$P91)))=0,"",SUMPRODUCT(Paramètres!$E$15:$E$28*ISNUMBER(TRANSPOSE(Rendements!$C91:$P91))*N(+TRANSPOSE(Rendements!$C91:$P91)))/SUMPRODUCT(Paramètres!$E$15:$E$28*ISNUMBER(TRANSPOSE(Rendements!$C91:$P91))))</f>
        <v/>
      </c>
      <c r="E91" s="34">
        <f>IF(SUMPRODUCT(Paramètres!$F$15:$F$28*ISNUMBER(TRANSPOSE(Rendements!$C91:$P91)))=0,"",SUMPRODUCT(Paramètres!$F$15:$F$28*ISNUMBER(TRANSPOSE(Rendements!$C91:$P91))*N(+TRANSPOSE(Rendements!$C91:$P91)))/SUMPRODUCT(Paramètres!$F$15:$F$28*ISNUMBER(TRANSPOSE(Rendements!$C91:$P91))))</f>
        <v/>
      </c>
      <c r="F91" s="34">
        <f>IF(SUMPRODUCT(Paramètres!$G$15:$G$28*ISNUMBER(TRANSPOSE(Rendements!$C91:$P91)))=0,"",SUMPRODUCT(Paramètres!$G$15:$G$28*ISNUMBER(TRANSPOSE(Rendements!$C91:$P91))*N(+TRANSPOSE(Rendements!$C91:$P91)))/SUMPRODUCT(Paramètres!$G$15:$G$28*ISNUMBER(TRANSPOSE(Rendements!$C91:$P91))))</f>
        <v/>
      </c>
      <c r="G91" s="35">
        <f>IF(OR(C91="",D91="",E91="",F91=""),"",Wc_C1*C91+Wc_C2*D91+Wc_C3*E91+Wc_C4*F91)</f>
        <v/>
      </c>
      <c r="H91" s="36">
        <f>SUMPRODUCT(Paramètres!$D$15:$D$28*ISNUMBER(TRANSPOSE(Rendements!$C91:$P91)))</f>
        <v/>
      </c>
      <c r="I91" s="36">
        <f>SUMPRODUCT(Paramètres!$E$15:$E$28*ISNUMBER(TRANSPOSE(Rendements!$C91:$P91)))</f>
        <v/>
      </c>
      <c r="J91" s="36">
        <f>SUMPRODUCT(Paramètres!$F$15:$F$28*ISNUMBER(TRANSPOSE(Rendements!$C91:$P91)))</f>
        <v/>
      </c>
      <c r="K91" s="36">
        <f>SUMPRODUCT(Paramètres!$G$15:$G$28*ISNUMBER(TRANSPOSE(Rendements!$C91:$P91)))</f>
        <v/>
      </c>
      <c r="L91" s="37">
        <f>IF(C91="","",IF(L90="",100,L90*(1+C91)))</f>
        <v/>
      </c>
      <c r="M91" s="37">
        <f>IF(D91="","",IF(M90="",100,M90*(1+D91)))</f>
        <v/>
      </c>
      <c r="N91" s="37">
        <f>IF(E91="","",IF(N90="",100,N90*(1+E91)))</f>
        <v/>
      </c>
      <c r="O91" s="37">
        <f>IF(F91="","",IF(O90="",100,O90*(1+F91)))</f>
        <v/>
      </c>
      <c r="P91" s="37">
        <f>IF(G91="","",IF(P90="",100,P90*(1+G91)))</f>
        <v/>
      </c>
    </row>
    <row r="92">
      <c r="B92" s="32">
        <f>Rendements!B92</f>
        <v/>
      </c>
      <c r="C92" s="34">
        <f>IF(SUMPRODUCT(Paramètres!$D$15:$D$28*ISNUMBER(TRANSPOSE(Rendements!$C92:$P92)))=0,"",SUMPRODUCT(Paramètres!$D$15:$D$28*ISNUMBER(TRANSPOSE(Rendements!$C92:$P92))*N(+TRANSPOSE(Rendements!$C92:$P92)))/SUMPRODUCT(Paramètres!$D$15:$D$28*ISNUMBER(TRANSPOSE(Rendements!$C92:$P92))))</f>
        <v/>
      </c>
      <c r="D92" s="34">
        <f>IF(SUMPRODUCT(Paramètres!$E$15:$E$28*ISNUMBER(TRANSPOSE(Rendements!$C92:$P92)))=0,"",SUMPRODUCT(Paramètres!$E$15:$E$28*ISNUMBER(TRANSPOSE(Rendements!$C92:$P92))*N(+TRANSPOSE(Rendements!$C92:$P92)))/SUMPRODUCT(Paramètres!$E$15:$E$28*ISNUMBER(TRANSPOSE(Rendements!$C92:$P92))))</f>
        <v/>
      </c>
      <c r="E92" s="34">
        <f>IF(SUMPRODUCT(Paramètres!$F$15:$F$28*ISNUMBER(TRANSPOSE(Rendements!$C92:$P92)))=0,"",SUMPRODUCT(Paramètres!$F$15:$F$28*ISNUMBER(TRANSPOSE(Rendements!$C92:$P92))*N(+TRANSPOSE(Rendements!$C92:$P92)))/SUMPRODUCT(Paramètres!$F$15:$F$28*ISNUMBER(TRANSPOSE(Rendements!$C92:$P92))))</f>
        <v/>
      </c>
      <c r="F92" s="34">
        <f>IF(SUMPRODUCT(Paramètres!$G$15:$G$28*ISNUMBER(TRANSPOSE(Rendements!$C92:$P92)))=0,"",SUMPRODUCT(Paramètres!$G$15:$G$28*ISNUMBER(TRANSPOSE(Rendements!$C92:$P92))*N(+TRANSPOSE(Rendements!$C92:$P92)))/SUMPRODUCT(Paramètres!$G$15:$G$28*ISNUMBER(TRANSPOSE(Rendements!$C92:$P92))))</f>
        <v/>
      </c>
      <c r="G92" s="35">
        <f>IF(OR(C92="",D92="",E92="",F92=""),"",Wc_C1*C92+Wc_C2*D92+Wc_C3*E92+Wc_C4*F92)</f>
        <v/>
      </c>
      <c r="H92" s="36">
        <f>SUMPRODUCT(Paramètres!$D$15:$D$28*ISNUMBER(TRANSPOSE(Rendements!$C92:$P92)))</f>
        <v/>
      </c>
      <c r="I92" s="36">
        <f>SUMPRODUCT(Paramètres!$E$15:$E$28*ISNUMBER(TRANSPOSE(Rendements!$C92:$P92)))</f>
        <v/>
      </c>
      <c r="J92" s="36">
        <f>SUMPRODUCT(Paramètres!$F$15:$F$28*ISNUMBER(TRANSPOSE(Rendements!$C92:$P92)))</f>
        <v/>
      </c>
      <c r="K92" s="36">
        <f>SUMPRODUCT(Paramètres!$G$15:$G$28*ISNUMBER(TRANSPOSE(Rendements!$C92:$P92)))</f>
        <v/>
      </c>
      <c r="L92" s="37">
        <f>IF(C92="","",IF(L91="",100,L91*(1+C92)))</f>
        <v/>
      </c>
      <c r="M92" s="37">
        <f>IF(D92="","",IF(M91="",100,M91*(1+D92)))</f>
        <v/>
      </c>
      <c r="N92" s="37">
        <f>IF(E92="","",IF(N91="",100,N91*(1+E92)))</f>
        <v/>
      </c>
      <c r="O92" s="37">
        <f>IF(F92="","",IF(O91="",100,O91*(1+F92)))</f>
        <v/>
      </c>
      <c r="P92" s="37">
        <f>IF(G92="","",IF(P91="",100,P91*(1+G92)))</f>
        <v/>
      </c>
    </row>
    <row r="93">
      <c r="B93" s="32">
        <f>Rendements!B93</f>
        <v/>
      </c>
      <c r="C93" s="34">
        <f>IF(SUMPRODUCT(Paramètres!$D$15:$D$28*ISNUMBER(TRANSPOSE(Rendements!$C93:$P93)))=0,"",SUMPRODUCT(Paramètres!$D$15:$D$28*ISNUMBER(TRANSPOSE(Rendements!$C93:$P93))*N(+TRANSPOSE(Rendements!$C93:$P93)))/SUMPRODUCT(Paramètres!$D$15:$D$28*ISNUMBER(TRANSPOSE(Rendements!$C93:$P93))))</f>
        <v/>
      </c>
      <c r="D93" s="34">
        <f>IF(SUMPRODUCT(Paramètres!$E$15:$E$28*ISNUMBER(TRANSPOSE(Rendements!$C93:$P93)))=0,"",SUMPRODUCT(Paramètres!$E$15:$E$28*ISNUMBER(TRANSPOSE(Rendements!$C93:$P93))*N(+TRANSPOSE(Rendements!$C93:$P93)))/SUMPRODUCT(Paramètres!$E$15:$E$28*ISNUMBER(TRANSPOSE(Rendements!$C93:$P93))))</f>
        <v/>
      </c>
      <c r="E93" s="34">
        <f>IF(SUMPRODUCT(Paramètres!$F$15:$F$28*ISNUMBER(TRANSPOSE(Rendements!$C93:$P93)))=0,"",SUMPRODUCT(Paramètres!$F$15:$F$28*ISNUMBER(TRANSPOSE(Rendements!$C93:$P93))*N(+TRANSPOSE(Rendements!$C93:$P93)))/SUMPRODUCT(Paramètres!$F$15:$F$28*ISNUMBER(TRANSPOSE(Rendements!$C93:$P93))))</f>
        <v/>
      </c>
      <c r="F93" s="34">
        <f>IF(SUMPRODUCT(Paramètres!$G$15:$G$28*ISNUMBER(TRANSPOSE(Rendements!$C93:$P93)))=0,"",SUMPRODUCT(Paramètres!$G$15:$G$28*ISNUMBER(TRANSPOSE(Rendements!$C93:$P93))*N(+TRANSPOSE(Rendements!$C93:$P93)))/SUMPRODUCT(Paramètres!$G$15:$G$28*ISNUMBER(TRANSPOSE(Rendements!$C93:$P93))))</f>
        <v/>
      </c>
      <c r="G93" s="35">
        <f>IF(OR(C93="",D93="",E93="",F93=""),"",Wc_C1*C93+Wc_C2*D93+Wc_C3*E93+Wc_C4*F93)</f>
        <v/>
      </c>
      <c r="H93" s="36">
        <f>SUMPRODUCT(Paramètres!$D$15:$D$28*ISNUMBER(TRANSPOSE(Rendements!$C93:$P93)))</f>
        <v/>
      </c>
      <c r="I93" s="36">
        <f>SUMPRODUCT(Paramètres!$E$15:$E$28*ISNUMBER(TRANSPOSE(Rendements!$C93:$P93)))</f>
        <v/>
      </c>
      <c r="J93" s="36">
        <f>SUMPRODUCT(Paramètres!$F$15:$F$28*ISNUMBER(TRANSPOSE(Rendements!$C93:$P93)))</f>
        <v/>
      </c>
      <c r="K93" s="36">
        <f>SUMPRODUCT(Paramètres!$G$15:$G$28*ISNUMBER(TRANSPOSE(Rendements!$C93:$P93)))</f>
        <v/>
      </c>
      <c r="L93" s="37">
        <f>IF(C93="","",IF(L92="",100,L92*(1+C93)))</f>
        <v/>
      </c>
      <c r="M93" s="37">
        <f>IF(D93="","",IF(M92="",100,M92*(1+D93)))</f>
        <v/>
      </c>
      <c r="N93" s="37">
        <f>IF(E93="","",IF(N92="",100,N92*(1+E93)))</f>
        <v/>
      </c>
      <c r="O93" s="37">
        <f>IF(F93="","",IF(O92="",100,O92*(1+F93)))</f>
        <v/>
      </c>
      <c r="P93" s="37">
        <f>IF(G93="","",IF(P92="",100,P92*(1+G93)))</f>
        <v/>
      </c>
    </row>
    <row r="94">
      <c r="B94" s="32">
        <f>Rendements!B94</f>
        <v/>
      </c>
      <c r="C94" s="34">
        <f>IF(SUMPRODUCT(Paramètres!$D$15:$D$28*ISNUMBER(TRANSPOSE(Rendements!$C94:$P94)))=0,"",SUMPRODUCT(Paramètres!$D$15:$D$28*ISNUMBER(TRANSPOSE(Rendements!$C94:$P94))*N(+TRANSPOSE(Rendements!$C94:$P94)))/SUMPRODUCT(Paramètres!$D$15:$D$28*ISNUMBER(TRANSPOSE(Rendements!$C94:$P94))))</f>
        <v/>
      </c>
      <c r="D94" s="34">
        <f>IF(SUMPRODUCT(Paramètres!$E$15:$E$28*ISNUMBER(TRANSPOSE(Rendements!$C94:$P94)))=0,"",SUMPRODUCT(Paramètres!$E$15:$E$28*ISNUMBER(TRANSPOSE(Rendements!$C94:$P94))*N(+TRANSPOSE(Rendements!$C94:$P94)))/SUMPRODUCT(Paramètres!$E$15:$E$28*ISNUMBER(TRANSPOSE(Rendements!$C94:$P94))))</f>
        <v/>
      </c>
      <c r="E94" s="34">
        <f>IF(SUMPRODUCT(Paramètres!$F$15:$F$28*ISNUMBER(TRANSPOSE(Rendements!$C94:$P94)))=0,"",SUMPRODUCT(Paramètres!$F$15:$F$28*ISNUMBER(TRANSPOSE(Rendements!$C94:$P94))*N(+TRANSPOSE(Rendements!$C94:$P94)))/SUMPRODUCT(Paramètres!$F$15:$F$28*ISNUMBER(TRANSPOSE(Rendements!$C94:$P94))))</f>
        <v/>
      </c>
      <c r="F94" s="34">
        <f>IF(SUMPRODUCT(Paramètres!$G$15:$G$28*ISNUMBER(TRANSPOSE(Rendements!$C94:$P94)))=0,"",SUMPRODUCT(Paramètres!$G$15:$G$28*ISNUMBER(TRANSPOSE(Rendements!$C94:$P94))*N(+TRANSPOSE(Rendements!$C94:$P94)))/SUMPRODUCT(Paramètres!$G$15:$G$28*ISNUMBER(TRANSPOSE(Rendements!$C94:$P94))))</f>
        <v/>
      </c>
      <c r="G94" s="35">
        <f>IF(OR(C94="",D94="",E94="",F94=""),"",Wc_C1*C94+Wc_C2*D94+Wc_C3*E94+Wc_C4*F94)</f>
        <v/>
      </c>
      <c r="H94" s="36">
        <f>SUMPRODUCT(Paramètres!$D$15:$D$28*ISNUMBER(TRANSPOSE(Rendements!$C94:$P94)))</f>
        <v/>
      </c>
      <c r="I94" s="36">
        <f>SUMPRODUCT(Paramètres!$E$15:$E$28*ISNUMBER(TRANSPOSE(Rendements!$C94:$P94)))</f>
        <v/>
      </c>
      <c r="J94" s="36">
        <f>SUMPRODUCT(Paramètres!$F$15:$F$28*ISNUMBER(TRANSPOSE(Rendements!$C94:$P94)))</f>
        <v/>
      </c>
      <c r="K94" s="36">
        <f>SUMPRODUCT(Paramètres!$G$15:$G$28*ISNUMBER(TRANSPOSE(Rendements!$C94:$P94)))</f>
        <v/>
      </c>
      <c r="L94" s="37">
        <f>IF(C94="","",IF(L93="",100,L93*(1+C94)))</f>
        <v/>
      </c>
      <c r="M94" s="37">
        <f>IF(D94="","",IF(M93="",100,M93*(1+D94)))</f>
        <v/>
      </c>
      <c r="N94" s="37">
        <f>IF(E94="","",IF(N93="",100,N93*(1+E94)))</f>
        <v/>
      </c>
      <c r="O94" s="37">
        <f>IF(F94="","",IF(O93="",100,O93*(1+F94)))</f>
        <v/>
      </c>
      <c r="P94" s="37">
        <f>IF(G94="","",IF(P93="",100,P93*(1+G94)))</f>
        <v/>
      </c>
    </row>
    <row r="95">
      <c r="B95" s="32">
        <f>Rendements!B95</f>
        <v/>
      </c>
      <c r="C95" s="34">
        <f>IF(SUMPRODUCT(Paramètres!$D$15:$D$28*ISNUMBER(TRANSPOSE(Rendements!$C95:$P95)))=0,"",SUMPRODUCT(Paramètres!$D$15:$D$28*ISNUMBER(TRANSPOSE(Rendements!$C95:$P95))*N(+TRANSPOSE(Rendements!$C95:$P95)))/SUMPRODUCT(Paramètres!$D$15:$D$28*ISNUMBER(TRANSPOSE(Rendements!$C95:$P95))))</f>
        <v/>
      </c>
      <c r="D95" s="34">
        <f>IF(SUMPRODUCT(Paramètres!$E$15:$E$28*ISNUMBER(TRANSPOSE(Rendements!$C95:$P95)))=0,"",SUMPRODUCT(Paramètres!$E$15:$E$28*ISNUMBER(TRANSPOSE(Rendements!$C95:$P95))*N(+TRANSPOSE(Rendements!$C95:$P95)))/SUMPRODUCT(Paramètres!$E$15:$E$28*ISNUMBER(TRANSPOSE(Rendements!$C95:$P95))))</f>
        <v/>
      </c>
      <c r="E95" s="34">
        <f>IF(SUMPRODUCT(Paramètres!$F$15:$F$28*ISNUMBER(TRANSPOSE(Rendements!$C95:$P95)))=0,"",SUMPRODUCT(Paramètres!$F$15:$F$28*ISNUMBER(TRANSPOSE(Rendements!$C95:$P95))*N(+TRANSPOSE(Rendements!$C95:$P95)))/SUMPRODUCT(Paramètres!$F$15:$F$28*ISNUMBER(TRANSPOSE(Rendements!$C95:$P95))))</f>
        <v/>
      </c>
      <c r="F95" s="34">
        <f>IF(SUMPRODUCT(Paramètres!$G$15:$G$28*ISNUMBER(TRANSPOSE(Rendements!$C95:$P95)))=0,"",SUMPRODUCT(Paramètres!$G$15:$G$28*ISNUMBER(TRANSPOSE(Rendements!$C95:$P95))*N(+TRANSPOSE(Rendements!$C95:$P95)))/SUMPRODUCT(Paramètres!$G$15:$G$28*ISNUMBER(TRANSPOSE(Rendements!$C95:$P95))))</f>
        <v/>
      </c>
      <c r="G95" s="35">
        <f>IF(OR(C95="",D95="",E95="",F95=""),"",Wc_C1*C95+Wc_C2*D95+Wc_C3*E95+Wc_C4*F95)</f>
        <v/>
      </c>
      <c r="H95" s="36">
        <f>SUMPRODUCT(Paramètres!$D$15:$D$28*ISNUMBER(TRANSPOSE(Rendements!$C95:$P95)))</f>
        <v/>
      </c>
      <c r="I95" s="36">
        <f>SUMPRODUCT(Paramètres!$E$15:$E$28*ISNUMBER(TRANSPOSE(Rendements!$C95:$P95)))</f>
        <v/>
      </c>
      <c r="J95" s="36">
        <f>SUMPRODUCT(Paramètres!$F$15:$F$28*ISNUMBER(TRANSPOSE(Rendements!$C95:$P95)))</f>
        <v/>
      </c>
      <c r="K95" s="36">
        <f>SUMPRODUCT(Paramètres!$G$15:$G$28*ISNUMBER(TRANSPOSE(Rendements!$C95:$P95)))</f>
        <v/>
      </c>
      <c r="L95" s="37">
        <f>IF(C95="","",IF(L94="",100,L94*(1+C95)))</f>
        <v/>
      </c>
      <c r="M95" s="37">
        <f>IF(D95="","",IF(M94="",100,M94*(1+D95)))</f>
        <v/>
      </c>
      <c r="N95" s="37">
        <f>IF(E95="","",IF(N94="",100,N94*(1+E95)))</f>
        <v/>
      </c>
      <c r="O95" s="37">
        <f>IF(F95="","",IF(O94="",100,O94*(1+F95)))</f>
        <v/>
      </c>
      <c r="P95" s="37">
        <f>IF(G95="","",IF(P94="",100,P94*(1+G95)))</f>
        <v/>
      </c>
    </row>
    <row r="96">
      <c r="B96" s="32">
        <f>Rendements!B96</f>
        <v/>
      </c>
      <c r="C96" s="34">
        <f>IF(SUMPRODUCT(Paramètres!$D$15:$D$28*ISNUMBER(TRANSPOSE(Rendements!$C96:$P96)))=0,"",SUMPRODUCT(Paramètres!$D$15:$D$28*ISNUMBER(TRANSPOSE(Rendements!$C96:$P96))*N(+TRANSPOSE(Rendements!$C96:$P96)))/SUMPRODUCT(Paramètres!$D$15:$D$28*ISNUMBER(TRANSPOSE(Rendements!$C96:$P96))))</f>
        <v/>
      </c>
      <c r="D96" s="34">
        <f>IF(SUMPRODUCT(Paramètres!$E$15:$E$28*ISNUMBER(TRANSPOSE(Rendements!$C96:$P96)))=0,"",SUMPRODUCT(Paramètres!$E$15:$E$28*ISNUMBER(TRANSPOSE(Rendements!$C96:$P96))*N(+TRANSPOSE(Rendements!$C96:$P96)))/SUMPRODUCT(Paramètres!$E$15:$E$28*ISNUMBER(TRANSPOSE(Rendements!$C96:$P96))))</f>
        <v/>
      </c>
      <c r="E96" s="34">
        <f>IF(SUMPRODUCT(Paramètres!$F$15:$F$28*ISNUMBER(TRANSPOSE(Rendements!$C96:$P96)))=0,"",SUMPRODUCT(Paramètres!$F$15:$F$28*ISNUMBER(TRANSPOSE(Rendements!$C96:$P96))*N(+TRANSPOSE(Rendements!$C96:$P96)))/SUMPRODUCT(Paramètres!$F$15:$F$28*ISNUMBER(TRANSPOSE(Rendements!$C96:$P96))))</f>
        <v/>
      </c>
      <c r="F96" s="34">
        <f>IF(SUMPRODUCT(Paramètres!$G$15:$G$28*ISNUMBER(TRANSPOSE(Rendements!$C96:$P96)))=0,"",SUMPRODUCT(Paramètres!$G$15:$G$28*ISNUMBER(TRANSPOSE(Rendements!$C96:$P96))*N(+TRANSPOSE(Rendements!$C96:$P96)))/SUMPRODUCT(Paramètres!$G$15:$G$28*ISNUMBER(TRANSPOSE(Rendements!$C96:$P96))))</f>
        <v/>
      </c>
      <c r="G96" s="35">
        <f>IF(OR(C96="",D96="",E96="",F96=""),"",Wc_C1*C96+Wc_C2*D96+Wc_C3*E96+Wc_C4*F96)</f>
        <v/>
      </c>
      <c r="H96" s="36">
        <f>SUMPRODUCT(Paramètres!$D$15:$D$28*ISNUMBER(TRANSPOSE(Rendements!$C96:$P96)))</f>
        <v/>
      </c>
      <c r="I96" s="36">
        <f>SUMPRODUCT(Paramètres!$E$15:$E$28*ISNUMBER(TRANSPOSE(Rendements!$C96:$P96)))</f>
        <v/>
      </c>
      <c r="J96" s="36">
        <f>SUMPRODUCT(Paramètres!$F$15:$F$28*ISNUMBER(TRANSPOSE(Rendements!$C96:$P96)))</f>
        <v/>
      </c>
      <c r="K96" s="36">
        <f>SUMPRODUCT(Paramètres!$G$15:$G$28*ISNUMBER(TRANSPOSE(Rendements!$C96:$P96)))</f>
        <v/>
      </c>
      <c r="L96" s="37">
        <f>IF(C96="","",IF(L95="",100,L95*(1+C96)))</f>
        <v/>
      </c>
      <c r="M96" s="37">
        <f>IF(D96="","",IF(M95="",100,M95*(1+D96)))</f>
        <v/>
      </c>
      <c r="N96" s="37">
        <f>IF(E96="","",IF(N95="",100,N95*(1+E96)))</f>
        <v/>
      </c>
      <c r="O96" s="37">
        <f>IF(F96="","",IF(O95="",100,O95*(1+F96)))</f>
        <v/>
      </c>
      <c r="P96" s="37">
        <f>IF(G96="","",IF(P95="",100,P95*(1+G96)))</f>
        <v/>
      </c>
    </row>
    <row r="97">
      <c r="B97" s="32">
        <f>Rendements!B97</f>
        <v/>
      </c>
      <c r="C97" s="34">
        <f>IF(SUMPRODUCT(Paramètres!$D$15:$D$28*ISNUMBER(TRANSPOSE(Rendements!$C97:$P97)))=0,"",SUMPRODUCT(Paramètres!$D$15:$D$28*ISNUMBER(TRANSPOSE(Rendements!$C97:$P97))*N(+TRANSPOSE(Rendements!$C97:$P97)))/SUMPRODUCT(Paramètres!$D$15:$D$28*ISNUMBER(TRANSPOSE(Rendements!$C97:$P97))))</f>
        <v/>
      </c>
      <c r="D97" s="34">
        <f>IF(SUMPRODUCT(Paramètres!$E$15:$E$28*ISNUMBER(TRANSPOSE(Rendements!$C97:$P97)))=0,"",SUMPRODUCT(Paramètres!$E$15:$E$28*ISNUMBER(TRANSPOSE(Rendements!$C97:$P97))*N(+TRANSPOSE(Rendements!$C97:$P97)))/SUMPRODUCT(Paramètres!$E$15:$E$28*ISNUMBER(TRANSPOSE(Rendements!$C97:$P97))))</f>
        <v/>
      </c>
      <c r="E97" s="34">
        <f>IF(SUMPRODUCT(Paramètres!$F$15:$F$28*ISNUMBER(TRANSPOSE(Rendements!$C97:$P97)))=0,"",SUMPRODUCT(Paramètres!$F$15:$F$28*ISNUMBER(TRANSPOSE(Rendements!$C97:$P97))*N(+TRANSPOSE(Rendements!$C97:$P97)))/SUMPRODUCT(Paramètres!$F$15:$F$28*ISNUMBER(TRANSPOSE(Rendements!$C97:$P97))))</f>
        <v/>
      </c>
      <c r="F97" s="34">
        <f>IF(SUMPRODUCT(Paramètres!$G$15:$G$28*ISNUMBER(TRANSPOSE(Rendements!$C97:$P97)))=0,"",SUMPRODUCT(Paramètres!$G$15:$G$28*ISNUMBER(TRANSPOSE(Rendements!$C97:$P97))*N(+TRANSPOSE(Rendements!$C97:$P97)))/SUMPRODUCT(Paramètres!$G$15:$G$28*ISNUMBER(TRANSPOSE(Rendements!$C97:$P97))))</f>
        <v/>
      </c>
      <c r="G97" s="35">
        <f>IF(OR(C97="",D97="",E97="",F97=""),"",Wc_C1*C97+Wc_C2*D97+Wc_C3*E97+Wc_C4*F97)</f>
        <v/>
      </c>
      <c r="H97" s="36">
        <f>SUMPRODUCT(Paramètres!$D$15:$D$28*ISNUMBER(TRANSPOSE(Rendements!$C97:$P97)))</f>
        <v/>
      </c>
      <c r="I97" s="36">
        <f>SUMPRODUCT(Paramètres!$E$15:$E$28*ISNUMBER(TRANSPOSE(Rendements!$C97:$P97)))</f>
        <v/>
      </c>
      <c r="J97" s="36">
        <f>SUMPRODUCT(Paramètres!$F$15:$F$28*ISNUMBER(TRANSPOSE(Rendements!$C97:$P97)))</f>
        <v/>
      </c>
      <c r="K97" s="36">
        <f>SUMPRODUCT(Paramètres!$G$15:$G$28*ISNUMBER(TRANSPOSE(Rendements!$C97:$P97)))</f>
        <v/>
      </c>
      <c r="L97" s="37">
        <f>IF(C97="","",IF(L96="",100,L96*(1+C97)))</f>
        <v/>
      </c>
      <c r="M97" s="37">
        <f>IF(D97="","",IF(M96="",100,M96*(1+D97)))</f>
        <v/>
      </c>
      <c r="N97" s="37">
        <f>IF(E97="","",IF(N96="",100,N96*(1+E97)))</f>
        <v/>
      </c>
      <c r="O97" s="37">
        <f>IF(F97="","",IF(O96="",100,O96*(1+F97)))</f>
        <v/>
      </c>
      <c r="P97" s="37">
        <f>IF(G97="","",IF(P96="",100,P96*(1+G97)))</f>
        <v/>
      </c>
    </row>
    <row r="98">
      <c r="B98" s="32">
        <f>Rendements!B98</f>
        <v/>
      </c>
      <c r="C98" s="34">
        <f>IF(SUMPRODUCT(Paramètres!$D$15:$D$28*ISNUMBER(TRANSPOSE(Rendements!$C98:$P98)))=0,"",SUMPRODUCT(Paramètres!$D$15:$D$28*ISNUMBER(TRANSPOSE(Rendements!$C98:$P98))*N(+TRANSPOSE(Rendements!$C98:$P98)))/SUMPRODUCT(Paramètres!$D$15:$D$28*ISNUMBER(TRANSPOSE(Rendements!$C98:$P98))))</f>
        <v/>
      </c>
      <c r="D98" s="34">
        <f>IF(SUMPRODUCT(Paramètres!$E$15:$E$28*ISNUMBER(TRANSPOSE(Rendements!$C98:$P98)))=0,"",SUMPRODUCT(Paramètres!$E$15:$E$28*ISNUMBER(TRANSPOSE(Rendements!$C98:$P98))*N(+TRANSPOSE(Rendements!$C98:$P98)))/SUMPRODUCT(Paramètres!$E$15:$E$28*ISNUMBER(TRANSPOSE(Rendements!$C98:$P98))))</f>
        <v/>
      </c>
      <c r="E98" s="34">
        <f>IF(SUMPRODUCT(Paramètres!$F$15:$F$28*ISNUMBER(TRANSPOSE(Rendements!$C98:$P98)))=0,"",SUMPRODUCT(Paramètres!$F$15:$F$28*ISNUMBER(TRANSPOSE(Rendements!$C98:$P98))*N(+TRANSPOSE(Rendements!$C98:$P98)))/SUMPRODUCT(Paramètres!$F$15:$F$28*ISNUMBER(TRANSPOSE(Rendements!$C98:$P98))))</f>
        <v/>
      </c>
      <c r="F98" s="34">
        <f>IF(SUMPRODUCT(Paramètres!$G$15:$G$28*ISNUMBER(TRANSPOSE(Rendements!$C98:$P98)))=0,"",SUMPRODUCT(Paramètres!$G$15:$G$28*ISNUMBER(TRANSPOSE(Rendements!$C98:$P98))*N(+TRANSPOSE(Rendements!$C98:$P98)))/SUMPRODUCT(Paramètres!$G$15:$G$28*ISNUMBER(TRANSPOSE(Rendements!$C98:$P98))))</f>
        <v/>
      </c>
      <c r="G98" s="35">
        <f>IF(OR(C98="",D98="",E98="",F98=""),"",Wc_C1*C98+Wc_C2*D98+Wc_C3*E98+Wc_C4*F98)</f>
        <v/>
      </c>
      <c r="H98" s="36">
        <f>SUMPRODUCT(Paramètres!$D$15:$D$28*ISNUMBER(TRANSPOSE(Rendements!$C98:$P98)))</f>
        <v/>
      </c>
      <c r="I98" s="36">
        <f>SUMPRODUCT(Paramètres!$E$15:$E$28*ISNUMBER(TRANSPOSE(Rendements!$C98:$P98)))</f>
        <v/>
      </c>
      <c r="J98" s="36">
        <f>SUMPRODUCT(Paramètres!$F$15:$F$28*ISNUMBER(TRANSPOSE(Rendements!$C98:$P98)))</f>
        <v/>
      </c>
      <c r="K98" s="36">
        <f>SUMPRODUCT(Paramètres!$G$15:$G$28*ISNUMBER(TRANSPOSE(Rendements!$C98:$P98)))</f>
        <v/>
      </c>
      <c r="L98" s="37">
        <f>IF(C98="","",IF(L97="",100,L97*(1+C98)))</f>
        <v/>
      </c>
      <c r="M98" s="37">
        <f>IF(D98="","",IF(M97="",100,M97*(1+D98)))</f>
        <v/>
      </c>
      <c r="N98" s="37">
        <f>IF(E98="","",IF(N97="",100,N97*(1+E98)))</f>
        <v/>
      </c>
      <c r="O98" s="37">
        <f>IF(F98="","",IF(O97="",100,O97*(1+F98)))</f>
        <v/>
      </c>
      <c r="P98" s="37">
        <f>IF(G98="","",IF(P97="",100,P97*(1+G98)))</f>
        <v/>
      </c>
    </row>
    <row r="99">
      <c r="B99" s="32">
        <f>Rendements!B99</f>
        <v/>
      </c>
      <c r="C99" s="34">
        <f>IF(SUMPRODUCT(Paramètres!$D$15:$D$28*ISNUMBER(TRANSPOSE(Rendements!$C99:$P99)))=0,"",SUMPRODUCT(Paramètres!$D$15:$D$28*ISNUMBER(TRANSPOSE(Rendements!$C99:$P99))*N(+TRANSPOSE(Rendements!$C99:$P99)))/SUMPRODUCT(Paramètres!$D$15:$D$28*ISNUMBER(TRANSPOSE(Rendements!$C99:$P99))))</f>
        <v/>
      </c>
      <c r="D99" s="34">
        <f>IF(SUMPRODUCT(Paramètres!$E$15:$E$28*ISNUMBER(TRANSPOSE(Rendements!$C99:$P99)))=0,"",SUMPRODUCT(Paramètres!$E$15:$E$28*ISNUMBER(TRANSPOSE(Rendements!$C99:$P99))*N(+TRANSPOSE(Rendements!$C99:$P99)))/SUMPRODUCT(Paramètres!$E$15:$E$28*ISNUMBER(TRANSPOSE(Rendements!$C99:$P99))))</f>
        <v/>
      </c>
      <c r="E99" s="34">
        <f>IF(SUMPRODUCT(Paramètres!$F$15:$F$28*ISNUMBER(TRANSPOSE(Rendements!$C99:$P99)))=0,"",SUMPRODUCT(Paramètres!$F$15:$F$28*ISNUMBER(TRANSPOSE(Rendements!$C99:$P99))*N(+TRANSPOSE(Rendements!$C99:$P99)))/SUMPRODUCT(Paramètres!$F$15:$F$28*ISNUMBER(TRANSPOSE(Rendements!$C99:$P99))))</f>
        <v/>
      </c>
      <c r="F99" s="34">
        <f>IF(SUMPRODUCT(Paramètres!$G$15:$G$28*ISNUMBER(TRANSPOSE(Rendements!$C99:$P99)))=0,"",SUMPRODUCT(Paramètres!$G$15:$G$28*ISNUMBER(TRANSPOSE(Rendements!$C99:$P99))*N(+TRANSPOSE(Rendements!$C99:$P99)))/SUMPRODUCT(Paramètres!$G$15:$G$28*ISNUMBER(TRANSPOSE(Rendements!$C99:$P99))))</f>
        <v/>
      </c>
      <c r="G99" s="35">
        <f>IF(OR(C99="",D99="",E99="",F99=""),"",Wc_C1*C99+Wc_C2*D99+Wc_C3*E99+Wc_C4*F99)</f>
        <v/>
      </c>
      <c r="H99" s="36">
        <f>SUMPRODUCT(Paramètres!$D$15:$D$28*ISNUMBER(TRANSPOSE(Rendements!$C99:$P99)))</f>
        <v/>
      </c>
      <c r="I99" s="36">
        <f>SUMPRODUCT(Paramètres!$E$15:$E$28*ISNUMBER(TRANSPOSE(Rendements!$C99:$P99)))</f>
        <v/>
      </c>
      <c r="J99" s="36">
        <f>SUMPRODUCT(Paramètres!$F$15:$F$28*ISNUMBER(TRANSPOSE(Rendements!$C99:$P99)))</f>
        <v/>
      </c>
      <c r="K99" s="36">
        <f>SUMPRODUCT(Paramètres!$G$15:$G$28*ISNUMBER(TRANSPOSE(Rendements!$C99:$P99)))</f>
        <v/>
      </c>
      <c r="L99" s="37">
        <f>IF(C99="","",IF(L98="",100,L98*(1+C99)))</f>
        <v/>
      </c>
      <c r="M99" s="37">
        <f>IF(D99="","",IF(M98="",100,M98*(1+D99)))</f>
        <v/>
      </c>
      <c r="N99" s="37">
        <f>IF(E99="","",IF(N98="",100,N98*(1+E99)))</f>
        <v/>
      </c>
      <c r="O99" s="37">
        <f>IF(F99="","",IF(O98="",100,O98*(1+F99)))</f>
        <v/>
      </c>
      <c r="P99" s="37">
        <f>IF(G99="","",IF(P98="",100,P98*(1+G99)))</f>
        <v/>
      </c>
    </row>
    <row r="100">
      <c r="B100" s="32">
        <f>Rendements!B100</f>
        <v/>
      </c>
      <c r="C100" s="34">
        <f>IF(SUMPRODUCT(Paramètres!$D$15:$D$28*ISNUMBER(TRANSPOSE(Rendements!$C100:$P100)))=0,"",SUMPRODUCT(Paramètres!$D$15:$D$28*ISNUMBER(TRANSPOSE(Rendements!$C100:$P100))*N(+TRANSPOSE(Rendements!$C100:$P100)))/SUMPRODUCT(Paramètres!$D$15:$D$28*ISNUMBER(TRANSPOSE(Rendements!$C100:$P100))))</f>
        <v/>
      </c>
      <c r="D100" s="34">
        <f>IF(SUMPRODUCT(Paramètres!$E$15:$E$28*ISNUMBER(TRANSPOSE(Rendements!$C100:$P100)))=0,"",SUMPRODUCT(Paramètres!$E$15:$E$28*ISNUMBER(TRANSPOSE(Rendements!$C100:$P100))*N(+TRANSPOSE(Rendements!$C100:$P100)))/SUMPRODUCT(Paramètres!$E$15:$E$28*ISNUMBER(TRANSPOSE(Rendements!$C100:$P100))))</f>
        <v/>
      </c>
      <c r="E100" s="34">
        <f>IF(SUMPRODUCT(Paramètres!$F$15:$F$28*ISNUMBER(TRANSPOSE(Rendements!$C100:$P100)))=0,"",SUMPRODUCT(Paramètres!$F$15:$F$28*ISNUMBER(TRANSPOSE(Rendements!$C100:$P100))*N(+TRANSPOSE(Rendements!$C100:$P100)))/SUMPRODUCT(Paramètres!$F$15:$F$28*ISNUMBER(TRANSPOSE(Rendements!$C100:$P100))))</f>
        <v/>
      </c>
      <c r="F100" s="34">
        <f>IF(SUMPRODUCT(Paramètres!$G$15:$G$28*ISNUMBER(TRANSPOSE(Rendements!$C100:$P100)))=0,"",SUMPRODUCT(Paramètres!$G$15:$G$28*ISNUMBER(TRANSPOSE(Rendements!$C100:$P100))*N(+TRANSPOSE(Rendements!$C100:$P100)))/SUMPRODUCT(Paramètres!$G$15:$G$28*ISNUMBER(TRANSPOSE(Rendements!$C100:$P100))))</f>
        <v/>
      </c>
      <c r="G100" s="35">
        <f>IF(OR(C100="",D100="",E100="",F100=""),"",Wc_C1*C100+Wc_C2*D100+Wc_C3*E100+Wc_C4*F100)</f>
        <v/>
      </c>
      <c r="H100" s="36">
        <f>SUMPRODUCT(Paramètres!$D$15:$D$28*ISNUMBER(TRANSPOSE(Rendements!$C100:$P100)))</f>
        <v/>
      </c>
      <c r="I100" s="36">
        <f>SUMPRODUCT(Paramètres!$E$15:$E$28*ISNUMBER(TRANSPOSE(Rendements!$C100:$P100)))</f>
        <v/>
      </c>
      <c r="J100" s="36">
        <f>SUMPRODUCT(Paramètres!$F$15:$F$28*ISNUMBER(TRANSPOSE(Rendements!$C100:$P100)))</f>
        <v/>
      </c>
      <c r="K100" s="36">
        <f>SUMPRODUCT(Paramètres!$G$15:$G$28*ISNUMBER(TRANSPOSE(Rendements!$C100:$P100)))</f>
        <v/>
      </c>
      <c r="L100" s="37">
        <f>IF(C100="","",IF(L99="",100,L99*(1+C100)))</f>
        <v/>
      </c>
      <c r="M100" s="37">
        <f>IF(D100="","",IF(M99="",100,M99*(1+D100)))</f>
        <v/>
      </c>
      <c r="N100" s="37">
        <f>IF(E100="","",IF(N99="",100,N99*(1+E100)))</f>
        <v/>
      </c>
      <c r="O100" s="37">
        <f>IF(F100="","",IF(O99="",100,O99*(1+F100)))</f>
        <v/>
      </c>
      <c r="P100" s="37">
        <f>IF(G100="","",IF(P99="",100,P99*(1+G100)))</f>
        <v/>
      </c>
    </row>
    <row r="101">
      <c r="B101" s="32">
        <f>Rendements!B101</f>
        <v/>
      </c>
      <c r="C101" s="34">
        <f>IF(SUMPRODUCT(Paramètres!$D$15:$D$28*ISNUMBER(TRANSPOSE(Rendements!$C101:$P101)))=0,"",SUMPRODUCT(Paramètres!$D$15:$D$28*ISNUMBER(TRANSPOSE(Rendements!$C101:$P101))*N(+TRANSPOSE(Rendements!$C101:$P101)))/SUMPRODUCT(Paramètres!$D$15:$D$28*ISNUMBER(TRANSPOSE(Rendements!$C101:$P101))))</f>
        <v/>
      </c>
      <c r="D101" s="34">
        <f>IF(SUMPRODUCT(Paramètres!$E$15:$E$28*ISNUMBER(TRANSPOSE(Rendements!$C101:$P101)))=0,"",SUMPRODUCT(Paramètres!$E$15:$E$28*ISNUMBER(TRANSPOSE(Rendements!$C101:$P101))*N(+TRANSPOSE(Rendements!$C101:$P101)))/SUMPRODUCT(Paramètres!$E$15:$E$28*ISNUMBER(TRANSPOSE(Rendements!$C101:$P101))))</f>
        <v/>
      </c>
      <c r="E101" s="34">
        <f>IF(SUMPRODUCT(Paramètres!$F$15:$F$28*ISNUMBER(TRANSPOSE(Rendements!$C101:$P101)))=0,"",SUMPRODUCT(Paramètres!$F$15:$F$28*ISNUMBER(TRANSPOSE(Rendements!$C101:$P101))*N(+TRANSPOSE(Rendements!$C101:$P101)))/SUMPRODUCT(Paramètres!$F$15:$F$28*ISNUMBER(TRANSPOSE(Rendements!$C101:$P101))))</f>
        <v/>
      </c>
      <c r="F101" s="34">
        <f>IF(SUMPRODUCT(Paramètres!$G$15:$G$28*ISNUMBER(TRANSPOSE(Rendements!$C101:$P101)))=0,"",SUMPRODUCT(Paramètres!$G$15:$G$28*ISNUMBER(TRANSPOSE(Rendements!$C101:$P101))*N(+TRANSPOSE(Rendements!$C101:$P101)))/SUMPRODUCT(Paramètres!$G$15:$G$28*ISNUMBER(TRANSPOSE(Rendements!$C101:$P101))))</f>
        <v/>
      </c>
      <c r="G101" s="35">
        <f>IF(OR(C101="",D101="",E101="",F101=""),"",Wc_C1*C101+Wc_C2*D101+Wc_C3*E101+Wc_C4*F101)</f>
        <v/>
      </c>
      <c r="H101" s="36">
        <f>SUMPRODUCT(Paramètres!$D$15:$D$28*ISNUMBER(TRANSPOSE(Rendements!$C101:$P101)))</f>
        <v/>
      </c>
      <c r="I101" s="36">
        <f>SUMPRODUCT(Paramètres!$E$15:$E$28*ISNUMBER(TRANSPOSE(Rendements!$C101:$P101)))</f>
        <v/>
      </c>
      <c r="J101" s="36">
        <f>SUMPRODUCT(Paramètres!$F$15:$F$28*ISNUMBER(TRANSPOSE(Rendements!$C101:$P101)))</f>
        <v/>
      </c>
      <c r="K101" s="36">
        <f>SUMPRODUCT(Paramètres!$G$15:$G$28*ISNUMBER(TRANSPOSE(Rendements!$C101:$P101)))</f>
        <v/>
      </c>
      <c r="L101" s="37">
        <f>IF(C101="","",IF(L100="",100,L100*(1+C101)))</f>
        <v/>
      </c>
      <c r="M101" s="37">
        <f>IF(D101="","",IF(M100="",100,M100*(1+D101)))</f>
        <v/>
      </c>
      <c r="N101" s="37">
        <f>IF(E101="","",IF(N100="",100,N100*(1+E101)))</f>
        <v/>
      </c>
      <c r="O101" s="37">
        <f>IF(F101="","",IF(O100="",100,O100*(1+F101)))</f>
        <v/>
      </c>
      <c r="P101" s="37">
        <f>IF(G101="","",IF(P100="",100,P100*(1+G101)))</f>
        <v/>
      </c>
    </row>
    <row r="102">
      <c r="B102" s="32">
        <f>Rendements!B102</f>
        <v/>
      </c>
      <c r="C102" s="34">
        <f>IF(SUMPRODUCT(Paramètres!$D$15:$D$28*ISNUMBER(TRANSPOSE(Rendements!$C102:$P102)))=0,"",SUMPRODUCT(Paramètres!$D$15:$D$28*ISNUMBER(TRANSPOSE(Rendements!$C102:$P102))*N(+TRANSPOSE(Rendements!$C102:$P102)))/SUMPRODUCT(Paramètres!$D$15:$D$28*ISNUMBER(TRANSPOSE(Rendements!$C102:$P102))))</f>
        <v/>
      </c>
      <c r="D102" s="34">
        <f>IF(SUMPRODUCT(Paramètres!$E$15:$E$28*ISNUMBER(TRANSPOSE(Rendements!$C102:$P102)))=0,"",SUMPRODUCT(Paramètres!$E$15:$E$28*ISNUMBER(TRANSPOSE(Rendements!$C102:$P102))*N(+TRANSPOSE(Rendements!$C102:$P102)))/SUMPRODUCT(Paramètres!$E$15:$E$28*ISNUMBER(TRANSPOSE(Rendements!$C102:$P102))))</f>
        <v/>
      </c>
      <c r="E102" s="34">
        <f>IF(SUMPRODUCT(Paramètres!$F$15:$F$28*ISNUMBER(TRANSPOSE(Rendements!$C102:$P102)))=0,"",SUMPRODUCT(Paramètres!$F$15:$F$28*ISNUMBER(TRANSPOSE(Rendements!$C102:$P102))*N(+TRANSPOSE(Rendements!$C102:$P102)))/SUMPRODUCT(Paramètres!$F$15:$F$28*ISNUMBER(TRANSPOSE(Rendements!$C102:$P102))))</f>
        <v/>
      </c>
      <c r="F102" s="34">
        <f>IF(SUMPRODUCT(Paramètres!$G$15:$G$28*ISNUMBER(TRANSPOSE(Rendements!$C102:$P102)))=0,"",SUMPRODUCT(Paramètres!$G$15:$G$28*ISNUMBER(TRANSPOSE(Rendements!$C102:$P102))*N(+TRANSPOSE(Rendements!$C102:$P102)))/SUMPRODUCT(Paramètres!$G$15:$G$28*ISNUMBER(TRANSPOSE(Rendements!$C102:$P102))))</f>
        <v/>
      </c>
      <c r="G102" s="35">
        <f>IF(OR(C102="",D102="",E102="",F102=""),"",Wc_C1*C102+Wc_C2*D102+Wc_C3*E102+Wc_C4*F102)</f>
        <v/>
      </c>
      <c r="H102" s="36">
        <f>SUMPRODUCT(Paramètres!$D$15:$D$28*ISNUMBER(TRANSPOSE(Rendements!$C102:$P102)))</f>
        <v/>
      </c>
      <c r="I102" s="36">
        <f>SUMPRODUCT(Paramètres!$E$15:$E$28*ISNUMBER(TRANSPOSE(Rendements!$C102:$P102)))</f>
        <v/>
      </c>
      <c r="J102" s="36">
        <f>SUMPRODUCT(Paramètres!$F$15:$F$28*ISNUMBER(TRANSPOSE(Rendements!$C102:$P102)))</f>
        <v/>
      </c>
      <c r="K102" s="36">
        <f>SUMPRODUCT(Paramètres!$G$15:$G$28*ISNUMBER(TRANSPOSE(Rendements!$C102:$P102)))</f>
        <v/>
      </c>
      <c r="L102" s="37">
        <f>IF(C102="","",IF(L101="",100,L101*(1+C102)))</f>
        <v/>
      </c>
      <c r="M102" s="37">
        <f>IF(D102="","",IF(M101="",100,M101*(1+D102)))</f>
        <v/>
      </c>
      <c r="N102" s="37">
        <f>IF(E102="","",IF(N101="",100,N101*(1+E102)))</f>
        <v/>
      </c>
      <c r="O102" s="37">
        <f>IF(F102="","",IF(O101="",100,O101*(1+F102)))</f>
        <v/>
      </c>
      <c r="P102" s="37">
        <f>IF(G102="","",IF(P101="",100,P101*(1+G102)))</f>
        <v/>
      </c>
    </row>
    <row r="103">
      <c r="B103" s="32">
        <f>Rendements!B103</f>
        <v/>
      </c>
      <c r="C103" s="34">
        <f>IF(SUMPRODUCT(Paramètres!$D$15:$D$28*ISNUMBER(TRANSPOSE(Rendements!$C103:$P103)))=0,"",SUMPRODUCT(Paramètres!$D$15:$D$28*ISNUMBER(TRANSPOSE(Rendements!$C103:$P103))*N(+TRANSPOSE(Rendements!$C103:$P103)))/SUMPRODUCT(Paramètres!$D$15:$D$28*ISNUMBER(TRANSPOSE(Rendements!$C103:$P103))))</f>
        <v/>
      </c>
      <c r="D103" s="34">
        <f>IF(SUMPRODUCT(Paramètres!$E$15:$E$28*ISNUMBER(TRANSPOSE(Rendements!$C103:$P103)))=0,"",SUMPRODUCT(Paramètres!$E$15:$E$28*ISNUMBER(TRANSPOSE(Rendements!$C103:$P103))*N(+TRANSPOSE(Rendements!$C103:$P103)))/SUMPRODUCT(Paramètres!$E$15:$E$28*ISNUMBER(TRANSPOSE(Rendements!$C103:$P103))))</f>
        <v/>
      </c>
      <c r="E103" s="34">
        <f>IF(SUMPRODUCT(Paramètres!$F$15:$F$28*ISNUMBER(TRANSPOSE(Rendements!$C103:$P103)))=0,"",SUMPRODUCT(Paramètres!$F$15:$F$28*ISNUMBER(TRANSPOSE(Rendements!$C103:$P103))*N(+TRANSPOSE(Rendements!$C103:$P103)))/SUMPRODUCT(Paramètres!$F$15:$F$28*ISNUMBER(TRANSPOSE(Rendements!$C103:$P103))))</f>
        <v/>
      </c>
      <c r="F103" s="34">
        <f>IF(SUMPRODUCT(Paramètres!$G$15:$G$28*ISNUMBER(TRANSPOSE(Rendements!$C103:$P103)))=0,"",SUMPRODUCT(Paramètres!$G$15:$G$28*ISNUMBER(TRANSPOSE(Rendements!$C103:$P103))*N(+TRANSPOSE(Rendements!$C103:$P103)))/SUMPRODUCT(Paramètres!$G$15:$G$28*ISNUMBER(TRANSPOSE(Rendements!$C103:$P103))))</f>
        <v/>
      </c>
      <c r="G103" s="35">
        <f>IF(OR(C103="",D103="",E103="",F103=""),"",Wc_C1*C103+Wc_C2*D103+Wc_C3*E103+Wc_C4*F103)</f>
        <v/>
      </c>
      <c r="H103" s="36">
        <f>SUMPRODUCT(Paramètres!$D$15:$D$28*ISNUMBER(TRANSPOSE(Rendements!$C103:$P103)))</f>
        <v/>
      </c>
      <c r="I103" s="36">
        <f>SUMPRODUCT(Paramètres!$E$15:$E$28*ISNUMBER(TRANSPOSE(Rendements!$C103:$P103)))</f>
        <v/>
      </c>
      <c r="J103" s="36">
        <f>SUMPRODUCT(Paramètres!$F$15:$F$28*ISNUMBER(TRANSPOSE(Rendements!$C103:$P103)))</f>
        <v/>
      </c>
      <c r="K103" s="36">
        <f>SUMPRODUCT(Paramètres!$G$15:$G$28*ISNUMBER(TRANSPOSE(Rendements!$C103:$P103)))</f>
        <v/>
      </c>
      <c r="L103" s="37">
        <f>IF(C103="","",IF(L102="",100,L102*(1+C103)))</f>
        <v/>
      </c>
      <c r="M103" s="37">
        <f>IF(D103="","",IF(M102="",100,M102*(1+D103)))</f>
        <v/>
      </c>
      <c r="N103" s="37">
        <f>IF(E103="","",IF(N102="",100,N102*(1+E103)))</f>
        <v/>
      </c>
      <c r="O103" s="37">
        <f>IF(F103="","",IF(O102="",100,O102*(1+F103)))</f>
        <v/>
      </c>
      <c r="P103" s="37">
        <f>IF(G103="","",IF(P102="",100,P102*(1+G103)))</f>
        <v/>
      </c>
    </row>
    <row r="104">
      <c r="B104" s="32">
        <f>Rendements!B104</f>
        <v/>
      </c>
      <c r="C104" s="34">
        <f>IF(SUMPRODUCT(Paramètres!$D$15:$D$28*ISNUMBER(TRANSPOSE(Rendements!$C104:$P104)))=0,"",SUMPRODUCT(Paramètres!$D$15:$D$28*ISNUMBER(TRANSPOSE(Rendements!$C104:$P104))*N(+TRANSPOSE(Rendements!$C104:$P104)))/SUMPRODUCT(Paramètres!$D$15:$D$28*ISNUMBER(TRANSPOSE(Rendements!$C104:$P104))))</f>
        <v/>
      </c>
      <c r="D104" s="34">
        <f>IF(SUMPRODUCT(Paramètres!$E$15:$E$28*ISNUMBER(TRANSPOSE(Rendements!$C104:$P104)))=0,"",SUMPRODUCT(Paramètres!$E$15:$E$28*ISNUMBER(TRANSPOSE(Rendements!$C104:$P104))*N(+TRANSPOSE(Rendements!$C104:$P104)))/SUMPRODUCT(Paramètres!$E$15:$E$28*ISNUMBER(TRANSPOSE(Rendements!$C104:$P104))))</f>
        <v/>
      </c>
      <c r="E104" s="34">
        <f>IF(SUMPRODUCT(Paramètres!$F$15:$F$28*ISNUMBER(TRANSPOSE(Rendements!$C104:$P104)))=0,"",SUMPRODUCT(Paramètres!$F$15:$F$28*ISNUMBER(TRANSPOSE(Rendements!$C104:$P104))*N(+TRANSPOSE(Rendements!$C104:$P104)))/SUMPRODUCT(Paramètres!$F$15:$F$28*ISNUMBER(TRANSPOSE(Rendements!$C104:$P104))))</f>
        <v/>
      </c>
      <c r="F104" s="34">
        <f>IF(SUMPRODUCT(Paramètres!$G$15:$G$28*ISNUMBER(TRANSPOSE(Rendements!$C104:$P104)))=0,"",SUMPRODUCT(Paramètres!$G$15:$G$28*ISNUMBER(TRANSPOSE(Rendements!$C104:$P104))*N(+TRANSPOSE(Rendements!$C104:$P104)))/SUMPRODUCT(Paramètres!$G$15:$G$28*ISNUMBER(TRANSPOSE(Rendements!$C104:$P104))))</f>
        <v/>
      </c>
      <c r="G104" s="35">
        <f>IF(OR(C104="",D104="",E104="",F104=""),"",Wc_C1*C104+Wc_C2*D104+Wc_C3*E104+Wc_C4*F104)</f>
        <v/>
      </c>
      <c r="H104" s="36">
        <f>SUMPRODUCT(Paramètres!$D$15:$D$28*ISNUMBER(TRANSPOSE(Rendements!$C104:$P104)))</f>
        <v/>
      </c>
      <c r="I104" s="36">
        <f>SUMPRODUCT(Paramètres!$E$15:$E$28*ISNUMBER(TRANSPOSE(Rendements!$C104:$P104)))</f>
        <v/>
      </c>
      <c r="J104" s="36">
        <f>SUMPRODUCT(Paramètres!$F$15:$F$28*ISNUMBER(TRANSPOSE(Rendements!$C104:$P104)))</f>
        <v/>
      </c>
      <c r="K104" s="36">
        <f>SUMPRODUCT(Paramètres!$G$15:$G$28*ISNUMBER(TRANSPOSE(Rendements!$C104:$P104)))</f>
        <v/>
      </c>
      <c r="L104" s="37">
        <f>IF(C104="","",IF(L103="",100,L103*(1+C104)))</f>
        <v/>
      </c>
      <c r="M104" s="37">
        <f>IF(D104="","",IF(M103="",100,M103*(1+D104)))</f>
        <v/>
      </c>
      <c r="N104" s="37">
        <f>IF(E104="","",IF(N103="",100,N103*(1+E104)))</f>
        <v/>
      </c>
      <c r="O104" s="37">
        <f>IF(F104="","",IF(O103="",100,O103*(1+F104)))</f>
        <v/>
      </c>
      <c r="P104" s="37">
        <f>IF(G104="","",IF(P103="",100,P103*(1+G104)))</f>
        <v/>
      </c>
    </row>
    <row r="105">
      <c r="B105" s="32">
        <f>Rendements!B105</f>
        <v/>
      </c>
      <c r="C105" s="34">
        <f>IF(SUMPRODUCT(Paramètres!$D$15:$D$28*ISNUMBER(TRANSPOSE(Rendements!$C105:$P105)))=0,"",SUMPRODUCT(Paramètres!$D$15:$D$28*ISNUMBER(TRANSPOSE(Rendements!$C105:$P105))*N(+TRANSPOSE(Rendements!$C105:$P105)))/SUMPRODUCT(Paramètres!$D$15:$D$28*ISNUMBER(TRANSPOSE(Rendements!$C105:$P105))))</f>
        <v/>
      </c>
      <c r="D105" s="34">
        <f>IF(SUMPRODUCT(Paramètres!$E$15:$E$28*ISNUMBER(TRANSPOSE(Rendements!$C105:$P105)))=0,"",SUMPRODUCT(Paramètres!$E$15:$E$28*ISNUMBER(TRANSPOSE(Rendements!$C105:$P105))*N(+TRANSPOSE(Rendements!$C105:$P105)))/SUMPRODUCT(Paramètres!$E$15:$E$28*ISNUMBER(TRANSPOSE(Rendements!$C105:$P105))))</f>
        <v/>
      </c>
      <c r="E105" s="34">
        <f>IF(SUMPRODUCT(Paramètres!$F$15:$F$28*ISNUMBER(TRANSPOSE(Rendements!$C105:$P105)))=0,"",SUMPRODUCT(Paramètres!$F$15:$F$28*ISNUMBER(TRANSPOSE(Rendements!$C105:$P105))*N(+TRANSPOSE(Rendements!$C105:$P105)))/SUMPRODUCT(Paramètres!$F$15:$F$28*ISNUMBER(TRANSPOSE(Rendements!$C105:$P105))))</f>
        <v/>
      </c>
      <c r="F105" s="34">
        <f>IF(SUMPRODUCT(Paramètres!$G$15:$G$28*ISNUMBER(TRANSPOSE(Rendements!$C105:$P105)))=0,"",SUMPRODUCT(Paramètres!$G$15:$G$28*ISNUMBER(TRANSPOSE(Rendements!$C105:$P105))*N(+TRANSPOSE(Rendements!$C105:$P105)))/SUMPRODUCT(Paramètres!$G$15:$G$28*ISNUMBER(TRANSPOSE(Rendements!$C105:$P105))))</f>
        <v/>
      </c>
      <c r="G105" s="35">
        <f>IF(OR(C105="",D105="",E105="",F105=""),"",Wc_C1*C105+Wc_C2*D105+Wc_C3*E105+Wc_C4*F105)</f>
        <v/>
      </c>
      <c r="H105" s="36">
        <f>SUMPRODUCT(Paramètres!$D$15:$D$28*ISNUMBER(TRANSPOSE(Rendements!$C105:$P105)))</f>
        <v/>
      </c>
      <c r="I105" s="36">
        <f>SUMPRODUCT(Paramètres!$E$15:$E$28*ISNUMBER(TRANSPOSE(Rendements!$C105:$P105)))</f>
        <v/>
      </c>
      <c r="J105" s="36">
        <f>SUMPRODUCT(Paramètres!$F$15:$F$28*ISNUMBER(TRANSPOSE(Rendements!$C105:$P105)))</f>
        <v/>
      </c>
      <c r="K105" s="36">
        <f>SUMPRODUCT(Paramètres!$G$15:$G$28*ISNUMBER(TRANSPOSE(Rendements!$C105:$P105)))</f>
        <v/>
      </c>
      <c r="L105" s="37">
        <f>IF(C105="","",IF(L104="",100,L104*(1+C105)))</f>
        <v/>
      </c>
      <c r="M105" s="37">
        <f>IF(D105="","",IF(M104="",100,M104*(1+D105)))</f>
        <v/>
      </c>
      <c r="N105" s="37">
        <f>IF(E105="","",IF(N104="",100,N104*(1+E105)))</f>
        <v/>
      </c>
      <c r="O105" s="37">
        <f>IF(F105="","",IF(O104="",100,O104*(1+F105)))</f>
        <v/>
      </c>
      <c r="P105" s="37">
        <f>IF(G105="","",IF(P104="",100,P104*(1+G105)))</f>
        <v/>
      </c>
    </row>
    <row r="106">
      <c r="B106" s="32">
        <f>Rendements!B106</f>
        <v/>
      </c>
      <c r="C106" s="34">
        <f>IF(SUMPRODUCT(Paramètres!$D$15:$D$28*ISNUMBER(TRANSPOSE(Rendements!$C106:$P106)))=0,"",SUMPRODUCT(Paramètres!$D$15:$D$28*ISNUMBER(TRANSPOSE(Rendements!$C106:$P106))*N(+TRANSPOSE(Rendements!$C106:$P106)))/SUMPRODUCT(Paramètres!$D$15:$D$28*ISNUMBER(TRANSPOSE(Rendements!$C106:$P106))))</f>
        <v/>
      </c>
      <c r="D106" s="34">
        <f>IF(SUMPRODUCT(Paramètres!$E$15:$E$28*ISNUMBER(TRANSPOSE(Rendements!$C106:$P106)))=0,"",SUMPRODUCT(Paramètres!$E$15:$E$28*ISNUMBER(TRANSPOSE(Rendements!$C106:$P106))*N(+TRANSPOSE(Rendements!$C106:$P106)))/SUMPRODUCT(Paramètres!$E$15:$E$28*ISNUMBER(TRANSPOSE(Rendements!$C106:$P106))))</f>
        <v/>
      </c>
      <c r="E106" s="34">
        <f>IF(SUMPRODUCT(Paramètres!$F$15:$F$28*ISNUMBER(TRANSPOSE(Rendements!$C106:$P106)))=0,"",SUMPRODUCT(Paramètres!$F$15:$F$28*ISNUMBER(TRANSPOSE(Rendements!$C106:$P106))*N(+TRANSPOSE(Rendements!$C106:$P106)))/SUMPRODUCT(Paramètres!$F$15:$F$28*ISNUMBER(TRANSPOSE(Rendements!$C106:$P106))))</f>
        <v/>
      </c>
      <c r="F106" s="34">
        <f>IF(SUMPRODUCT(Paramètres!$G$15:$G$28*ISNUMBER(TRANSPOSE(Rendements!$C106:$P106)))=0,"",SUMPRODUCT(Paramètres!$G$15:$G$28*ISNUMBER(TRANSPOSE(Rendements!$C106:$P106))*N(+TRANSPOSE(Rendements!$C106:$P106)))/SUMPRODUCT(Paramètres!$G$15:$G$28*ISNUMBER(TRANSPOSE(Rendements!$C106:$P106))))</f>
        <v/>
      </c>
      <c r="G106" s="35">
        <f>IF(OR(C106="",D106="",E106="",F106=""),"",Wc_C1*C106+Wc_C2*D106+Wc_C3*E106+Wc_C4*F106)</f>
        <v/>
      </c>
      <c r="H106" s="36">
        <f>SUMPRODUCT(Paramètres!$D$15:$D$28*ISNUMBER(TRANSPOSE(Rendements!$C106:$P106)))</f>
        <v/>
      </c>
      <c r="I106" s="36">
        <f>SUMPRODUCT(Paramètres!$E$15:$E$28*ISNUMBER(TRANSPOSE(Rendements!$C106:$P106)))</f>
        <v/>
      </c>
      <c r="J106" s="36">
        <f>SUMPRODUCT(Paramètres!$F$15:$F$28*ISNUMBER(TRANSPOSE(Rendements!$C106:$P106)))</f>
        <v/>
      </c>
      <c r="K106" s="36">
        <f>SUMPRODUCT(Paramètres!$G$15:$G$28*ISNUMBER(TRANSPOSE(Rendements!$C106:$P106)))</f>
        <v/>
      </c>
      <c r="L106" s="37">
        <f>IF(C106="","",IF(L105="",100,L105*(1+C106)))</f>
        <v/>
      </c>
      <c r="M106" s="37">
        <f>IF(D106="","",IF(M105="",100,M105*(1+D106)))</f>
        <v/>
      </c>
      <c r="N106" s="37">
        <f>IF(E106="","",IF(N105="",100,N105*(1+E106)))</f>
        <v/>
      </c>
      <c r="O106" s="37">
        <f>IF(F106="","",IF(O105="",100,O105*(1+F106)))</f>
        <v/>
      </c>
      <c r="P106" s="37">
        <f>IF(G106="","",IF(P105="",100,P105*(1+G106)))</f>
        <v/>
      </c>
    </row>
    <row r="107">
      <c r="B107" s="32">
        <f>Rendements!B107</f>
        <v/>
      </c>
      <c r="C107" s="34">
        <f>IF(SUMPRODUCT(Paramètres!$D$15:$D$28*ISNUMBER(TRANSPOSE(Rendements!$C107:$P107)))=0,"",SUMPRODUCT(Paramètres!$D$15:$D$28*ISNUMBER(TRANSPOSE(Rendements!$C107:$P107))*N(+TRANSPOSE(Rendements!$C107:$P107)))/SUMPRODUCT(Paramètres!$D$15:$D$28*ISNUMBER(TRANSPOSE(Rendements!$C107:$P107))))</f>
        <v/>
      </c>
      <c r="D107" s="34">
        <f>IF(SUMPRODUCT(Paramètres!$E$15:$E$28*ISNUMBER(TRANSPOSE(Rendements!$C107:$P107)))=0,"",SUMPRODUCT(Paramètres!$E$15:$E$28*ISNUMBER(TRANSPOSE(Rendements!$C107:$P107))*N(+TRANSPOSE(Rendements!$C107:$P107)))/SUMPRODUCT(Paramètres!$E$15:$E$28*ISNUMBER(TRANSPOSE(Rendements!$C107:$P107))))</f>
        <v/>
      </c>
      <c r="E107" s="34">
        <f>IF(SUMPRODUCT(Paramètres!$F$15:$F$28*ISNUMBER(TRANSPOSE(Rendements!$C107:$P107)))=0,"",SUMPRODUCT(Paramètres!$F$15:$F$28*ISNUMBER(TRANSPOSE(Rendements!$C107:$P107))*N(+TRANSPOSE(Rendements!$C107:$P107)))/SUMPRODUCT(Paramètres!$F$15:$F$28*ISNUMBER(TRANSPOSE(Rendements!$C107:$P107))))</f>
        <v/>
      </c>
      <c r="F107" s="34">
        <f>IF(SUMPRODUCT(Paramètres!$G$15:$G$28*ISNUMBER(TRANSPOSE(Rendements!$C107:$P107)))=0,"",SUMPRODUCT(Paramètres!$G$15:$G$28*ISNUMBER(TRANSPOSE(Rendements!$C107:$P107))*N(+TRANSPOSE(Rendements!$C107:$P107)))/SUMPRODUCT(Paramètres!$G$15:$G$28*ISNUMBER(TRANSPOSE(Rendements!$C107:$P107))))</f>
        <v/>
      </c>
      <c r="G107" s="35">
        <f>IF(OR(C107="",D107="",E107="",F107=""),"",Wc_C1*C107+Wc_C2*D107+Wc_C3*E107+Wc_C4*F107)</f>
        <v/>
      </c>
      <c r="H107" s="36">
        <f>SUMPRODUCT(Paramètres!$D$15:$D$28*ISNUMBER(TRANSPOSE(Rendements!$C107:$P107)))</f>
        <v/>
      </c>
      <c r="I107" s="36">
        <f>SUMPRODUCT(Paramètres!$E$15:$E$28*ISNUMBER(TRANSPOSE(Rendements!$C107:$P107)))</f>
        <v/>
      </c>
      <c r="J107" s="36">
        <f>SUMPRODUCT(Paramètres!$F$15:$F$28*ISNUMBER(TRANSPOSE(Rendements!$C107:$P107)))</f>
        <v/>
      </c>
      <c r="K107" s="36">
        <f>SUMPRODUCT(Paramètres!$G$15:$G$28*ISNUMBER(TRANSPOSE(Rendements!$C107:$P107)))</f>
        <v/>
      </c>
      <c r="L107" s="37">
        <f>IF(C107="","",IF(L106="",100,L106*(1+C107)))</f>
        <v/>
      </c>
      <c r="M107" s="37">
        <f>IF(D107="","",IF(M106="",100,M106*(1+D107)))</f>
        <v/>
      </c>
      <c r="N107" s="37">
        <f>IF(E107="","",IF(N106="",100,N106*(1+E107)))</f>
        <v/>
      </c>
      <c r="O107" s="37">
        <f>IF(F107="","",IF(O106="",100,O106*(1+F107)))</f>
        <v/>
      </c>
      <c r="P107" s="37">
        <f>IF(G107="","",IF(P106="",100,P106*(1+G107)))</f>
        <v/>
      </c>
    </row>
    <row r="108">
      <c r="B108" s="32">
        <f>Rendements!B108</f>
        <v/>
      </c>
      <c r="C108" s="34">
        <f>IF(SUMPRODUCT(Paramètres!$D$15:$D$28*ISNUMBER(TRANSPOSE(Rendements!$C108:$P108)))=0,"",SUMPRODUCT(Paramètres!$D$15:$D$28*ISNUMBER(TRANSPOSE(Rendements!$C108:$P108))*N(+TRANSPOSE(Rendements!$C108:$P108)))/SUMPRODUCT(Paramètres!$D$15:$D$28*ISNUMBER(TRANSPOSE(Rendements!$C108:$P108))))</f>
        <v/>
      </c>
      <c r="D108" s="34">
        <f>IF(SUMPRODUCT(Paramètres!$E$15:$E$28*ISNUMBER(TRANSPOSE(Rendements!$C108:$P108)))=0,"",SUMPRODUCT(Paramètres!$E$15:$E$28*ISNUMBER(TRANSPOSE(Rendements!$C108:$P108))*N(+TRANSPOSE(Rendements!$C108:$P108)))/SUMPRODUCT(Paramètres!$E$15:$E$28*ISNUMBER(TRANSPOSE(Rendements!$C108:$P108))))</f>
        <v/>
      </c>
      <c r="E108" s="34">
        <f>IF(SUMPRODUCT(Paramètres!$F$15:$F$28*ISNUMBER(TRANSPOSE(Rendements!$C108:$P108)))=0,"",SUMPRODUCT(Paramètres!$F$15:$F$28*ISNUMBER(TRANSPOSE(Rendements!$C108:$P108))*N(+TRANSPOSE(Rendements!$C108:$P108)))/SUMPRODUCT(Paramètres!$F$15:$F$28*ISNUMBER(TRANSPOSE(Rendements!$C108:$P108))))</f>
        <v/>
      </c>
      <c r="F108" s="34">
        <f>IF(SUMPRODUCT(Paramètres!$G$15:$G$28*ISNUMBER(TRANSPOSE(Rendements!$C108:$P108)))=0,"",SUMPRODUCT(Paramètres!$G$15:$G$28*ISNUMBER(TRANSPOSE(Rendements!$C108:$P108))*N(+TRANSPOSE(Rendements!$C108:$P108)))/SUMPRODUCT(Paramètres!$G$15:$G$28*ISNUMBER(TRANSPOSE(Rendements!$C108:$P108))))</f>
        <v/>
      </c>
      <c r="G108" s="35">
        <f>IF(OR(C108="",D108="",E108="",F108=""),"",Wc_C1*C108+Wc_C2*D108+Wc_C3*E108+Wc_C4*F108)</f>
        <v/>
      </c>
      <c r="H108" s="36">
        <f>SUMPRODUCT(Paramètres!$D$15:$D$28*ISNUMBER(TRANSPOSE(Rendements!$C108:$P108)))</f>
        <v/>
      </c>
      <c r="I108" s="36">
        <f>SUMPRODUCT(Paramètres!$E$15:$E$28*ISNUMBER(TRANSPOSE(Rendements!$C108:$P108)))</f>
        <v/>
      </c>
      <c r="J108" s="36">
        <f>SUMPRODUCT(Paramètres!$F$15:$F$28*ISNUMBER(TRANSPOSE(Rendements!$C108:$P108)))</f>
        <v/>
      </c>
      <c r="K108" s="36">
        <f>SUMPRODUCT(Paramètres!$G$15:$G$28*ISNUMBER(TRANSPOSE(Rendements!$C108:$P108)))</f>
        <v/>
      </c>
      <c r="L108" s="37">
        <f>IF(C108="","",IF(L107="",100,L107*(1+C108)))</f>
        <v/>
      </c>
      <c r="M108" s="37">
        <f>IF(D108="","",IF(M107="",100,M107*(1+D108)))</f>
        <v/>
      </c>
      <c r="N108" s="37">
        <f>IF(E108="","",IF(N107="",100,N107*(1+E108)))</f>
        <v/>
      </c>
      <c r="O108" s="37">
        <f>IF(F108="","",IF(O107="",100,O107*(1+F108)))</f>
        <v/>
      </c>
      <c r="P108" s="37">
        <f>IF(G108="","",IF(P107="",100,P107*(1+G108)))</f>
        <v/>
      </c>
    </row>
    <row r="109">
      <c r="B109" s="32">
        <f>Rendements!B109</f>
        <v/>
      </c>
      <c r="C109" s="34">
        <f>IF(SUMPRODUCT(Paramètres!$D$15:$D$28*ISNUMBER(TRANSPOSE(Rendements!$C109:$P109)))=0,"",SUMPRODUCT(Paramètres!$D$15:$D$28*ISNUMBER(TRANSPOSE(Rendements!$C109:$P109))*N(+TRANSPOSE(Rendements!$C109:$P109)))/SUMPRODUCT(Paramètres!$D$15:$D$28*ISNUMBER(TRANSPOSE(Rendements!$C109:$P109))))</f>
        <v/>
      </c>
      <c r="D109" s="34">
        <f>IF(SUMPRODUCT(Paramètres!$E$15:$E$28*ISNUMBER(TRANSPOSE(Rendements!$C109:$P109)))=0,"",SUMPRODUCT(Paramètres!$E$15:$E$28*ISNUMBER(TRANSPOSE(Rendements!$C109:$P109))*N(+TRANSPOSE(Rendements!$C109:$P109)))/SUMPRODUCT(Paramètres!$E$15:$E$28*ISNUMBER(TRANSPOSE(Rendements!$C109:$P109))))</f>
        <v/>
      </c>
      <c r="E109" s="34">
        <f>IF(SUMPRODUCT(Paramètres!$F$15:$F$28*ISNUMBER(TRANSPOSE(Rendements!$C109:$P109)))=0,"",SUMPRODUCT(Paramètres!$F$15:$F$28*ISNUMBER(TRANSPOSE(Rendements!$C109:$P109))*N(+TRANSPOSE(Rendements!$C109:$P109)))/SUMPRODUCT(Paramètres!$F$15:$F$28*ISNUMBER(TRANSPOSE(Rendements!$C109:$P109))))</f>
        <v/>
      </c>
      <c r="F109" s="34">
        <f>IF(SUMPRODUCT(Paramètres!$G$15:$G$28*ISNUMBER(TRANSPOSE(Rendements!$C109:$P109)))=0,"",SUMPRODUCT(Paramètres!$G$15:$G$28*ISNUMBER(TRANSPOSE(Rendements!$C109:$P109))*N(+TRANSPOSE(Rendements!$C109:$P109)))/SUMPRODUCT(Paramètres!$G$15:$G$28*ISNUMBER(TRANSPOSE(Rendements!$C109:$P109))))</f>
        <v/>
      </c>
      <c r="G109" s="35">
        <f>IF(OR(C109="",D109="",E109="",F109=""),"",Wc_C1*C109+Wc_C2*D109+Wc_C3*E109+Wc_C4*F109)</f>
        <v/>
      </c>
      <c r="H109" s="36">
        <f>SUMPRODUCT(Paramètres!$D$15:$D$28*ISNUMBER(TRANSPOSE(Rendements!$C109:$P109)))</f>
        <v/>
      </c>
      <c r="I109" s="36">
        <f>SUMPRODUCT(Paramètres!$E$15:$E$28*ISNUMBER(TRANSPOSE(Rendements!$C109:$P109)))</f>
        <v/>
      </c>
      <c r="J109" s="36">
        <f>SUMPRODUCT(Paramètres!$F$15:$F$28*ISNUMBER(TRANSPOSE(Rendements!$C109:$P109)))</f>
        <v/>
      </c>
      <c r="K109" s="36">
        <f>SUMPRODUCT(Paramètres!$G$15:$G$28*ISNUMBER(TRANSPOSE(Rendements!$C109:$P109)))</f>
        <v/>
      </c>
      <c r="L109" s="37">
        <f>IF(C109="","",IF(L108="",100,L108*(1+C109)))</f>
        <v/>
      </c>
      <c r="M109" s="37">
        <f>IF(D109="","",IF(M108="",100,M108*(1+D109)))</f>
        <v/>
      </c>
      <c r="N109" s="37">
        <f>IF(E109="","",IF(N108="",100,N108*(1+E109)))</f>
        <v/>
      </c>
      <c r="O109" s="37">
        <f>IF(F109="","",IF(O108="",100,O108*(1+F109)))</f>
        <v/>
      </c>
      <c r="P109" s="37">
        <f>IF(G109="","",IF(P108="",100,P108*(1+G109)))</f>
        <v/>
      </c>
    </row>
    <row r="110">
      <c r="B110" s="32">
        <f>Rendements!B110</f>
        <v/>
      </c>
      <c r="C110" s="34">
        <f>IF(SUMPRODUCT(Paramètres!$D$15:$D$28*ISNUMBER(TRANSPOSE(Rendements!$C110:$P110)))=0,"",SUMPRODUCT(Paramètres!$D$15:$D$28*ISNUMBER(TRANSPOSE(Rendements!$C110:$P110))*N(+TRANSPOSE(Rendements!$C110:$P110)))/SUMPRODUCT(Paramètres!$D$15:$D$28*ISNUMBER(TRANSPOSE(Rendements!$C110:$P110))))</f>
        <v/>
      </c>
      <c r="D110" s="34">
        <f>IF(SUMPRODUCT(Paramètres!$E$15:$E$28*ISNUMBER(TRANSPOSE(Rendements!$C110:$P110)))=0,"",SUMPRODUCT(Paramètres!$E$15:$E$28*ISNUMBER(TRANSPOSE(Rendements!$C110:$P110))*N(+TRANSPOSE(Rendements!$C110:$P110)))/SUMPRODUCT(Paramètres!$E$15:$E$28*ISNUMBER(TRANSPOSE(Rendements!$C110:$P110))))</f>
        <v/>
      </c>
      <c r="E110" s="34">
        <f>IF(SUMPRODUCT(Paramètres!$F$15:$F$28*ISNUMBER(TRANSPOSE(Rendements!$C110:$P110)))=0,"",SUMPRODUCT(Paramètres!$F$15:$F$28*ISNUMBER(TRANSPOSE(Rendements!$C110:$P110))*N(+TRANSPOSE(Rendements!$C110:$P110)))/SUMPRODUCT(Paramètres!$F$15:$F$28*ISNUMBER(TRANSPOSE(Rendements!$C110:$P110))))</f>
        <v/>
      </c>
      <c r="F110" s="34">
        <f>IF(SUMPRODUCT(Paramètres!$G$15:$G$28*ISNUMBER(TRANSPOSE(Rendements!$C110:$P110)))=0,"",SUMPRODUCT(Paramètres!$G$15:$G$28*ISNUMBER(TRANSPOSE(Rendements!$C110:$P110))*N(+TRANSPOSE(Rendements!$C110:$P110)))/SUMPRODUCT(Paramètres!$G$15:$G$28*ISNUMBER(TRANSPOSE(Rendements!$C110:$P110))))</f>
        <v/>
      </c>
      <c r="G110" s="35">
        <f>IF(OR(C110="",D110="",E110="",F110=""),"",Wc_C1*C110+Wc_C2*D110+Wc_C3*E110+Wc_C4*F110)</f>
        <v/>
      </c>
      <c r="H110" s="36">
        <f>SUMPRODUCT(Paramètres!$D$15:$D$28*ISNUMBER(TRANSPOSE(Rendements!$C110:$P110)))</f>
        <v/>
      </c>
      <c r="I110" s="36">
        <f>SUMPRODUCT(Paramètres!$E$15:$E$28*ISNUMBER(TRANSPOSE(Rendements!$C110:$P110)))</f>
        <v/>
      </c>
      <c r="J110" s="36">
        <f>SUMPRODUCT(Paramètres!$F$15:$F$28*ISNUMBER(TRANSPOSE(Rendements!$C110:$P110)))</f>
        <v/>
      </c>
      <c r="K110" s="36">
        <f>SUMPRODUCT(Paramètres!$G$15:$G$28*ISNUMBER(TRANSPOSE(Rendements!$C110:$P110)))</f>
        <v/>
      </c>
      <c r="L110" s="37">
        <f>IF(C110="","",IF(L109="",100,L109*(1+C110)))</f>
        <v/>
      </c>
      <c r="M110" s="37">
        <f>IF(D110="","",IF(M109="",100,M109*(1+D110)))</f>
        <v/>
      </c>
      <c r="N110" s="37">
        <f>IF(E110="","",IF(N109="",100,N109*(1+E110)))</f>
        <v/>
      </c>
      <c r="O110" s="37">
        <f>IF(F110="","",IF(O109="",100,O109*(1+F110)))</f>
        <v/>
      </c>
      <c r="P110" s="37">
        <f>IF(G110="","",IF(P109="",100,P109*(1+G110)))</f>
        <v/>
      </c>
    </row>
    <row r="111">
      <c r="B111" s="32">
        <f>Rendements!B111</f>
        <v/>
      </c>
      <c r="C111" s="34">
        <f>IF(SUMPRODUCT(Paramètres!$D$15:$D$28*ISNUMBER(TRANSPOSE(Rendements!$C111:$P111)))=0,"",SUMPRODUCT(Paramètres!$D$15:$D$28*ISNUMBER(TRANSPOSE(Rendements!$C111:$P111))*N(+TRANSPOSE(Rendements!$C111:$P111)))/SUMPRODUCT(Paramètres!$D$15:$D$28*ISNUMBER(TRANSPOSE(Rendements!$C111:$P111))))</f>
        <v/>
      </c>
      <c r="D111" s="34">
        <f>IF(SUMPRODUCT(Paramètres!$E$15:$E$28*ISNUMBER(TRANSPOSE(Rendements!$C111:$P111)))=0,"",SUMPRODUCT(Paramètres!$E$15:$E$28*ISNUMBER(TRANSPOSE(Rendements!$C111:$P111))*N(+TRANSPOSE(Rendements!$C111:$P111)))/SUMPRODUCT(Paramètres!$E$15:$E$28*ISNUMBER(TRANSPOSE(Rendements!$C111:$P111))))</f>
        <v/>
      </c>
      <c r="E111" s="34">
        <f>IF(SUMPRODUCT(Paramètres!$F$15:$F$28*ISNUMBER(TRANSPOSE(Rendements!$C111:$P111)))=0,"",SUMPRODUCT(Paramètres!$F$15:$F$28*ISNUMBER(TRANSPOSE(Rendements!$C111:$P111))*N(+TRANSPOSE(Rendements!$C111:$P111)))/SUMPRODUCT(Paramètres!$F$15:$F$28*ISNUMBER(TRANSPOSE(Rendements!$C111:$P111))))</f>
        <v/>
      </c>
      <c r="F111" s="34">
        <f>IF(SUMPRODUCT(Paramètres!$G$15:$G$28*ISNUMBER(TRANSPOSE(Rendements!$C111:$P111)))=0,"",SUMPRODUCT(Paramètres!$G$15:$G$28*ISNUMBER(TRANSPOSE(Rendements!$C111:$P111))*N(+TRANSPOSE(Rendements!$C111:$P111)))/SUMPRODUCT(Paramètres!$G$15:$G$28*ISNUMBER(TRANSPOSE(Rendements!$C111:$P111))))</f>
        <v/>
      </c>
      <c r="G111" s="35">
        <f>IF(OR(C111="",D111="",E111="",F111=""),"",Wc_C1*C111+Wc_C2*D111+Wc_C3*E111+Wc_C4*F111)</f>
        <v/>
      </c>
      <c r="H111" s="36">
        <f>SUMPRODUCT(Paramètres!$D$15:$D$28*ISNUMBER(TRANSPOSE(Rendements!$C111:$P111)))</f>
        <v/>
      </c>
      <c r="I111" s="36">
        <f>SUMPRODUCT(Paramètres!$E$15:$E$28*ISNUMBER(TRANSPOSE(Rendements!$C111:$P111)))</f>
        <v/>
      </c>
      <c r="J111" s="36">
        <f>SUMPRODUCT(Paramètres!$F$15:$F$28*ISNUMBER(TRANSPOSE(Rendements!$C111:$P111)))</f>
        <v/>
      </c>
      <c r="K111" s="36">
        <f>SUMPRODUCT(Paramètres!$G$15:$G$28*ISNUMBER(TRANSPOSE(Rendements!$C111:$P111)))</f>
        <v/>
      </c>
      <c r="L111" s="37">
        <f>IF(C111="","",IF(L110="",100,L110*(1+C111)))</f>
        <v/>
      </c>
      <c r="M111" s="37">
        <f>IF(D111="","",IF(M110="",100,M110*(1+D111)))</f>
        <v/>
      </c>
      <c r="N111" s="37">
        <f>IF(E111="","",IF(N110="",100,N110*(1+E111)))</f>
        <v/>
      </c>
      <c r="O111" s="37">
        <f>IF(F111="","",IF(O110="",100,O110*(1+F111)))</f>
        <v/>
      </c>
      <c r="P111" s="37">
        <f>IF(G111="","",IF(P110="",100,P110*(1+G111)))</f>
        <v/>
      </c>
    </row>
    <row r="112">
      <c r="B112" s="32">
        <f>Rendements!B112</f>
        <v/>
      </c>
      <c r="C112" s="34">
        <f>IF(SUMPRODUCT(Paramètres!$D$15:$D$28*ISNUMBER(TRANSPOSE(Rendements!$C112:$P112)))=0,"",SUMPRODUCT(Paramètres!$D$15:$D$28*ISNUMBER(TRANSPOSE(Rendements!$C112:$P112))*N(+TRANSPOSE(Rendements!$C112:$P112)))/SUMPRODUCT(Paramètres!$D$15:$D$28*ISNUMBER(TRANSPOSE(Rendements!$C112:$P112))))</f>
        <v/>
      </c>
      <c r="D112" s="34">
        <f>IF(SUMPRODUCT(Paramètres!$E$15:$E$28*ISNUMBER(TRANSPOSE(Rendements!$C112:$P112)))=0,"",SUMPRODUCT(Paramètres!$E$15:$E$28*ISNUMBER(TRANSPOSE(Rendements!$C112:$P112))*N(+TRANSPOSE(Rendements!$C112:$P112)))/SUMPRODUCT(Paramètres!$E$15:$E$28*ISNUMBER(TRANSPOSE(Rendements!$C112:$P112))))</f>
        <v/>
      </c>
      <c r="E112" s="34">
        <f>IF(SUMPRODUCT(Paramètres!$F$15:$F$28*ISNUMBER(TRANSPOSE(Rendements!$C112:$P112)))=0,"",SUMPRODUCT(Paramètres!$F$15:$F$28*ISNUMBER(TRANSPOSE(Rendements!$C112:$P112))*N(+TRANSPOSE(Rendements!$C112:$P112)))/SUMPRODUCT(Paramètres!$F$15:$F$28*ISNUMBER(TRANSPOSE(Rendements!$C112:$P112))))</f>
        <v/>
      </c>
      <c r="F112" s="34">
        <f>IF(SUMPRODUCT(Paramètres!$G$15:$G$28*ISNUMBER(TRANSPOSE(Rendements!$C112:$P112)))=0,"",SUMPRODUCT(Paramètres!$G$15:$G$28*ISNUMBER(TRANSPOSE(Rendements!$C112:$P112))*N(+TRANSPOSE(Rendements!$C112:$P112)))/SUMPRODUCT(Paramètres!$G$15:$G$28*ISNUMBER(TRANSPOSE(Rendements!$C112:$P112))))</f>
        <v/>
      </c>
      <c r="G112" s="35">
        <f>IF(OR(C112="",D112="",E112="",F112=""),"",Wc_C1*C112+Wc_C2*D112+Wc_C3*E112+Wc_C4*F112)</f>
        <v/>
      </c>
      <c r="H112" s="36">
        <f>SUMPRODUCT(Paramètres!$D$15:$D$28*ISNUMBER(TRANSPOSE(Rendements!$C112:$P112)))</f>
        <v/>
      </c>
      <c r="I112" s="36">
        <f>SUMPRODUCT(Paramètres!$E$15:$E$28*ISNUMBER(TRANSPOSE(Rendements!$C112:$P112)))</f>
        <v/>
      </c>
      <c r="J112" s="36">
        <f>SUMPRODUCT(Paramètres!$F$15:$F$28*ISNUMBER(TRANSPOSE(Rendements!$C112:$P112)))</f>
        <v/>
      </c>
      <c r="K112" s="36">
        <f>SUMPRODUCT(Paramètres!$G$15:$G$28*ISNUMBER(TRANSPOSE(Rendements!$C112:$P112)))</f>
        <v/>
      </c>
      <c r="L112" s="37">
        <f>IF(C112="","",IF(L111="",100,L111*(1+C112)))</f>
        <v/>
      </c>
      <c r="M112" s="37">
        <f>IF(D112="","",IF(M111="",100,M111*(1+D112)))</f>
        <v/>
      </c>
      <c r="N112" s="37">
        <f>IF(E112="","",IF(N111="",100,N111*(1+E112)))</f>
        <v/>
      </c>
      <c r="O112" s="37">
        <f>IF(F112="","",IF(O111="",100,O111*(1+F112)))</f>
        <v/>
      </c>
      <c r="P112" s="37">
        <f>IF(G112="","",IF(P111="",100,P111*(1+G112)))</f>
        <v/>
      </c>
    </row>
    <row r="113">
      <c r="B113" s="32">
        <f>Rendements!B113</f>
        <v/>
      </c>
      <c r="C113" s="34">
        <f>IF(SUMPRODUCT(Paramètres!$D$15:$D$28*ISNUMBER(TRANSPOSE(Rendements!$C113:$P113)))=0,"",SUMPRODUCT(Paramètres!$D$15:$D$28*ISNUMBER(TRANSPOSE(Rendements!$C113:$P113))*N(+TRANSPOSE(Rendements!$C113:$P113)))/SUMPRODUCT(Paramètres!$D$15:$D$28*ISNUMBER(TRANSPOSE(Rendements!$C113:$P113))))</f>
        <v/>
      </c>
      <c r="D113" s="34">
        <f>IF(SUMPRODUCT(Paramètres!$E$15:$E$28*ISNUMBER(TRANSPOSE(Rendements!$C113:$P113)))=0,"",SUMPRODUCT(Paramètres!$E$15:$E$28*ISNUMBER(TRANSPOSE(Rendements!$C113:$P113))*N(+TRANSPOSE(Rendements!$C113:$P113)))/SUMPRODUCT(Paramètres!$E$15:$E$28*ISNUMBER(TRANSPOSE(Rendements!$C113:$P113))))</f>
        <v/>
      </c>
      <c r="E113" s="34">
        <f>IF(SUMPRODUCT(Paramètres!$F$15:$F$28*ISNUMBER(TRANSPOSE(Rendements!$C113:$P113)))=0,"",SUMPRODUCT(Paramètres!$F$15:$F$28*ISNUMBER(TRANSPOSE(Rendements!$C113:$P113))*N(+TRANSPOSE(Rendements!$C113:$P113)))/SUMPRODUCT(Paramètres!$F$15:$F$28*ISNUMBER(TRANSPOSE(Rendements!$C113:$P113))))</f>
        <v/>
      </c>
      <c r="F113" s="34">
        <f>IF(SUMPRODUCT(Paramètres!$G$15:$G$28*ISNUMBER(TRANSPOSE(Rendements!$C113:$P113)))=0,"",SUMPRODUCT(Paramètres!$G$15:$G$28*ISNUMBER(TRANSPOSE(Rendements!$C113:$P113))*N(+TRANSPOSE(Rendements!$C113:$P113)))/SUMPRODUCT(Paramètres!$G$15:$G$28*ISNUMBER(TRANSPOSE(Rendements!$C113:$P113))))</f>
        <v/>
      </c>
      <c r="G113" s="35">
        <f>IF(OR(C113="",D113="",E113="",F113=""),"",Wc_C1*C113+Wc_C2*D113+Wc_C3*E113+Wc_C4*F113)</f>
        <v/>
      </c>
      <c r="H113" s="36">
        <f>SUMPRODUCT(Paramètres!$D$15:$D$28*ISNUMBER(TRANSPOSE(Rendements!$C113:$P113)))</f>
        <v/>
      </c>
      <c r="I113" s="36">
        <f>SUMPRODUCT(Paramètres!$E$15:$E$28*ISNUMBER(TRANSPOSE(Rendements!$C113:$P113)))</f>
        <v/>
      </c>
      <c r="J113" s="36">
        <f>SUMPRODUCT(Paramètres!$F$15:$F$28*ISNUMBER(TRANSPOSE(Rendements!$C113:$P113)))</f>
        <v/>
      </c>
      <c r="K113" s="36">
        <f>SUMPRODUCT(Paramètres!$G$15:$G$28*ISNUMBER(TRANSPOSE(Rendements!$C113:$P113)))</f>
        <v/>
      </c>
      <c r="L113" s="37">
        <f>IF(C113="","",IF(L112="",100,L112*(1+C113)))</f>
        <v/>
      </c>
      <c r="M113" s="37">
        <f>IF(D113="","",IF(M112="",100,M112*(1+D113)))</f>
        <v/>
      </c>
      <c r="N113" s="37">
        <f>IF(E113="","",IF(N112="",100,N112*(1+E113)))</f>
        <v/>
      </c>
      <c r="O113" s="37">
        <f>IF(F113="","",IF(O112="",100,O112*(1+F113)))</f>
        <v/>
      </c>
      <c r="P113" s="37">
        <f>IF(G113="","",IF(P112="",100,P112*(1+G113)))</f>
        <v/>
      </c>
    </row>
    <row r="114">
      <c r="B114" s="32">
        <f>Rendements!B114</f>
        <v/>
      </c>
      <c r="C114" s="34">
        <f>IF(SUMPRODUCT(Paramètres!$D$15:$D$28*ISNUMBER(TRANSPOSE(Rendements!$C114:$P114)))=0,"",SUMPRODUCT(Paramètres!$D$15:$D$28*ISNUMBER(TRANSPOSE(Rendements!$C114:$P114))*N(+TRANSPOSE(Rendements!$C114:$P114)))/SUMPRODUCT(Paramètres!$D$15:$D$28*ISNUMBER(TRANSPOSE(Rendements!$C114:$P114))))</f>
        <v/>
      </c>
      <c r="D114" s="34">
        <f>IF(SUMPRODUCT(Paramètres!$E$15:$E$28*ISNUMBER(TRANSPOSE(Rendements!$C114:$P114)))=0,"",SUMPRODUCT(Paramètres!$E$15:$E$28*ISNUMBER(TRANSPOSE(Rendements!$C114:$P114))*N(+TRANSPOSE(Rendements!$C114:$P114)))/SUMPRODUCT(Paramètres!$E$15:$E$28*ISNUMBER(TRANSPOSE(Rendements!$C114:$P114))))</f>
        <v/>
      </c>
      <c r="E114" s="34">
        <f>IF(SUMPRODUCT(Paramètres!$F$15:$F$28*ISNUMBER(TRANSPOSE(Rendements!$C114:$P114)))=0,"",SUMPRODUCT(Paramètres!$F$15:$F$28*ISNUMBER(TRANSPOSE(Rendements!$C114:$P114))*N(+TRANSPOSE(Rendements!$C114:$P114)))/SUMPRODUCT(Paramètres!$F$15:$F$28*ISNUMBER(TRANSPOSE(Rendements!$C114:$P114))))</f>
        <v/>
      </c>
      <c r="F114" s="34">
        <f>IF(SUMPRODUCT(Paramètres!$G$15:$G$28*ISNUMBER(TRANSPOSE(Rendements!$C114:$P114)))=0,"",SUMPRODUCT(Paramètres!$G$15:$G$28*ISNUMBER(TRANSPOSE(Rendements!$C114:$P114))*N(+TRANSPOSE(Rendements!$C114:$P114)))/SUMPRODUCT(Paramètres!$G$15:$G$28*ISNUMBER(TRANSPOSE(Rendements!$C114:$P114))))</f>
        <v/>
      </c>
      <c r="G114" s="35">
        <f>IF(OR(C114="",D114="",E114="",F114=""),"",Wc_C1*C114+Wc_C2*D114+Wc_C3*E114+Wc_C4*F114)</f>
        <v/>
      </c>
      <c r="H114" s="36">
        <f>SUMPRODUCT(Paramètres!$D$15:$D$28*ISNUMBER(TRANSPOSE(Rendements!$C114:$P114)))</f>
        <v/>
      </c>
      <c r="I114" s="36">
        <f>SUMPRODUCT(Paramètres!$E$15:$E$28*ISNUMBER(TRANSPOSE(Rendements!$C114:$P114)))</f>
        <v/>
      </c>
      <c r="J114" s="36">
        <f>SUMPRODUCT(Paramètres!$F$15:$F$28*ISNUMBER(TRANSPOSE(Rendements!$C114:$P114)))</f>
        <v/>
      </c>
      <c r="K114" s="36">
        <f>SUMPRODUCT(Paramètres!$G$15:$G$28*ISNUMBER(TRANSPOSE(Rendements!$C114:$P114)))</f>
        <v/>
      </c>
      <c r="L114" s="37">
        <f>IF(C114="","",IF(L113="",100,L113*(1+C114)))</f>
        <v/>
      </c>
      <c r="M114" s="37">
        <f>IF(D114="","",IF(M113="",100,M113*(1+D114)))</f>
        <v/>
      </c>
      <c r="N114" s="37">
        <f>IF(E114="","",IF(N113="",100,N113*(1+E114)))</f>
        <v/>
      </c>
      <c r="O114" s="37">
        <f>IF(F114="","",IF(O113="",100,O113*(1+F114)))</f>
        <v/>
      </c>
      <c r="P114" s="37">
        <f>IF(G114="","",IF(P113="",100,P113*(1+G114)))</f>
        <v/>
      </c>
    </row>
    <row r="115">
      <c r="B115" s="32">
        <f>Rendements!B115</f>
        <v/>
      </c>
      <c r="C115" s="34">
        <f>IF(SUMPRODUCT(Paramètres!$D$15:$D$28*ISNUMBER(TRANSPOSE(Rendements!$C115:$P115)))=0,"",SUMPRODUCT(Paramètres!$D$15:$D$28*ISNUMBER(TRANSPOSE(Rendements!$C115:$P115))*N(+TRANSPOSE(Rendements!$C115:$P115)))/SUMPRODUCT(Paramètres!$D$15:$D$28*ISNUMBER(TRANSPOSE(Rendements!$C115:$P115))))</f>
        <v/>
      </c>
      <c r="D115" s="34">
        <f>IF(SUMPRODUCT(Paramètres!$E$15:$E$28*ISNUMBER(TRANSPOSE(Rendements!$C115:$P115)))=0,"",SUMPRODUCT(Paramètres!$E$15:$E$28*ISNUMBER(TRANSPOSE(Rendements!$C115:$P115))*N(+TRANSPOSE(Rendements!$C115:$P115)))/SUMPRODUCT(Paramètres!$E$15:$E$28*ISNUMBER(TRANSPOSE(Rendements!$C115:$P115))))</f>
        <v/>
      </c>
      <c r="E115" s="34">
        <f>IF(SUMPRODUCT(Paramètres!$F$15:$F$28*ISNUMBER(TRANSPOSE(Rendements!$C115:$P115)))=0,"",SUMPRODUCT(Paramètres!$F$15:$F$28*ISNUMBER(TRANSPOSE(Rendements!$C115:$P115))*N(+TRANSPOSE(Rendements!$C115:$P115)))/SUMPRODUCT(Paramètres!$F$15:$F$28*ISNUMBER(TRANSPOSE(Rendements!$C115:$P115))))</f>
        <v/>
      </c>
      <c r="F115" s="34">
        <f>IF(SUMPRODUCT(Paramètres!$G$15:$G$28*ISNUMBER(TRANSPOSE(Rendements!$C115:$P115)))=0,"",SUMPRODUCT(Paramètres!$G$15:$G$28*ISNUMBER(TRANSPOSE(Rendements!$C115:$P115))*N(+TRANSPOSE(Rendements!$C115:$P115)))/SUMPRODUCT(Paramètres!$G$15:$G$28*ISNUMBER(TRANSPOSE(Rendements!$C115:$P115))))</f>
        <v/>
      </c>
      <c r="G115" s="35">
        <f>IF(OR(C115="",D115="",E115="",F115=""),"",Wc_C1*C115+Wc_C2*D115+Wc_C3*E115+Wc_C4*F115)</f>
        <v/>
      </c>
      <c r="H115" s="36">
        <f>SUMPRODUCT(Paramètres!$D$15:$D$28*ISNUMBER(TRANSPOSE(Rendements!$C115:$P115)))</f>
        <v/>
      </c>
      <c r="I115" s="36">
        <f>SUMPRODUCT(Paramètres!$E$15:$E$28*ISNUMBER(TRANSPOSE(Rendements!$C115:$P115)))</f>
        <v/>
      </c>
      <c r="J115" s="36">
        <f>SUMPRODUCT(Paramètres!$F$15:$F$28*ISNUMBER(TRANSPOSE(Rendements!$C115:$P115)))</f>
        <v/>
      </c>
      <c r="K115" s="36">
        <f>SUMPRODUCT(Paramètres!$G$15:$G$28*ISNUMBER(TRANSPOSE(Rendements!$C115:$P115)))</f>
        <v/>
      </c>
      <c r="L115" s="37">
        <f>IF(C115="","",IF(L114="",100,L114*(1+C115)))</f>
        <v/>
      </c>
      <c r="M115" s="37">
        <f>IF(D115="","",IF(M114="",100,M114*(1+D115)))</f>
        <v/>
      </c>
      <c r="N115" s="37">
        <f>IF(E115="","",IF(N114="",100,N114*(1+E115)))</f>
        <v/>
      </c>
      <c r="O115" s="37">
        <f>IF(F115="","",IF(O114="",100,O114*(1+F115)))</f>
        <v/>
      </c>
      <c r="P115" s="37">
        <f>IF(G115="","",IF(P114="",100,P114*(1+G115)))</f>
        <v/>
      </c>
    </row>
    <row r="116">
      <c r="B116" s="32">
        <f>Rendements!B116</f>
        <v/>
      </c>
      <c r="C116" s="34">
        <f>IF(SUMPRODUCT(Paramètres!$D$15:$D$28*ISNUMBER(TRANSPOSE(Rendements!$C116:$P116)))=0,"",SUMPRODUCT(Paramètres!$D$15:$D$28*ISNUMBER(TRANSPOSE(Rendements!$C116:$P116))*N(+TRANSPOSE(Rendements!$C116:$P116)))/SUMPRODUCT(Paramètres!$D$15:$D$28*ISNUMBER(TRANSPOSE(Rendements!$C116:$P116))))</f>
        <v/>
      </c>
      <c r="D116" s="34">
        <f>IF(SUMPRODUCT(Paramètres!$E$15:$E$28*ISNUMBER(TRANSPOSE(Rendements!$C116:$P116)))=0,"",SUMPRODUCT(Paramètres!$E$15:$E$28*ISNUMBER(TRANSPOSE(Rendements!$C116:$P116))*N(+TRANSPOSE(Rendements!$C116:$P116)))/SUMPRODUCT(Paramètres!$E$15:$E$28*ISNUMBER(TRANSPOSE(Rendements!$C116:$P116))))</f>
        <v/>
      </c>
      <c r="E116" s="34">
        <f>IF(SUMPRODUCT(Paramètres!$F$15:$F$28*ISNUMBER(TRANSPOSE(Rendements!$C116:$P116)))=0,"",SUMPRODUCT(Paramètres!$F$15:$F$28*ISNUMBER(TRANSPOSE(Rendements!$C116:$P116))*N(+TRANSPOSE(Rendements!$C116:$P116)))/SUMPRODUCT(Paramètres!$F$15:$F$28*ISNUMBER(TRANSPOSE(Rendements!$C116:$P116))))</f>
        <v/>
      </c>
      <c r="F116" s="34">
        <f>IF(SUMPRODUCT(Paramètres!$G$15:$G$28*ISNUMBER(TRANSPOSE(Rendements!$C116:$P116)))=0,"",SUMPRODUCT(Paramètres!$G$15:$G$28*ISNUMBER(TRANSPOSE(Rendements!$C116:$P116))*N(+TRANSPOSE(Rendements!$C116:$P116)))/SUMPRODUCT(Paramètres!$G$15:$G$28*ISNUMBER(TRANSPOSE(Rendements!$C116:$P116))))</f>
        <v/>
      </c>
      <c r="G116" s="35">
        <f>IF(OR(C116="",D116="",E116="",F116=""),"",Wc_C1*C116+Wc_C2*D116+Wc_C3*E116+Wc_C4*F116)</f>
        <v/>
      </c>
      <c r="H116" s="36">
        <f>SUMPRODUCT(Paramètres!$D$15:$D$28*ISNUMBER(TRANSPOSE(Rendements!$C116:$P116)))</f>
        <v/>
      </c>
      <c r="I116" s="36">
        <f>SUMPRODUCT(Paramètres!$E$15:$E$28*ISNUMBER(TRANSPOSE(Rendements!$C116:$P116)))</f>
        <v/>
      </c>
      <c r="J116" s="36">
        <f>SUMPRODUCT(Paramètres!$F$15:$F$28*ISNUMBER(TRANSPOSE(Rendements!$C116:$P116)))</f>
        <v/>
      </c>
      <c r="K116" s="36">
        <f>SUMPRODUCT(Paramètres!$G$15:$G$28*ISNUMBER(TRANSPOSE(Rendements!$C116:$P116)))</f>
        <v/>
      </c>
      <c r="L116" s="37">
        <f>IF(C116="","",IF(L115="",100,L115*(1+C116)))</f>
        <v/>
      </c>
      <c r="M116" s="37">
        <f>IF(D116="","",IF(M115="",100,M115*(1+D116)))</f>
        <v/>
      </c>
      <c r="N116" s="37">
        <f>IF(E116="","",IF(N115="",100,N115*(1+E116)))</f>
        <v/>
      </c>
      <c r="O116" s="37">
        <f>IF(F116="","",IF(O115="",100,O115*(1+F116)))</f>
        <v/>
      </c>
      <c r="P116" s="37">
        <f>IF(G116="","",IF(P115="",100,P115*(1+G116)))</f>
        <v/>
      </c>
    </row>
    <row r="117">
      <c r="B117" s="32">
        <f>Rendements!B117</f>
        <v/>
      </c>
      <c r="C117" s="34">
        <f>IF(SUMPRODUCT(Paramètres!$D$15:$D$28*ISNUMBER(TRANSPOSE(Rendements!$C117:$P117)))=0,"",SUMPRODUCT(Paramètres!$D$15:$D$28*ISNUMBER(TRANSPOSE(Rendements!$C117:$P117))*N(+TRANSPOSE(Rendements!$C117:$P117)))/SUMPRODUCT(Paramètres!$D$15:$D$28*ISNUMBER(TRANSPOSE(Rendements!$C117:$P117))))</f>
        <v/>
      </c>
      <c r="D117" s="34">
        <f>IF(SUMPRODUCT(Paramètres!$E$15:$E$28*ISNUMBER(TRANSPOSE(Rendements!$C117:$P117)))=0,"",SUMPRODUCT(Paramètres!$E$15:$E$28*ISNUMBER(TRANSPOSE(Rendements!$C117:$P117))*N(+TRANSPOSE(Rendements!$C117:$P117)))/SUMPRODUCT(Paramètres!$E$15:$E$28*ISNUMBER(TRANSPOSE(Rendements!$C117:$P117))))</f>
        <v/>
      </c>
      <c r="E117" s="34">
        <f>IF(SUMPRODUCT(Paramètres!$F$15:$F$28*ISNUMBER(TRANSPOSE(Rendements!$C117:$P117)))=0,"",SUMPRODUCT(Paramètres!$F$15:$F$28*ISNUMBER(TRANSPOSE(Rendements!$C117:$P117))*N(+TRANSPOSE(Rendements!$C117:$P117)))/SUMPRODUCT(Paramètres!$F$15:$F$28*ISNUMBER(TRANSPOSE(Rendements!$C117:$P117))))</f>
        <v/>
      </c>
      <c r="F117" s="34">
        <f>IF(SUMPRODUCT(Paramètres!$G$15:$G$28*ISNUMBER(TRANSPOSE(Rendements!$C117:$P117)))=0,"",SUMPRODUCT(Paramètres!$G$15:$G$28*ISNUMBER(TRANSPOSE(Rendements!$C117:$P117))*N(+TRANSPOSE(Rendements!$C117:$P117)))/SUMPRODUCT(Paramètres!$G$15:$G$28*ISNUMBER(TRANSPOSE(Rendements!$C117:$P117))))</f>
        <v/>
      </c>
      <c r="G117" s="35">
        <f>IF(OR(C117="",D117="",E117="",F117=""),"",Wc_C1*C117+Wc_C2*D117+Wc_C3*E117+Wc_C4*F117)</f>
        <v/>
      </c>
      <c r="H117" s="36">
        <f>SUMPRODUCT(Paramètres!$D$15:$D$28*ISNUMBER(TRANSPOSE(Rendements!$C117:$P117)))</f>
        <v/>
      </c>
      <c r="I117" s="36">
        <f>SUMPRODUCT(Paramètres!$E$15:$E$28*ISNUMBER(TRANSPOSE(Rendements!$C117:$P117)))</f>
        <v/>
      </c>
      <c r="J117" s="36">
        <f>SUMPRODUCT(Paramètres!$F$15:$F$28*ISNUMBER(TRANSPOSE(Rendements!$C117:$P117)))</f>
        <v/>
      </c>
      <c r="K117" s="36">
        <f>SUMPRODUCT(Paramètres!$G$15:$G$28*ISNUMBER(TRANSPOSE(Rendements!$C117:$P117)))</f>
        <v/>
      </c>
      <c r="L117" s="37">
        <f>IF(C117="","",IF(L116="",100,L116*(1+C117)))</f>
        <v/>
      </c>
      <c r="M117" s="37">
        <f>IF(D117="","",IF(M116="",100,M116*(1+D117)))</f>
        <v/>
      </c>
      <c r="N117" s="37">
        <f>IF(E117="","",IF(N116="",100,N116*(1+E117)))</f>
        <v/>
      </c>
      <c r="O117" s="37">
        <f>IF(F117="","",IF(O116="",100,O116*(1+F117)))</f>
        <v/>
      </c>
      <c r="P117" s="37">
        <f>IF(G117="","",IF(P116="",100,P116*(1+G117)))</f>
        <v/>
      </c>
    </row>
    <row r="118">
      <c r="B118" s="32">
        <f>Rendements!B118</f>
        <v/>
      </c>
      <c r="C118" s="34">
        <f>IF(SUMPRODUCT(Paramètres!$D$15:$D$28*ISNUMBER(TRANSPOSE(Rendements!$C118:$P118)))=0,"",SUMPRODUCT(Paramètres!$D$15:$D$28*ISNUMBER(TRANSPOSE(Rendements!$C118:$P118))*N(+TRANSPOSE(Rendements!$C118:$P118)))/SUMPRODUCT(Paramètres!$D$15:$D$28*ISNUMBER(TRANSPOSE(Rendements!$C118:$P118))))</f>
        <v/>
      </c>
      <c r="D118" s="34">
        <f>IF(SUMPRODUCT(Paramètres!$E$15:$E$28*ISNUMBER(TRANSPOSE(Rendements!$C118:$P118)))=0,"",SUMPRODUCT(Paramètres!$E$15:$E$28*ISNUMBER(TRANSPOSE(Rendements!$C118:$P118))*N(+TRANSPOSE(Rendements!$C118:$P118)))/SUMPRODUCT(Paramètres!$E$15:$E$28*ISNUMBER(TRANSPOSE(Rendements!$C118:$P118))))</f>
        <v/>
      </c>
      <c r="E118" s="34">
        <f>IF(SUMPRODUCT(Paramètres!$F$15:$F$28*ISNUMBER(TRANSPOSE(Rendements!$C118:$P118)))=0,"",SUMPRODUCT(Paramètres!$F$15:$F$28*ISNUMBER(TRANSPOSE(Rendements!$C118:$P118))*N(+TRANSPOSE(Rendements!$C118:$P118)))/SUMPRODUCT(Paramètres!$F$15:$F$28*ISNUMBER(TRANSPOSE(Rendements!$C118:$P118))))</f>
        <v/>
      </c>
      <c r="F118" s="34">
        <f>IF(SUMPRODUCT(Paramètres!$G$15:$G$28*ISNUMBER(TRANSPOSE(Rendements!$C118:$P118)))=0,"",SUMPRODUCT(Paramètres!$G$15:$G$28*ISNUMBER(TRANSPOSE(Rendements!$C118:$P118))*N(+TRANSPOSE(Rendements!$C118:$P118)))/SUMPRODUCT(Paramètres!$G$15:$G$28*ISNUMBER(TRANSPOSE(Rendements!$C118:$P118))))</f>
        <v/>
      </c>
      <c r="G118" s="35">
        <f>IF(OR(C118="",D118="",E118="",F118=""),"",Wc_C1*C118+Wc_C2*D118+Wc_C3*E118+Wc_C4*F118)</f>
        <v/>
      </c>
      <c r="H118" s="36">
        <f>SUMPRODUCT(Paramètres!$D$15:$D$28*ISNUMBER(TRANSPOSE(Rendements!$C118:$P118)))</f>
        <v/>
      </c>
      <c r="I118" s="36">
        <f>SUMPRODUCT(Paramètres!$E$15:$E$28*ISNUMBER(TRANSPOSE(Rendements!$C118:$P118)))</f>
        <v/>
      </c>
      <c r="J118" s="36">
        <f>SUMPRODUCT(Paramètres!$F$15:$F$28*ISNUMBER(TRANSPOSE(Rendements!$C118:$P118)))</f>
        <v/>
      </c>
      <c r="K118" s="36">
        <f>SUMPRODUCT(Paramètres!$G$15:$G$28*ISNUMBER(TRANSPOSE(Rendements!$C118:$P118)))</f>
        <v/>
      </c>
      <c r="L118" s="37">
        <f>IF(C118="","",IF(L117="",100,L117*(1+C118)))</f>
        <v/>
      </c>
      <c r="M118" s="37">
        <f>IF(D118="","",IF(M117="",100,M117*(1+D118)))</f>
        <v/>
      </c>
      <c r="N118" s="37">
        <f>IF(E118="","",IF(N117="",100,N117*(1+E118)))</f>
        <v/>
      </c>
      <c r="O118" s="37">
        <f>IF(F118="","",IF(O117="",100,O117*(1+F118)))</f>
        <v/>
      </c>
      <c r="P118" s="37">
        <f>IF(G118="","",IF(P117="",100,P117*(1+G118)))</f>
        <v/>
      </c>
    </row>
    <row r="119">
      <c r="B119" s="32">
        <f>Rendements!B119</f>
        <v/>
      </c>
      <c r="C119" s="34">
        <f>IF(SUMPRODUCT(Paramètres!$D$15:$D$28*ISNUMBER(TRANSPOSE(Rendements!$C119:$P119)))=0,"",SUMPRODUCT(Paramètres!$D$15:$D$28*ISNUMBER(TRANSPOSE(Rendements!$C119:$P119))*N(+TRANSPOSE(Rendements!$C119:$P119)))/SUMPRODUCT(Paramètres!$D$15:$D$28*ISNUMBER(TRANSPOSE(Rendements!$C119:$P119))))</f>
        <v/>
      </c>
      <c r="D119" s="34">
        <f>IF(SUMPRODUCT(Paramètres!$E$15:$E$28*ISNUMBER(TRANSPOSE(Rendements!$C119:$P119)))=0,"",SUMPRODUCT(Paramètres!$E$15:$E$28*ISNUMBER(TRANSPOSE(Rendements!$C119:$P119))*N(+TRANSPOSE(Rendements!$C119:$P119)))/SUMPRODUCT(Paramètres!$E$15:$E$28*ISNUMBER(TRANSPOSE(Rendements!$C119:$P119))))</f>
        <v/>
      </c>
      <c r="E119" s="34">
        <f>IF(SUMPRODUCT(Paramètres!$F$15:$F$28*ISNUMBER(TRANSPOSE(Rendements!$C119:$P119)))=0,"",SUMPRODUCT(Paramètres!$F$15:$F$28*ISNUMBER(TRANSPOSE(Rendements!$C119:$P119))*N(+TRANSPOSE(Rendements!$C119:$P119)))/SUMPRODUCT(Paramètres!$F$15:$F$28*ISNUMBER(TRANSPOSE(Rendements!$C119:$P119))))</f>
        <v/>
      </c>
      <c r="F119" s="34">
        <f>IF(SUMPRODUCT(Paramètres!$G$15:$G$28*ISNUMBER(TRANSPOSE(Rendements!$C119:$P119)))=0,"",SUMPRODUCT(Paramètres!$G$15:$G$28*ISNUMBER(TRANSPOSE(Rendements!$C119:$P119))*N(+TRANSPOSE(Rendements!$C119:$P119)))/SUMPRODUCT(Paramètres!$G$15:$G$28*ISNUMBER(TRANSPOSE(Rendements!$C119:$P119))))</f>
        <v/>
      </c>
      <c r="G119" s="35">
        <f>IF(OR(C119="",D119="",E119="",F119=""),"",Wc_C1*C119+Wc_C2*D119+Wc_C3*E119+Wc_C4*F119)</f>
        <v/>
      </c>
      <c r="H119" s="36">
        <f>SUMPRODUCT(Paramètres!$D$15:$D$28*ISNUMBER(TRANSPOSE(Rendements!$C119:$P119)))</f>
        <v/>
      </c>
      <c r="I119" s="36">
        <f>SUMPRODUCT(Paramètres!$E$15:$E$28*ISNUMBER(TRANSPOSE(Rendements!$C119:$P119)))</f>
        <v/>
      </c>
      <c r="J119" s="36">
        <f>SUMPRODUCT(Paramètres!$F$15:$F$28*ISNUMBER(TRANSPOSE(Rendements!$C119:$P119)))</f>
        <v/>
      </c>
      <c r="K119" s="36">
        <f>SUMPRODUCT(Paramètres!$G$15:$G$28*ISNUMBER(TRANSPOSE(Rendements!$C119:$P119)))</f>
        <v/>
      </c>
      <c r="L119" s="37">
        <f>IF(C119="","",IF(L118="",100,L118*(1+C119)))</f>
        <v/>
      </c>
      <c r="M119" s="37">
        <f>IF(D119="","",IF(M118="",100,M118*(1+D119)))</f>
        <v/>
      </c>
      <c r="N119" s="37">
        <f>IF(E119="","",IF(N118="",100,N118*(1+E119)))</f>
        <v/>
      </c>
      <c r="O119" s="37">
        <f>IF(F119="","",IF(O118="",100,O118*(1+F119)))</f>
        <v/>
      </c>
      <c r="P119" s="37">
        <f>IF(G119="","",IF(P118="",100,P118*(1+G119)))</f>
        <v/>
      </c>
    </row>
    <row r="120">
      <c r="B120" s="32">
        <f>Rendements!B120</f>
        <v/>
      </c>
      <c r="C120" s="34">
        <f>IF(SUMPRODUCT(Paramètres!$D$15:$D$28*ISNUMBER(TRANSPOSE(Rendements!$C120:$P120)))=0,"",SUMPRODUCT(Paramètres!$D$15:$D$28*ISNUMBER(TRANSPOSE(Rendements!$C120:$P120))*N(+TRANSPOSE(Rendements!$C120:$P120)))/SUMPRODUCT(Paramètres!$D$15:$D$28*ISNUMBER(TRANSPOSE(Rendements!$C120:$P120))))</f>
        <v/>
      </c>
      <c r="D120" s="34">
        <f>IF(SUMPRODUCT(Paramètres!$E$15:$E$28*ISNUMBER(TRANSPOSE(Rendements!$C120:$P120)))=0,"",SUMPRODUCT(Paramètres!$E$15:$E$28*ISNUMBER(TRANSPOSE(Rendements!$C120:$P120))*N(+TRANSPOSE(Rendements!$C120:$P120)))/SUMPRODUCT(Paramètres!$E$15:$E$28*ISNUMBER(TRANSPOSE(Rendements!$C120:$P120))))</f>
        <v/>
      </c>
      <c r="E120" s="34">
        <f>IF(SUMPRODUCT(Paramètres!$F$15:$F$28*ISNUMBER(TRANSPOSE(Rendements!$C120:$P120)))=0,"",SUMPRODUCT(Paramètres!$F$15:$F$28*ISNUMBER(TRANSPOSE(Rendements!$C120:$P120))*N(+TRANSPOSE(Rendements!$C120:$P120)))/SUMPRODUCT(Paramètres!$F$15:$F$28*ISNUMBER(TRANSPOSE(Rendements!$C120:$P120))))</f>
        <v/>
      </c>
      <c r="F120" s="34">
        <f>IF(SUMPRODUCT(Paramètres!$G$15:$G$28*ISNUMBER(TRANSPOSE(Rendements!$C120:$P120)))=0,"",SUMPRODUCT(Paramètres!$G$15:$G$28*ISNUMBER(TRANSPOSE(Rendements!$C120:$P120))*N(+TRANSPOSE(Rendements!$C120:$P120)))/SUMPRODUCT(Paramètres!$G$15:$G$28*ISNUMBER(TRANSPOSE(Rendements!$C120:$P120))))</f>
        <v/>
      </c>
      <c r="G120" s="35">
        <f>IF(OR(C120="",D120="",E120="",F120=""),"",Wc_C1*C120+Wc_C2*D120+Wc_C3*E120+Wc_C4*F120)</f>
        <v/>
      </c>
      <c r="H120" s="36">
        <f>SUMPRODUCT(Paramètres!$D$15:$D$28*ISNUMBER(TRANSPOSE(Rendements!$C120:$P120)))</f>
        <v/>
      </c>
      <c r="I120" s="36">
        <f>SUMPRODUCT(Paramètres!$E$15:$E$28*ISNUMBER(TRANSPOSE(Rendements!$C120:$P120)))</f>
        <v/>
      </c>
      <c r="J120" s="36">
        <f>SUMPRODUCT(Paramètres!$F$15:$F$28*ISNUMBER(TRANSPOSE(Rendements!$C120:$P120)))</f>
        <v/>
      </c>
      <c r="K120" s="36">
        <f>SUMPRODUCT(Paramètres!$G$15:$G$28*ISNUMBER(TRANSPOSE(Rendements!$C120:$P120)))</f>
        <v/>
      </c>
      <c r="L120" s="37">
        <f>IF(C120="","",IF(L119="",100,L119*(1+C120)))</f>
        <v/>
      </c>
      <c r="M120" s="37">
        <f>IF(D120="","",IF(M119="",100,M119*(1+D120)))</f>
        <v/>
      </c>
      <c r="N120" s="37">
        <f>IF(E120="","",IF(N119="",100,N119*(1+E120)))</f>
        <v/>
      </c>
      <c r="O120" s="37">
        <f>IF(F120="","",IF(O119="",100,O119*(1+F120)))</f>
        <v/>
      </c>
      <c r="P120" s="37">
        <f>IF(G120="","",IF(P119="",100,P119*(1+G120)))</f>
        <v/>
      </c>
    </row>
    <row r="121">
      <c r="B121" s="32">
        <f>Rendements!B121</f>
        <v/>
      </c>
      <c r="C121" s="34">
        <f>IF(SUMPRODUCT(Paramètres!$D$15:$D$28*ISNUMBER(TRANSPOSE(Rendements!$C121:$P121)))=0,"",SUMPRODUCT(Paramètres!$D$15:$D$28*ISNUMBER(TRANSPOSE(Rendements!$C121:$P121))*N(+TRANSPOSE(Rendements!$C121:$P121)))/SUMPRODUCT(Paramètres!$D$15:$D$28*ISNUMBER(TRANSPOSE(Rendements!$C121:$P121))))</f>
        <v/>
      </c>
      <c r="D121" s="34">
        <f>IF(SUMPRODUCT(Paramètres!$E$15:$E$28*ISNUMBER(TRANSPOSE(Rendements!$C121:$P121)))=0,"",SUMPRODUCT(Paramètres!$E$15:$E$28*ISNUMBER(TRANSPOSE(Rendements!$C121:$P121))*N(+TRANSPOSE(Rendements!$C121:$P121)))/SUMPRODUCT(Paramètres!$E$15:$E$28*ISNUMBER(TRANSPOSE(Rendements!$C121:$P121))))</f>
        <v/>
      </c>
      <c r="E121" s="34">
        <f>IF(SUMPRODUCT(Paramètres!$F$15:$F$28*ISNUMBER(TRANSPOSE(Rendements!$C121:$P121)))=0,"",SUMPRODUCT(Paramètres!$F$15:$F$28*ISNUMBER(TRANSPOSE(Rendements!$C121:$P121))*N(+TRANSPOSE(Rendements!$C121:$P121)))/SUMPRODUCT(Paramètres!$F$15:$F$28*ISNUMBER(TRANSPOSE(Rendements!$C121:$P121))))</f>
        <v/>
      </c>
      <c r="F121" s="34">
        <f>IF(SUMPRODUCT(Paramètres!$G$15:$G$28*ISNUMBER(TRANSPOSE(Rendements!$C121:$P121)))=0,"",SUMPRODUCT(Paramètres!$G$15:$G$28*ISNUMBER(TRANSPOSE(Rendements!$C121:$P121))*N(+TRANSPOSE(Rendements!$C121:$P121)))/SUMPRODUCT(Paramètres!$G$15:$G$28*ISNUMBER(TRANSPOSE(Rendements!$C121:$P121))))</f>
        <v/>
      </c>
      <c r="G121" s="35">
        <f>IF(OR(C121="",D121="",E121="",F121=""),"",Wc_C1*C121+Wc_C2*D121+Wc_C3*E121+Wc_C4*F121)</f>
        <v/>
      </c>
      <c r="H121" s="36">
        <f>SUMPRODUCT(Paramètres!$D$15:$D$28*ISNUMBER(TRANSPOSE(Rendements!$C121:$P121)))</f>
        <v/>
      </c>
      <c r="I121" s="36">
        <f>SUMPRODUCT(Paramètres!$E$15:$E$28*ISNUMBER(TRANSPOSE(Rendements!$C121:$P121)))</f>
        <v/>
      </c>
      <c r="J121" s="36">
        <f>SUMPRODUCT(Paramètres!$F$15:$F$28*ISNUMBER(TRANSPOSE(Rendements!$C121:$P121)))</f>
        <v/>
      </c>
      <c r="K121" s="36">
        <f>SUMPRODUCT(Paramètres!$G$15:$G$28*ISNUMBER(TRANSPOSE(Rendements!$C121:$P121)))</f>
        <v/>
      </c>
      <c r="L121" s="37">
        <f>IF(C121="","",IF(L120="",100,L120*(1+C121)))</f>
        <v/>
      </c>
      <c r="M121" s="37">
        <f>IF(D121="","",IF(M120="",100,M120*(1+D121)))</f>
        <v/>
      </c>
      <c r="N121" s="37">
        <f>IF(E121="","",IF(N120="",100,N120*(1+E121)))</f>
        <v/>
      </c>
      <c r="O121" s="37">
        <f>IF(F121="","",IF(O120="",100,O120*(1+F121)))</f>
        <v/>
      </c>
      <c r="P121" s="37">
        <f>IF(G121="","",IF(P120="",100,P120*(1+G121)))</f>
        <v/>
      </c>
    </row>
    <row r="122">
      <c r="B122" s="32">
        <f>Rendements!B122</f>
        <v/>
      </c>
      <c r="C122" s="34">
        <f>IF(SUMPRODUCT(Paramètres!$D$15:$D$28*ISNUMBER(TRANSPOSE(Rendements!$C122:$P122)))=0,"",SUMPRODUCT(Paramètres!$D$15:$D$28*ISNUMBER(TRANSPOSE(Rendements!$C122:$P122))*N(+TRANSPOSE(Rendements!$C122:$P122)))/SUMPRODUCT(Paramètres!$D$15:$D$28*ISNUMBER(TRANSPOSE(Rendements!$C122:$P122))))</f>
        <v/>
      </c>
      <c r="D122" s="34">
        <f>IF(SUMPRODUCT(Paramètres!$E$15:$E$28*ISNUMBER(TRANSPOSE(Rendements!$C122:$P122)))=0,"",SUMPRODUCT(Paramètres!$E$15:$E$28*ISNUMBER(TRANSPOSE(Rendements!$C122:$P122))*N(+TRANSPOSE(Rendements!$C122:$P122)))/SUMPRODUCT(Paramètres!$E$15:$E$28*ISNUMBER(TRANSPOSE(Rendements!$C122:$P122))))</f>
        <v/>
      </c>
      <c r="E122" s="34">
        <f>IF(SUMPRODUCT(Paramètres!$F$15:$F$28*ISNUMBER(TRANSPOSE(Rendements!$C122:$P122)))=0,"",SUMPRODUCT(Paramètres!$F$15:$F$28*ISNUMBER(TRANSPOSE(Rendements!$C122:$P122))*N(+TRANSPOSE(Rendements!$C122:$P122)))/SUMPRODUCT(Paramètres!$F$15:$F$28*ISNUMBER(TRANSPOSE(Rendements!$C122:$P122))))</f>
        <v/>
      </c>
      <c r="F122" s="34">
        <f>IF(SUMPRODUCT(Paramètres!$G$15:$G$28*ISNUMBER(TRANSPOSE(Rendements!$C122:$P122)))=0,"",SUMPRODUCT(Paramètres!$G$15:$G$28*ISNUMBER(TRANSPOSE(Rendements!$C122:$P122))*N(+TRANSPOSE(Rendements!$C122:$P122)))/SUMPRODUCT(Paramètres!$G$15:$G$28*ISNUMBER(TRANSPOSE(Rendements!$C122:$P122))))</f>
        <v/>
      </c>
      <c r="G122" s="35">
        <f>IF(OR(C122="",D122="",E122="",F122=""),"",Wc_C1*C122+Wc_C2*D122+Wc_C3*E122+Wc_C4*F122)</f>
        <v/>
      </c>
      <c r="H122" s="36">
        <f>SUMPRODUCT(Paramètres!$D$15:$D$28*ISNUMBER(TRANSPOSE(Rendements!$C122:$P122)))</f>
        <v/>
      </c>
      <c r="I122" s="36">
        <f>SUMPRODUCT(Paramètres!$E$15:$E$28*ISNUMBER(TRANSPOSE(Rendements!$C122:$P122)))</f>
        <v/>
      </c>
      <c r="J122" s="36">
        <f>SUMPRODUCT(Paramètres!$F$15:$F$28*ISNUMBER(TRANSPOSE(Rendements!$C122:$P122)))</f>
        <v/>
      </c>
      <c r="K122" s="36">
        <f>SUMPRODUCT(Paramètres!$G$15:$G$28*ISNUMBER(TRANSPOSE(Rendements!$C122:$P122)))</f>
        <v/>
      </c>
      <c r="L122" s="37">
        <f>IF(C122="","",IF(L121="",100,L121*(1+C122)))</f>
        <v/>
      </c>
      <c r="M122" s="37">
        <f>IF(D122="","",IF(M121="",100,M121*(1+D122)))</f>
        <v/>
      </c>
      <c r="N122" s="37">
        <f>IF(E122="","",IF(N121="",100,N121*(1+E122)))</f>
        <v/>
      </c>
      <c r="O122" s="37">
        <f>IF(F122="","",IF(O121="",100,O121*(1+F122)))</f>
        <v/>
      </c>
      <c r="P122" s="37">
        <f>IF(G122="","",IF(P121="",100,P121*(1+G122)))</f>
        <v/>
      </c>
    </row>
    <row r="123">
      <c r="B123" s="32">
        <f>Rendements!B123</f>
        <v/>
      </c>
      <c r="C123" s="34">
        <f>IF(SUMPRODUCT(Paramètres!$D$15:$D$28*ISNUMBER(TRANSPOSE(Rendements!$C123:$P123)))=0,"",SUMPRODUCT(Paramètres!$D$15:$D$28*ISNUMBER(TRANSPOSE(Rendements!$C123:$P123))*N(+TRANSPOSE(Rendements!$C123:$P123)))/SUMPRODUCT(Paramètres!$D$15:$D$28*ISNUMBER(TRANSPOSE(Rendements!$C123:$P123))))</f>
        <v/>
      </c>
      <c r="D123" s="34">
        <f>IF(SUMPRODUCT(Paramètres!$E$15:$E$28*ISNUMBER(TRANSPOSE(Rendements!$C123:$P123)))=0,"",SUMPRODUCT(Paramètres!$E$15:$E$28*ISNUMBER(TRANSPOSE(Rendements!$C123:$P123))*N(+TRANSPOSE(Rendements!$C123:$P123)))/SUMPRODUCT(Paramètres!$E$15:$E$28*ISNUMBER(TRANSPOSE(Rendements!$C123:$P123))))</f>
        <v/>
      </c>
      <c r="E123" s="34">
        <f>IF(SUMPRODUCT(Paramètres!$F$15:$F$28*ISNUMBER(TRANSPOSE(Rendements!$C123:$P123)))=0,"",SUMPRODUCT(Paramètres!$F$15:$F$28*ISNUMBER(TRANSPOSE(Rendements!$C123:$P123))*N(+TRANSPOSE(Rendements!$C123:$P123)))/SUMPRODUCT(Paramètres!$F$15:$F$28*ISNUMBER(TRANSPOSE(Rendements!$C123:$P123))))</f>
        <v/>
      </c>
      <c r="F123" s="34">
        <f>IF(SUMPRODUCT(Paramètres!$G$15:$G$28*ISNUMBER(TRANSPOSE(Rendements!$C123:$P123)))=0,"",SUMPRODUCT(Paramètres!$G$15:$G$28*ISNUMBER(TRANSPOSE(Rendements!$C123:$P123))*N(+TRANSPOSE(Rendements!$C123:$P123)))/SUMPRODUCT(Paramètres!$G$15:$G$28*ISNUMBER(TRANSPOSE(Rendements!$C123:$P123))))</f>
        <v/>
      </c>
      <c r="G123" s="35">
        <f>IF(OR(C123="",D123="",E123="",F123=""),"",Wc_C1*C123+Wc_C2*D123+Wc_C3*E123+Wc_C4*F123)</f>
        <v/>
      </c>
      <c r="H123" s="36">
        <f>SUMPRODUCT(Paramètres!$D$15:$D$28*ISNUMBER(TRANSPOSE(Rendements!$C123:$P123)))</f>
        <v/>
      </c>
      <c r="I123" s="36">
        <f>SUMPRODUCT(Paramètres!$E$15:$E$28*ISNUMBER(TRANSPOSE(Rendements!$C123:$P123)))</f>
        <v/>
      </c>
      <c r="J123" s="36">
        <f>SUMPRODUCT(Paramètres!$F$15:$F$28*ISNUMBER(TRANSPOSE(Rendements!$C123:$P123)))</f>
        <v/>
      </c>
      <c r="K123" s="36">
        <f>SUMPRODUCT(Paramètres!$G$15:$G$28*ISNUMBER(TRANSPOSE(Rendements!$C123:$P123)))</f>
        <v/>
      </c>
      <c r="L123" s="37">
        <f>IF(C123="","",IF(L122="",100,L122*(1+C123)))</f>
        <v/>
      </c>
      <c r="M123" s="37">
        <f>IF(D123="","",IF(M122="",100,M122*(1+D123)))</f>
        <v/>
      </c>
      <c r="N123" s="37">
        <f>IF(E123="","",IF(N122="",100,N122*(1+E123)))</f>
        <v/>
      </c>
      <c r="O123" s="37">
        <f>IF(F123="","",IF(O122="",100,O122*(1+F123)))</f>
        <v/>
      </c>
      <c r="P123" s="37">
        <f>IF(G123="","",IF(P122="",100,P122*(1+G123)))</f>
        <v/>
      </c>
    </row>
    <row r="124">
      <c r="B124" s="32">
        <f>Rendements!B124</f>
        <v/>
      </c>
      <c r="C124" s="34">
        <f>IF(SUMPRODUCT(Paramètres!$D$15:$D$28*ISNUMBER(TRANSPOSE(Rendements!$C124:$P124)))=0,"",SUMPRODUCT(Paramètres!$D$15:$D$28*ISNUMBER(TRANSPOSE(Rendements!$C124:$P124))*N(+TRANSPOSE(Rendements!$C124:$P124)))/SUMPRODUCT(Paramètres!$D$15:$D$28*ISNUMBER(TRANSPOSE(Rendements!$C124:$P124))))</f>
        <v/>
      </c>
      <c r="D124" s="34">
        <f>IF(SUMPRODUCT(Paramètres!$E$15:$E$28*ISNUMBER(TRANSPOSE(Rendements!$C124:$P124)))=0,"",SUMPRODUCT(Paramètres!$E$15:$E$28*ISNUMBER(TRANSPOSE(Rendements!$C124:$P124))*N(+TRANSPOSE(Rendements!$C124:$P124)))/SUMPRODUCT(Paramètres!$E$15:$E$28*ISNUMBER(TRANSPOSE(Rendements!$C124:$P124))))</f>
        <v/>
      </c>
      <c r="E124" s="34">
        <f>IF(SUMPRODUCT(Paramètres!$F$15:$F$28*ISNUMBER(TRANSPOSE(Rendements!$C124:$P124)))=0,"",SUMPRODUCT(Paramètres!$F$15:$F$28*ISNUMBER(TRANSPOSE(Rendements!$C124:$P124))*N(+TRANSPOSE(Rendements!$C124:$P124)))/SUMPRODUCT(Paramètres!$F$15:$F$28*ISNUMBER(TRANSPOSE(Rendements!$C124:$P124))))</f>
        <v/>
      </c>
      <c r="F124" s="34">
        <f>IF(SUMPRODUCT(Paramètres!$G$15:$G$28*ISNUMBER(TRANSPOSE(Rendements!$C124:$P124)))=0,"",SUMPRODUCT(Paramètres!$G$15:$G$28*ISNUMBER(TRANSPOSE(Rendements!$C124:$P124))*N(+TRANSPOSE(Rendements!$C124:$P124)))/SUMPRODUCT(Paramètres!$G$15:$G$28*ISNUMBER(TRANSPOSE(Rendements!$C124:$P124))))</f>
        <v/>
      </c>
      <c r="G124" s="35">
        <f>IF(OR(C124="",D124="",E124="",F124=""),"",Wc_C1*C124+Wc_C2*D124+Wc_C3*E124+Wc_C4*F124)</f>
        <v/>
      </c>
      <c r="H124" s="36">
        <f>SUMPRODUCT(Paramètres!$D$15:$D$28*ISNUMBER(TRANSPOSE(Rendements!$C124:$P124)))</f>
        <v/>
      </c>
      <c r="I124" s="36">
        <f>SUMPRODUCT(Paramètres!$E$15:$E$28*ISNUMBER(TRANSPOSE(Rendements!$C124:$P124)))</f>
        <v/>
      </c>
      <c r="J124" s="36">
        <f>SUMPRODUCT(Paramètres!$F$15:$F$28*ISNUMBER(TRANSPOSE(Rendements!$C124:$P124)))</f>
        <v/>
      </c>
      <c r="K124" s="36">
        <f>SUMPRODUCT(Paramètres!$G$15:$G$28*ISNUMBER(TRANSPOSE(Rendements!$C124:$P124)))</f>
        <v/>
      </c>
      <c r="L124" s="37">
        <f>IF(C124="","",IF(L123="",100,L123*(1+C124)))</f>
        <v/>
      </c>
      <c r="M124" s="37">
        <f>IF(D124="","",IF(M123="",100,M123*(1+D124)))</f>
        <v/>
      </c>
      <c r="N124" s="37">
        <f>IF(E124="","",IF(N123="",100,N123*(1+E124)))</f>
        <v/>
      </c>
      <c r="O124" s="37">
        <f>IF(F124="","",IF(O123="",100,O123*(1+F124)))</f>
        <v/>
      </c>
      <c r="P124" s="37">
        <f>IF(G124="","",IF(P123="",100,P123*(1+G124)))</f>
        <v/>
      </c>
    </row>
    <row r="125">
      <c r="B125" s="32">
        <f>Rendements!B125</f>
        <v/>
      </c>
      <c r="C125" s="34">
        <f>IF(SUMPRODUCT(Paramètres!$D$15:$D$28*ISNUMBER(TRANSPOSE(Rendements!$C125:$P125)))=0,"",SUMPRODUCT(Paramètres!$D$15:$D$28*ISNUMBER(TRANSPOSE(Rendements!$C125:$P125))*N(+TRANSPOSE(Rendements!$C125:$P125)))/SUMPRODUCT(Paramètres!$D$15:$D$28*ISNUMBER(TRANSPOSE(Rendements!$C125:$P125))))</f>
        <v/>
      </c>
      <c r="D125" s="34">
        <f>IF(SUMPRODUCT(Paramètres!$E$15:$E$28*ISNUMBER(TRANSPOSE(Rendements!$C125:$P125)))=0,"",SUMPRODUCT(Paramètres!$E$15:$E$28*ISNUMBER(TRANSPOSE(Rendements!$C125:$P125))*N(+TRANSPOSE(Rendements!$C125:$P125)))/SUMPRODUCT(Paramètres!$E$15:$E$28*ISNUMBER(TRANSPOSE(Rendements!$C125:$P125))))</f>
        <v/>
      </c>
      <c r="E125" s="34">
        <f>IF(SUMPRODUCT(Paramètres!$F$15:$F$28*ISNUMBER(TRANSPOSE(Rendements!$C125:$P125)))=0,"",SUMPRODUCT(Paramètres!$F$15:$F$28*ISNUMBER(TRANSPOSE(Rendements!$C125:$P125))*N(+TRANSPOSE(Rendements!$C125:$P125)))/SUMPRODUCT(Paramètres!$F$15:$F$28*ISNUMBER(TRANSPOSE(Rendements!$C125:$P125))))</f>
        <v/>
      </c>
      <c r="F125" s="34">
        <f>IF(SUMPRODUCT(Paramètres!$G$15:$G$28*ISNUMBER(TRANSPOSE(Rendements!$C125:$P125)))=0,"",SUMPRODUCT(Paramètres!$G$15:$G$28*ISNUMBER(TRANSPOSE(Rendements!$C125:$P125))*N(+TRANSPOSE(Rendements!$C125:$P125)))/SUMPRODUCT(Paramètres!$G$15:$G$28*ISNUMBER(TRANSPOSE(Rendements!$C125:$P125))))</f>
        <v/>
      </c>
      <c r="G125" s="35">
        <f>IF(OR(C125="",D125="",E125="",F125=""),"",Wc_C1*C125+Wc_C2*D125+Wc_C3*E125+Wc_C4*F125)</f>
        <v/>
      </c>
      <c r="H125" s="36">
        <f>SUMPRODUCT(Paramètres!$D$15:$D$28*ISNUMBER(TRANSPOSE(Rendements!$C125:$P125)))</f>
        <v/>
      </c>
      <c r="I125" s="36">
        <f>SUMPRODUCT(Paramètres!$E$15:$E$28*ISNUMBER(TRANSPOSE(Rendements!$C125:$P125)))</f>
        <v/>
      </c>
      <c r="J125" s="36">
        <f>SUMPRODUCT(Paramètres!$F$15:$F$28*ISNUMBER(TRANSPOSE(Rendements!$C125:$P125)))</f>
        <v/>
      </c>
      <c r="K125" s="36">
        <f>SUMPRODUCT(Paramètres!$G$15:$G$28*ISNUMBER(TRANSPOSE(Rendements!$C125:$P125)))</f>
        <v/>
      </c>
      <c r="L125" s="37">
        <f>IF(C125="","",IF(L124="",100,L124*(1+C125)))</f>
        <v/>
      </c>
      <c r="M125" s="37">
        <f>IF(D125="","",IF(M124="",100,M124*(1+D125)))</f>
        <v/>
      </c>
      <c r="N125" s="37">
        <f>IF(E125="","",IF(N124="",100,N124*(1+E125)))</f>
        <v/>
      </c>
      <c r="O125" s="37">
        <f>IF(F125="","",IF(O124="",100,O124*(1+F125)))</f>
        <v/>
      </c>
      <c r="P125" s="37">
        <f>IF(G125="","",IF(P124="",100,P124*(1+G125)))</f>
        <v/>
      </c>
    </row>
    <row r="126">
      <c r="B126" s="32">
        <f>Rendements!B126</f>
        <v/>
      </c>
      <c r="C126" s="34">
        <f>IF(SUMPRODUCT(Paramètres!$D$15:$D$28*ISNUMBER(TRANSPOSE(Rendements!$C126:$P126)))=0,"",SUMPRODUCT(Paramètres!$D$15:$D$28*ISNUMBER(TRANSPOSE(Rendements!$C126:$P126))*N(+TRANSPOSE(Rendements!$C126:$P126)))/SUMPRODUCT(Paramètres!$D$15:$D$28*ISNUMBER(TRANSPOSE(Rendements!$C126:$P126))))</f>
        <v/>
      </c>
      <c r="D126" s="34">
        <f>IF(SUMPRODUCT(Paramètres!$E$15:$E$28*ISNUMBER(TRANSPOSE(Rendements!$C126:$P126)))=0,"",SUMPRODUCT(Paramètres!$E$15:$E$28*ISNUMBER(TRANSPOSE(Rendements!$C126:$P126))*N(+TRANSPOSE(Rendements!$C126:$P126)))/SUMPRODUCT(Paramètres!$E$15:$E$28*ISNUMBER(TRANSPOSE(Rendements!$C126:$P126))))</f>
        <v/>
      </c>
      <c r="E126" s="34">
        <f>IF(SUMPRODUCT(Paramètres!$F$15:$F$28*ISNUMBER(TRANSPOSE(Rendements!$C126:$P126)))=0,"",SUMPRODUCT(Paramètres!$F$15:$F$28*ISNUMBER(TRANSPOSE(Rendements!$C126:$P126))*N(+TRANSPOSE(Rendements!$C126:$P126)))/SUMPRODUCT(Paramètres!$F$15:$F$28*ISNUMBER(TRANSPOSE(Rendements!$C126:$P126))))</f>
        <v/>
      </c>
      <c r="F126" s="34">
        <f>IF(SUMPRODUCT(Paramètres!$G$15:$G$28*ISNUMBER(TRANSPOSE(Rendements!$C126:$P126)))=0,"",SUMPRODUCT(Paramètres!$G$15:$G$28*ISNUMBER(TRANSPOSE(Rendements!$C126:$P126))*N(+TRANSPOSE(Rendements!$C126:$P126)))/SUMPRODUCT(Paramètres!$G$15:$G$28*ISNUMBER(TRANSPOSE(Rendements!$C126:$P126))))</f>
        <v/>
      </c>
      <c r="G126" s="35">
        <f>IF(OR(C126="",D126="",E126="",F126=""),"",Wc_C1*C126+Wc_C2*D126+Wc_C3*E126+Wc_C4*F126)</f>
        <v/>
      </c>
      <c r="H126" s="36">
        <f>SUMPRODUCT(Paramètres!$D$15:$D$28*ISNUMBER(TRANSPOSE(Rendements!$C126:$P126)))</f>
        <v/>
      </c>
      <c r="I126" s="36">
        <f>SUMPRODUCT(Paramètres!$E$15:$E$28*ISNUMBER(TRANSPOSE(Rendements!$C126:$P126)))</f>
        <v/>
      </c>
      <c r="J126" s="36">
        <f>SUMPRODUCT(Paramètres!$F$15:$F$28*ISNUMBER(TRANSPOSE(Rendements!$C126:$P126)))</f>
        <v/>
      </c>
      <c r="K126" s="36">
        <f>SUMPRODUCT(Paramètres!$G$15:$G$28*ISNUMBER(TRANSPOSE(Rendements!$C126:$P126)))</f>
        <v/>
      </c>
      <c r="L126" s="37">
        <f>IF(C126="","",IF(L125="",100,L125*(1+C126)))</f>
        <v/>
      </c>
      <c r="M126" s="37">
        <f>IF(D126="","",IF(M125="",100,M125*(1+D126)))</f>
        <v/>
      </c>
      <c r="N126" s="37">
        <f>IF(E126="","",IF(N125="",100,N125*(1+E126)))</f>
        <v/>
      </c>
      <c r="O126" s="37">
        <f>IF(F126="","",IF(O125="",100,O125*(1+F126)))</f>
        <v/>
      </c>
      <c r="P126" s="37">
        <f>IF(G126="","",IF(P125="",100,P125*(1+G126)))</f>
        <v/>
      </c>
    </row>
    <row r="127">
      <c r="B127" s="32">
        <f>Rendements!B127</f>
        <v/>
      </c>
      <c r="C127" s="34">
        <f>IF(SUMPRODUCT(Paramètres!$D$15:$D$28*ISNUMBER(TRANSPOSE(Rendements!$C127:$P127)))=0,"",SUMPRODUCT(Paramètres!$D$15:$D$28*ISNUMBER(TRANSPOSE(Rendements!$C127:$P127))*N(+TRANSPOSE(Rendements!$C127:$P127)))/SUMPRODUCT(Paramètres!$D$15:$D$28*ISNUMBER(TRANSPOSE(Rendements!$C127:$P127))))</f>
        <v/>
      </c>
      <c r="D127" s="34">
        <f>IF(SUMPRODUCT(Paramètres!$E$15:$E$28*ISNUMBER(TRANSPOSE(Rendements!$C127:$P127)))=0,"",SUMPRODUCT(Paramètres!$E$15:$E$28*ISNUMBER(TRANSPOSE(Rendements!$C127:$P127))*N(+TRANSPOSE(Rendements!$C127:$P127)))/SUMPRODUCT(Paramètres!$E$15:$E$28*ISNUMBER(TRANSPOSE(Rendements!$C127:$P127))))</f>
        <v/>
      </c>
      <c r="E127" s="34">
        <f>IF(SUMPRODUCT(Paramètres!$F$15:$F$28*ISNUMBER(TRANSPOSE(Rendements!$C127:$P127)))=0,"",SUMPRODUCT(Paramètres!$F$15:$F$28*ISNUMBER(TRANSPOSE(Rendements!$C127:$P127))*N(+TRANSPOSE(Rendements!$C127:$P127)))/SUMPRODUCT(Paramètres!$F$15:$F$28*ISNUMBER(TRANSPOSE(Rendements!$C127:$P127))))</f>
        <v/>
      </c>
      <c r="F127" s="34">
        <f>IF(SUMPRODUCT(Paramètres!$G$15:$G$28*ISNUMBER(TRANSPOSE(Rendements!$C127:$P127)))=0,"",SUMPRODUCT(Paramètres!$G$15:$G$28*ISNUMBER(TRANSPOSE(Rendements!$C127:$P127))*N(+TRANSPOSE(Rendements!$C127:$P127)))/SUMPRODUCT(Paramètres!$G$15:$G$28*ISNUMBER(TRANSPOSE(Rendements!$C127:$P127))))</f>
        <v/>
      </c>
      <c r="G127" s="35">
        <f>IF(OR(C127="",D127="",E127="",F127=""),"",Wc_C1*C127+Wc_C2*D127+Wc_C3*E127+Wc_C4*F127)</f>
        <v/>
      </c>
      <c r="H127" s="36">
        <f>SUMPRODUCT(Paramètres!$D$15:$D$28*ISNUMBER(TRANSPOSE(Rendements!$C127:$P127)))</f>
        <v/>
      </c>
      <c r="I127" s="36">
        <f>SUMPRODUCT(Paramètres!$E$15:$E$28*ISNUMBER(TRANSPOSE(Rendements!$C127:$P127)))</f>
        <v/>
      </c>
      <c r="J127" s="36">
        <f>SUMPRODUCT(Paramètres!$F$15:$F$28*ISNUMBER(TRANSPOSE(Rendements!$C127:$P127)))</f>
        <v/>
      </c>
      <c r="K127" s="36">
        <f>SUMPRODUCT(Paramètres!$G$15:$G$28*ISNUMBER(TRANSPOSE(Rendements!$C127:$P127)))</f>
        <v/>
      </c>
      <c r="L127" s="37">
        <f>IF(C127="","",IF(L126="",100,L126*(1+C127)))</f>
        <v/>
      </c>
      <c r="M127" s="37">
        <f>IF(D127="","",IF(M126="",100,M126*(1+D127)))</f>
        <v/>
      </c>
      <c r="N127" s="37">
        <f>IF(E127="","",IF(N126="",100,N126*(1+E127)))</f>
        <v/>
      </c>
      <c r="O127" s="37">
        <f>IF(F127="","",IF(O126="",100,O126*(1+F127)))</f>
        <v/>
      </c>
      <c r="P127" s="37">
        <f>IF(G127="","",IF(P126="",100,P126*(1+G127)))</f>
        <v/>
      </c>
    </row>
    <row r="128">
      <c r="B128" s="32">
        <f>Rendements!B128</f>
        <v/>
      </c>
      <c r="C128" s="34">
        <f>IF(SUMPRODUCT(Paramètres!$D$15:$D$28*ISNUMBER(TRANSPOSE(Rendements!$C128:$P128)))=0,"",SUMPRODUCT(Paramètres!$D$15:$D$28*ISNUMBER(TRANSPOSE(Rendements!$C128:$P128))*N(+TRANSPOSE(Rendements!$C128:$P128)))/SUMPRODUCT(Paramètres!$D$15:$D$28*ISNUMBER(TRANSPOSE(Rendements!$C128:$P128))))</f>
        <v/>
      </c>
      <c r="D128" s="34">
        <f>IF(SUMPRODUCT(Paramètres!$E$15:$E$28*ISNUMBER(TRANSPOSE(Rendements!$C128:$P128)))=0,"",SUMPRODUCT(Paramètres!$E$15:$E$28*ISNUMBER(TRANSPOSE(Rendements!$C128:$P128))*N(+TRANSPOSE(Rendements!$C128:$P128)))/SUMPRODUCT(Paramètres!$E$15:$E$28*ISNUMBER(TRANSPOSE(Rendements!$C128:$P128))))</f>
        <v/>
      </c>
      <c r="E128" s="34">
        <f>IF(SUMPRODUCT(Paramètres!$F$15:$F$28*ISNUMBER(TRANSPOSE(Rendements!$C128:$P128)))=0,"",SUMPRODUCT(Paramètres!$F$15:$F$28*ISNUMBER(TRANSPOSE(Rendements!$C128:$P128))*N(+TRANSPOSE(Rendements!$C128:$P128)))/SUMPRODUCT(Paramètres!$F$15:$F$28*ISNUMBER(TRANSPOSE(Rendements!$C128:$P128))))</f>
        <v/>
      </c>
      <c r="F128" s="34">
        <f>IF(SUMPRODUCT(Paramètres!$G$15:$G$28*ISNUMBER(TRANSPOSE(Rendements!$C128:$P128)))=0,"",SUMPRODUCT(Paramètres!$G$15:$G$28*ISNUMBER(TRANSPOSE(Rendements!$C128:$P128))*N(+TRANSPOSE(Rendements!$C128:$P128)))/SUMPRODUCT(Paramètres!$G$15:$G$28*ISNUMBER(TRANSPOSE(Rendements!$C128:$P128))))</f>
        <v/>
      </c>
      <c r="G128" s="35">
        <f>IF(OR(C128="",D128="",E128="",F128=""),"",Wc_C1*C128+Wc_C2*D128+Wc_C3*E128+Wc_C4*F128)</f>
        <v/>
      </c>
      <c r="H128" s="36">
        <f>SUMPRODUCT(Paramètres!$D$15:$D$28*ISNUMBER(TRANSPOSE(Rendements!$C128:$P128)))</f>
        <v/>
      </c>
      <c r="I128" s="36">
        <f>SUMPRODUCT(Paramètres!$E$15:$E$28*ISNUMBER(TRANSPOSE(Rendements!$C128:$P128)))</f>
        <v/>
      </c>
      <c r="J128" s="36">
        <f>SUMPRODUCT(Paramètres!$F$15:$F$28*ISNUMBER(TRANSPOSE(Rendements!$C128:$P128)))</f>
        <v/>
      </c>
      <c r="K128" s="36">
        <f>SUMPRODUCT(Paramètres!$G$15:$G$28*ISNUMBER(TRANSPOSE(Rendements!$C128:$P128)))</f>
        <v/>
      </c>
      <c r="L128" s="37">
        <f>IF(C128="","",IF(L127="",100,L127*(1+C128)))</f>
        <v/>
      </c>
      <c r="M128" s="37">
        <f>IF(D128="","",IF(M127="",100,M127*(1+D128)))</f>
        <v/>
      </c>
      <c r="N128" s="37">
        <f>IF(E128="","",IF(N127="",100,N127*(1+E128)))</f>
        <v/>
      </c>
      <c r="O128" s="37">
        <f>IF(F128="","",IF(O127="",100,O127*(1+F128)))</f>
        <v/>
      </c>
      <c r="P128" s="37">
        <f>IF(G128="","",IF(P127="",100,P127*(1+G128)))</f>
        <v/>
      </c>
    </row>
    <row r="129">
      <c r="B129" s="32">
        <f>Rendements!B129</f>
        <v/>
      </c>
      <c r="C129" s="34">
        <f>IF(SUMPRODUCT(Paramètres!$D$15:$D$28*ISNUMBER(TRANSPOSE(Rendements!$C129:$P129)))=0,"",SUMPRODUCT(Paramètres!$D$15:$D$28*ISNUMBER(TRANSPOSE(Rendements!$C129:$P129))*N(+TRANSPOSE(Rendements!$C129:$P129)))/SUMPRODUCT(Paramètres!$D$15:$D$28*ISNUMBER(TRANSPOSE(Rendements!$C129:$P129))))</f>
        <v/>
      </c>
      <c r="D129" s="34">
        <f>IF(SUMPRODUCT(Paramètres!$E$15:$E$28*ISNUMBER(TRANSPOSE(Rendements!$C129:$P129)))=0,"",SUMPRODUCT(Paramètres!$E$15:$E$28*ISNUMBER(TRANSPOSE(Rendements!$C129:$P129))*N(+TRANSPOSE(Rendements!$C129:$P129)))/SUMPRODUCT(Paramètres!$E$15:$E$28*ISNUMBER(TRANSPOSE(Rendements!$C129:$P129))))</f>
        <v/>
      </c>
      <c r="E129" s="34">
        <f>IF(SUMPRODUCT(Paramètres!$F$15:$F$28*ISNUMBER(TRANSPOSE(Rendements!$C129:$P129)))=0,"",SUMPRODUCT(Paramètres!$F$15:$F$28*ISNUMBER(TRANSPOSE(Rendements!$C129:$P129))*N(+TRANSPOSE(Rendements!$C129:$P129)))/SUMPRODUCT(Paramètres!$F$15:$F$28*ISNUMBER(TRANSPOSE(Rendements!$C129:$P129))))</f>
        <v/>
      </c>
      <c r="F129" s="34">
        <f>IF(SUMPRODUCT(Paramètres!$G$15:$G$28*ISNUMBER(TRANSPOSE(Rendements!$C129:$P129)))=0,"",SUMPRODUCT(Paramètres!$G$15:$G$28*ISNUMBER(TRANSPOSE(Rendements!$C129:$P129))*N(+TRANSPOSE(Rendements!$C129:$P129)))/SUMPRODUCT(Paramètres!$G$15:$G$28*ISNUMBER(TRANSPOSE(Rendements!$C129:$P129))))</f>
        <v/>
      </c>
      <c r="G129" s="35">
        <f>IF(OR(C129="",D129="",E129="",F129=""),"",Wc_C1*C129+Wc_C2*D129+Wc_C3*E129+Wc_C4*F129)</f>
        <v/>
      </c>
      <c r="H129" s="36">
        <f>SUMPRODUCT(Paramètres!$D$15:$D$28*ISNUMBER(TRANSPOSE(Rendements!$C129:$P129)))</f>
        <v/>
      </c>
      <c r="I129" s="36">
        <f>SUMPRODUCT(Paramètres!$E$15:$E$28*ISNUMBER(TRANSPOSE(Rendements!$C129:$P129)))</f>
        <v/>
      </c>
      <c r="J129" s="36">
        <f>SUMPRODUCT(Paramètres!$F$15:$F$28*ISNUMBER(TRANSPOSE(Rendements!$C129:$P129)))</f>
        <v/>
      </c>
      <c r="K129" s="36">
        <f>SUMPRODUCT(Paramètres!$G$15:$G$28*ISNUMBER(TRANSPOSE(Rendements!$C129:$P129)))</f>
        <v/>
      </c>
      <c r="L129" s="37">
        <f>IF(C129="","",IF(L128="",100,L128*(1+C129)))</f>
        <v/>
      </c>
      <c r="M129" s="37">
        <f>IF(D129="","",IF(M128="",100,M128*(1+D129)))</f>
        <v/>
      </c>
      <c r="N129" s="37">
        <f>IF(E129="","",IF(N128="",100,N128*(1+E129)))</f>
        <v/>
      </c>
      <c r="O129" s="37">
        <f>IF(F129="","",IF(O128="",100,O128*(1+F129)))</f>
        <v/>
      </c>
      <c r="P129" s="37">
        <f>IF(G129="","",IF(P128="",100,P128*(1+G129)))</f>
        <v/>
      </c>
    </row>
    <row r="130">
      <c r="B130" s="32">
        <f>Rendements!B130</f>
        <v/>
      </c>
      <c r="C130" s="34">
        <f>IF(SUMPRODUCT(Paramètres!$D$15:$D$28*ISNUMBER(TRANSPOSE(Rendements!$C130:$P130)))=0,"",SUMPRODUCT(Paramètres!$D$15:$D$28*ISNUMBER(TRANSPOSE(Rendements!$C130:$P130))*N(+TRANSPOSE(Rendements!$C130:$P130)))/SUMPRODUCT(Paramètres!$D$15:$D$28*ISNUMBER(TRANSPOSE(Rendements!$C130:$P130))))</f>
        <v/>
      </c>
      <c r="D130" s="34">
        <f>IF(SUMPRODUCT(Paramètres!$E$15:$E$28*ISNUMBER(TRANSPOSE(Rendements!$C130:$P130)))=0,"",SUMPRODUCT(Paramètres!$E$15:$E$28*ISNUMBER(TRANSPOSE(Rendements!$C130:$P130))*N(+TRANSPOSE(Rendements!$C130:$P130)))/SUMPRODUCT(Paramètres!$E$15:$E$28*ISNUMBER(TRANSPOSE(Rendements!$C130:$P130))))</f>
        <v/>
      </c>
      <c r="E130" s="34">
        <f>IF(SUMPRODUCT(Paramètres!$F$15:$F$28*ISNUMBER(TRANSPOSE(Rendements!$C130:$P130)))=0,"",SUMPRODUCT(Paramètres!$F$15:$F$28*ISNUMBER(TRANSPOSE(Rendements!$C130:$P130))*N(+TRANSPOSE(Rendements!$C130:$P130)))/SUMPRODUCT(Paramètres!$F$15:$F$28*ISNUMBER(TRANSPOSE(Rendements!$C130:$P130))))</f>
        <v/>
      </c>
      <c r="F130" s="34">
        <f>IF(SUMPRODUCT(Paramètres!$G$15:$G$28*ISNUMBER(TRANSPOSE(Rendements!$C130:$P130)))=0,"",SUMPRODUCT(Paramètres!$G$15:$G$28*ISNUMBER(TRANSPOSE(Rendements!$C130:$P130))*N(+TRANSPOSE(Rendements!$C130:$P130)))/SUMPRODUCT(Paramètres!$G$15:$G$28*ISNUMBER(TRANSPOSE(Rendements!$C130:$P130))))</f>
        <v/>
      </c>
      <c r="G130" s="35">
        <f>IF(OR(C130="",D130="",E130="",F130=""),"",Wc_C1*C130+Wc_C2*D130+Wc_C3*E130+Wc_C4*F130)</f>
        <v/>
      </c>
      <c r="H130" s="36">
        <f>SUMPRODUCT(Paramètres!$D$15:$D$28*ISNUMBER(TRANSPOSE(Rendements!$C130:$P130)))</f>
        <v/>
      </c>
      <c r="I130" s="36">
        <f>SUMPRODUCT(Paramètres!$E$15:$E$28*ISNUMBER(TRANSPOSE(Rendements!$C130:$P130)))</f>
        <v/>
      </c>
      <c r="J130" s="36">
        <f>SUMPRODUCT(Paramètres!$F$15:$F$28*ISNUMBER(TRANSPOSE(Rendements!$C130:$P130)))</f>
        <v/>
      </c>
      <c r="K130" s="36">
        <f>SUMPRODUCT(Paramètres!$G$15:$G$28*ISNUMBER(TRANSPOSE(Rendements!$C130:$P130)))</f>
        <v/>
      </c>
      <c r="L130" s="37">
        <f>IF(C130="","",IF(L129="",100,L129*(1+C130)))</f>
        <v/>
      </c>
      <c r="M130" s="37">
        <f>IF(D130="","",IF(M129="",100,M129*(1+D130)))</f>
        <v/>
      </c>
      <c r="N130" s="37">
        <f>IF(E130="","",IF(N129="",100,N129*(1+E130)))</f>
        <v/>
      </c>
      <c r="O130" s="37">
        <f>IF(F130="","",IF(O129="",100,O129*(1+F130)))</f>
        <v/>
      </c>
      <c r="P130" s="37">
        <f>IF(G130="","",IF(P129="",100,P129*(1+G130)))</f>
        <v/>
      </c>
    </row>
    <row r="131">
      <c r="B131" s="32">
        <f>Rendements!B131</f>
        <v/>
      </c>
      <c r="C131" s="34">
        <f>IF(SUMPRODUCT(Paramètres!$D$15:$D$28*ISNUMBER(TRANSPOSE(Rendements!$C131:$P131)))=0,"",SUMPRODUCT(Paramètres!$D$15:$D$28*ISNUMBER(TRANSPOSE(Rendements!$C131:$P131))*N(+TRANSPOSE(Rendements!$C131:$P131)))/SUMPRODUCT(Paramètres!$D$15:$D$28*ISNUMBER(TRANSPOSE(Rendements!$C131:$P131))))</f>
        <v/>
      </c>
      <c r="D131" s="34">
        <f>IF(SUMPRODUCT(Paramètres!$E$15:$E$28*ISNUMBER(TRANSPOSE(Rendements!$C131:$P131)))=0,"",SUMPRODUCT(Paramètres!$E$15:$E$28*ISNUMBER(TRANSPOSE(Rendements!$C131:$P131))*N(+TRANSPOSE(Rendements!$C131:$P131)))/SUMPRODUCT(Paramètres!$E$15:$E$28*ISNUMBER(TRANSPOSE(Rendements!$C131:$P131))))</f>
        <v/>
      </c>
      <c r="E131" s="34">
        <f>IF(SUMPRODUCT(Paramètres!$F$15:$F$28*ISNUMBER(TRANSPOSE(Rendements!$C131:$P131)))=0,"",SUMPRODUCT(Paramètres!$F$15:$F$28*ISNUMBER(TRANSPOSE(Rendements!$C131:$P131))*N(+TRANSPOSE(Rendements!$C131:$P131)))/SUMPRODUCT(Paramètres!$F$15:$F$28*ISNUMBER(TRANSPOSE(Rendements!$C131:$P131))))</f>
        <v/>
      </c>
      <c r="F131" s="34">
        <f>IF(SUMPRODUCT(Paramètres!$G$15:$G$28*ISNUMBER(TRANSPOSE(Rendements!$C131:$P131)))=0,"",SUMPRODUCT(Paramètres!$G$15:$G$28*ISNUMBER(TRANSPOSE(Rendements!$C131:$P131))*N(+TRANSPOSE(Rendements!$C131:$P131)))/SUMPRODUCT(Paramètres!$G$15:$G$28*ISNUMBER(TRANSPOSE(Rendements!$C131:$P131))))</f>
        <v/>
      </c>
      <c r="G131" s="35">
        <f>IF(OR(C131="",D131="",E131="",F131=""),"",Wc_C1*C131+Wc_C2*D131+Wc_C3*E131+Wc_C4*F131)</f>
        <v/>
      </c>
      <c r="H131" s="36">
        <f>SUMPRODUCT(Paramètres!$D$15:$D$28*ISNUMBER(TRANSPOSE(Rendements!$C131:$P131)))</f>
        <v/>
      </c>
      <c r="I131" s="36">
        <f>SUMPRODUCT(Paramètres!$E$15:$E$28*ISNUMBER(TRANSPOSE(Rendements!$C131:$P131)))</f>
        <v/>
      </c>
      <c r="J131" s="36">
        <f>SUMPRODUCT(Paramètres!$F$15:$F$28*ISNUMBER(TRANSPOSE(Rendements!$C131:$P131)))</f>
        <v/>
      </c>
      <c r="K131" s="36">
        <f>SUMPRODUCT(Paramètres!$G$15:$G$28*ISNUMBER(TRANSPOSE(Rendements!$C131:$P131)))</f>
        <v/>
      </c>
      <c r="L131" s="37">
        <f>IF(C131="","",IF(L130="",100,L130*(1+C131)))</f>
        <v/>
      </c>
      <c r="M131" s="37">
        <f>IF(D131="","",IF(M130="",100,M130*(1+D131)))</f>
        <v/>
      </c>
      <c r="N131" s="37">
        <f>IF(E131="","",IF(N130="",100,N130*(1+E131)))</f>
        <v/>
      </c>
      <c r="O131" s="37">
        <f>IF(F131="","",IF(O130="",100,O130*(1+F131)))</f>
        <v/>
      </c>
      <c r="P131" s="37">
        <f>IF(G131="","",IF(P130="",100,P130*(1+G131)))</f>
        <v/>
      </c>
    </row>
    <row r="132">
      <c r="B132" s="32">
        <f>Rendements!B132</f>
        <v/>
      </c>
      <c r="C132" s="34">
        <f>IF(SUMPRODUCT(Paramètres!$D$15:$D$28*ISNUMBER(TRANSPOSE(Rendements!$C132:$P132)))=0,"",SUMPRODUCT(Paramètres!$D$15:$D$28*ISNUMBER(TRANSPOSE(Rendements!$C132:$P132))*N(+TRANSPOSE(Rendements!$C132:$P132)))/SUMPRODUCT(Paramètres!$D$15:$D$28*ISNUMBER(TRANSPOSE(Rendements!$C132:$P132))))</f>
        <v/>
      </c>
      <c r="D132" s="34">
        <f>IF(SUMPRODUCT(Paramètres!$E$15:$E$28*ISNUMBER(TRANSPOSE(Rendements!$C132:$P132)))=0,"",SUMPRODUCT(Paramètres!$E$15:$E$28*ISNUMBER(TRANSPOSE(Rendements!$C132:$P132))*N(+TRANSPOSE(Rendements!$C132:$P132)))/SUMPRODUCT(Paramètres!$E$15:$E$28*ISNUMBER(TRANSPOSE(Rendements!$C132:$P132))))</f>
        <v/>
      </c>
      <c r="E132" s="34">
        <f>IF(SUMPRODUCT(Paramètres!$F$15:$F$28*ISNUMBER(TRANSPOSE(Rendements!$C132:$P132)))=0,"",SUMPRODUCT(Paramètres!$F$15:$F$28*ISNUMBER(TRANSPOSE(Rendements!$C132:$P132))*N(+TRANSPOSE(Rendements!$C132:$P132)))/SUMPRODUCT(Paramètres!$F$15:$F$28*ISNUMBER(TRANSPOSE(Rendements!$C132:$P132))))</f>
        <v/>
      </c>
      <c r="F132" s="34">
        <f>IF(SUMPRODUCT(Paramètres!$G$15:$G$28*ISNUMBER(TRANSPOSE(Rendements!$C132:$P132)))=0,"",SUMPRODUCT(Paramètres!$G$15:$G$28*ISNUMBER(TRANSPOSE(Rendements!$C132:$P132))*N(+TRANSPOSE(Rendements!$C132:$P132)))/SUMPRODUCT(Paramètres!$G$15:$G$28*ISNUMBER(TRANSPOSE(Rendements!$C132:$P132))))</f>
        <v/>
      </c>
      <c r="G132" s="35">
        <f>IF(OR(C132="",D132="",E132="",F132=""),"",Wc_C1*C132+Wc_C2*D132+Wc_C3*E132+Wc_C4*F132)</f>
        <v/>
      </c>
      <c r="H132" s="36">
        <f>SUMPRODUCT(Paramètres!$D$15:$D$28*ISNUMBER(TRANSPOSE(Rendements!$C132:$P132)))</f>
        <v/>
      </c>
      <c r="I132" s="36">
        <f>SUMPRODUCT(Paramètres!$E$15:$E$28*ISNUMBER(TRANSPOSE(Rendements!$C132:$P132)))</f>
        <v/>
      </c>
      <c r="J132" s="36">
        <f>SUMPRODUCT(Paramètres!$F$15:$F$28*ISNUMBER(TRANSPOSE(Rendements!$C132:$P132)))</f>
        <v/>
      </c>
      <c r="K132" s="36">
        <f>SUMPRODUCT(Paramètres!$G$15:$G$28*ISNUMBER(TRANSPOSE(Rendements!$C132:$P132)))</f>
        <v/>
      </c>
      <c r="L132" s="37">
        <f>IF(C132="","",IF(L131="",100,L131*(1+C132)))</f>
        <v/>
      </c>
      <c r="M132" s="37">
        <f>IF(D132="","",IF(M131="",100,M131*(1+D132)))</f>
        <v/>
      </c>
      <c r="N132" s="37">
        <f>IF(E132="","",IF(N131="",100,N131*(1+E132)))</f>
        <v/>
      </c>
      <c r="O132" s="37">
        <f>IF(F132="","",IF(O131="",100,O131*(1+F132)))</f>
        <v/>
      </c>
      <c r="P132" s="37">
        <f>IF(G132="","",IF(P131="",100,P131*(1+G132)))</f>
        <v/>
      </c>
    </row>
    <row r="133">
      <c r="B133" s="32">
        <f>Rendements!B133</f>
        <v/>
      </c>
      <c r="C133" s="34">
        <f>IF(SUMPRODUCT(Paramètres!$D$15:$D$28*ISNUMBER(TRANSPOSE(Rendements!$C133:$P133)))=0,"",SUMPRODUCT(Paramètres!$D$15:$D$28*ISNUMBER(TRANSPOSE(Rendements!$C133:$P133))*N(+TRANSPOSE(Rendements!$C133:$P133)))/SUMPRODUCT(Paramètres!$D$15:$D$28*ISNUMBER(TRANSPOSE(Rendements!$C133:$P133))))</f>
        <v/>
      </c>
      <c r="D133" s="34">
        <f>IF(SUMPRODUCT(Paramètres!$E$15:$E$28*ISNUMBER(TRANSPOSE(Rendements!$C133:$P133)))=0,"",SUMPRODUCT(Paramètres!$E$15:$E$28*ISNUMBER(TRANSPOSE(Rendements!$C133:$P133))*N(+TRANSPOSE(Rendements!$C133:$P133)))/SUMPRODUCT(Paramètres!$E$15:$E$28*ISNUMBER(TRANSPOSE(Rendements!$C133:$P133))))</f>
        <v/>
      </c>
      <c r="E133" s="34">
        <f>IF(SUMPRODUCT(Paramètres!$F$15:$F$28*ISNUMBER(TRANSPOSE(Rendements!$C133:$P133)))=0,"",SUMPRODUCT(Paramètres!$F$15:$F$28*ISNUMBER(TRANSPOSE(Rendements!$C133:$P133))*N(+TRANSPOSE(Rendements!$C133:$P133)))/SUMPRODUCT(Paramètres!$F$15:$F$28*ISNUMBER(TRANSPOSE(Rendements!$C133:$P133))))</f>
        <v/>
      </c>
      <c r="F133" s="34">
        <f>IF(SUMPRODUCT(Paramètres!$G$15:$G$28*ISNUMBER(TRANSPOSE(Rendements!$C133:$P133)))=0,"",SUMPRODUCT(Paramètres!$G$15:$G$28*ISNUMBER(TRANSPOSE(Rendements!$C133:$P133))*N(+TRANSPOSE(Rendements!$C133:$P133)))/SUMPRODUCT(Paramètres!$G$15:$G$28*ISNUMBER(TRANSPOSE(Rendements!$C133:$P133))))</f>
        <v/>
      </c>
      <c r="G133" s="35">
        <f>IF(OR(C133="",D133="",E133="",F133=""),"",Wc_C1*C133+Wc_C2*D133+Wc_C3*E133+Wc_C4*F133)</f>
        <v/>
      </c>
      <c r="H133" s="36">
        <f>SUMPRODUCT(Paramètres!$D$15:$D$28*ISNUMBER(TRANSPOSE(Rendements!$C133:$P133)))</f>
        <v/>
      </c>
      <c r="I133" s="36">
        <f>SUMPRODUCT(Paramètres!$E$15:$E$28*ISNUMBER(TRANSPOSE(Rendements!$C133:$P133)))</f>
        <v/>
      </c>
      <c r="J133" s="36">
        <f>SUMPRODUCT(Paramètres!$F$15:$F$28*ISNUMBER(TRANSPOSE(Rendements!$C133:$P133)))</f>
        <v/>
      </c>
      <c r="K133" s="36">
        <f>SUMPRODUCT(Paramètres!$G$15:$G$28*ISNUMBER(TRANSPOSE(Rendements!$C133:$P133)))</f>
        <v/>
      </c>
      <c r="L133" s="37">
        <f>IF(C133="","",IF(L132="",100,L132*(1+C133)))</f>
        <v/>
      </c>
      <c r="M133" s="37">
        <f>IF(D133="","",IF(M132="",100,M132*(1+D133)))</f>
        <v/>
      </c>
      <c r="N133" s="37">
        <f>IF(E133="","",IF(N132="",100,N132*(1+E133)))</f>
        <v/>
      </c>
      <c r="O133" s="37">
        <f>IF(F133="","",IF(O132="",100,O132*(1+F133)))</f>
        <v/>
      </c>
      <c r="P133" s="37">
        <f>IF(G133="","",IF(P132="",100,P132*(1+G133)))</f>
        <v/>
      </c>
    </row>
    <row r="134">
      <c r="B134" s="32">
        <f>Rendements!B134</f>
        <v/>
      </c>
      <c r="C134" s="34">
        <f>IF(SUMPRODUCT(Paramètres!$D$15:$D$28*ISNUMBER(TRANSPOSE(Rendements!$C134:$P134)))=0,"",SUMPRODUCT(Paramètres!$D$15:$D$28*ISNUMBER(TRANSPOSE(Rendements!$C134:$P134))*N(+TRANSPOSE(Rendements!$C134:$P134)))/SUMPRODUCT(Paramètres!$D$15:$D$28*ISNUMBER(TRANSPOSE(Rendements!$C134:$P134))))</f>
        <v/>
      </c>
      <c r="D134" s="34">
        <f>IF(SUMPRODUCT(Paramètres!$E$15:$E$28*ISNUMBER(TRANSPOSE(Rendements!$C134:$P134)))=0,"",SUMPRODUCT(Paramètres!$E$15:$E$28*ISNUMBER(TRANSPOSE(Rendements!$C134:$P134))*N(+TRANSPOSE(Rendements!$C134:$P134)))/SUMPRODUCT(Paramètres!$E$15:$E$28*ISNUMBER(TRANSPOSE(Rendements!$C134:$P134))))</f>
        <v/>
      </c>
      <c r="E134" s="34">
        <f>IF(SUMPRODUCT(Paramètres!$F$15:$F$28*ISNUMBER(TRANSPOSE(Rendements!$C134:$P134)))=0,"",SUMPRODUCT(Paramètres!$F$15:$F$28*ISNUMBER(TRANSPOSE(Rendements!$C134:$P134))*N(+TRANSPOSE(Rendements!$C134:$P134)))/SUMPRODUCT(Paramètres!$F$15:$F$28*ISNUMBER(TRANSPOSE(Rendements!$C134:$P134))))</f>
        <v/>
      </c>
      <c r="F134" s="34">
        <f>IF(SUMPRODUCT(Paramètres!$G$15:$G$28*ISNUMBER(TRANSPOSE(Rendements!$C134:$P134)))=0,"",SUMPRODUCT(Paramètres!$G$15:$G$28*ISNUMBER(TRANSPOSE(Rendements!$C134:$P134))*N(+TRANSPOSE(Rendements!$C134:$P134)))/SUMPRODUCT(Paramètres!$G$15:$G$28*ISNUMBER(TRANSPOSE(Rendements!$C134:$P134))))</f>
        <v/>
      </c>
      <c r="G134" s="35">
        <f>IF(OR(C134="",D134="",E134="",F134=""),"",Wc_C1*C134+Wc_C2*D134+Wc_C3*E134+Wc_C4*F134)</f>
        <v/>
      </c>
      <c r="H134" s="36">
        <f>SUMPRODUCT(Paramètres!$D$15:$D$28*ISNUMBER(TRANSPOSE(Rendements!$C134:$P134)))</f>
        <v/>
      </c>
      <c r="I134" s="36">
        <f>SUMPRODUCT(Paramètres!$E$15:$E$28*ISNUMBER(TRANSPOSE(Rendements!$C134:$P134)))</f>
        <v/>
      </c>
      <c r="J134" s="36">
        <f>SUMPRODUCT(Paramètres!$F$15:$F$28*ISNUMBER(TRANSPOSE(Rendements!$C134:$P134)))</f>
        <v/>
      </c>
      <c r="K134" s="36">
        <f>SUMPRODUCT(Paramètres!$G$15:$G$28*ISNUMBER(TRANSPOSE(Rendements!$C134:$P134)))</f>
        <v/>
      </c>
      <c r="L134" s="37">
        <f>IF(C134="","",IF(L133="",100,L133*(1+C134)))</f>
        <v/>
      </c>
      <c r="M134" s="37">
        <f>IF(D134="","",IF(M133="",100,M133*(1+D134)))</f>
        <v/>
      </c>
      <c r="N134" s="37">
        <f>IF(E134="","",IF(N133="",100,N133*(1+E134)))</f>
        <v/>
      </c>
      <c r="O134" s="37">
        <f>IF(F134="","",IF(O133="",100,O133*(1+F134)))</f>
        <v/>
      </c>
      <c r="P134" s="37">
        <f>IF(G134="","",IF(P133="",100,P133*(1+G134)))</f>
        <v/>
      </c>
    </row>
    <row r="135">
      <c r="B135" s="32">
        <f>Rendements!B135</f>
        <v/>
      </c>
      <c r="C135" s="34">
        <f>IF(SUMPRODUCT(Paramètres!$D$15:$D$28*ISNUMBER(TRANSPOSE(Rendements!$C135:$P135)))=0,"",SUMPRODUCT(Paramètres!$D$15:$D$28*ISNUMBER(TRANSPOSE(Rendements!$C135:$P135))*N(+TRANSPOSE(Rendements!$C135:$P135)))/SUMPRODUCT(Paramètres!$D$15:$D$28*ISNUMBER(TRANSPOSE(Rendements!$C135:$P135))))</f>
        <v/>
      </c>
      <c r="D135" s="34">
        <f>IF(SUMPRODUCT(Paramètres!$E$15:$E$28*ISNUMBER(TRANSPOSE(Rendements!$C135:$P135)))=0,"",SUMPRODUCT(Paramètres!$E$15:$E$28*ISNUMBER(TRANSPOSE(Rendements!$C135:$P135))*N(+TRANSPOSE(Rendements!$C135:$P135)))/SUMPRODUCT(Paramètres!$E$15:$E$28*ISNUMBER(TRANSPOSE(Rendements!$C135:$P135))))</f>
        <v/>
      </c>
      <c r="E135" s="34">
        <f>IF(SUMPRODUCT(Paramètres!$F$15:$F$28*ISNUMBER(TRANSPOSE(Rendements!$C135:$P135)))=0,"",SUMPRODUCT(Paramètres!$F$15:$F$28*ISNUMBER(TRANSPOSE(Rendements!$C135:$P135))*N(+TRANSPOSE(Rendements!$C135:$P135)))/SUMPRODUCT(Paramètres!$F$15:$F$28*ISNUMBER(TRANSPOSE(Rendements!$C135:$P135))))</f>
        <v/>
      </c>
      <c r="F135" s="34">
        <f>IF(SUMPRODUCT(Paramètres!$G$15:$G$28*ISNUMBER(TRANSPOSE(Rendements!$C135:$P135)))=0,"",SUMPRODUCT(Paramètres!$G$15:$G$28*ISNUMBER(TRANSPOSE(Rendements!$C135:$P135))*N(+TRANSPOSE(Rendements!$C135:$P135)))/SUMPRODUCT(Paramètres!$G$15:$G$28*ISNUMBER(TRANSPOSE(Rendements!$C135:$P135))))</f>
        <v/>
      </c>
      <c r="G135" s="35">
        <f>IF(OR(C135="",D135="",E135="",F135=""),"",Wc_C1*C135+Wc_C2*D135+Wc_C3*E135+Wc_C4*F135)</f>
        <v/>
      </c>
      <c r="H135" s="36">
        <f>SUMPRODUCT(Paramètres!$D$15:$D$28*ISNUMBER(TRANSPOSE(Rendements!$C135:$P135)))</f>
        <v/>
      </c>
      <c r="I135" s="36">
        <f>SUMPRODUCT(Paramètres!$E$15:$E$28*ISNUMBER(TRANSPOSE(Rendements!$C135:$P135)))</f>
        <v/>
      </c>
      <c r="J135" s="36">
        <f>SUMPRODUCT(Paramètres!$F$15:$F$28*ISNUMBER(TRANSPOSE(Rendements!$C135:$P135)))</f>
        <v/>
      </c>
      <c r="K135" s="36">
        <f>SUMPRODUCT(Paramètres!$G$15:$G$28*ISNUMBER(TRANSPOSE(Rendements!$C135:$P135)))</f>
        <v/>
      </c>
      <c r="L135" s="37">
        <f>IF(C135="","",IF(L134="",100,L134*(1+C135)))</f>
        <v/>
      </c>
      <c r="M135" s="37">
        <f>IF(D135="","",IF(M134="",100,M134*(1+D135)))</f>
        <v/>
      </c>
      <c r="N135" s="37">
        <f>IF(E135="","",IF(N134="",100,N134*(1+E135)))</f>
        <v/>
      </c>
      <c r="O135" s="37">
        <f>IF(F135="","",IF(O134="",100,O134*(1+F135)))</f>
        <v/>
      </c>
      <c r="P135" s="37">
        <f>IF(G135="","",IF(P134="",100,P134*(1+G135)))</f>
        <v/>
      </c>
    </row>
    <row r="136">
      <c r="B136" s="32">
        <f>Rendements!B136</f>
        <v/>
      </c>
      <c r="C136" s="34">
        <f>IF(SUMPRODUCT(Paramètres!$D$15:$D$28*ISNUMBER(TRANSPOSE(Rendements!$C136:$P136)))=0,"",SUMPRODUCT(Paramètres!$D$15:$D$28*ISNUMBER(TRANSPOSE(Rendements!$C136:$P136))*N(+TRANSPOSE(Rendements!$C136:$P136)))/SUMPRODUCT(Paramètres!$D$15:$D$28*ISNUMBER(TRANSPOSE(Rendements!$C136:$P136))))</f>
        <v/>
      </c>
      <c r="D136" s="34">
        <f>IF(SUMPRODUCT(Paramètres!$E$15:$E$28*ISNUMBER(TRANSPOSE(Rendements!$C136:$P136)))=0,"",SUMPRODUCT(Paramètres!$E$15:$E$28*ISNUMBER(TRANSPOSE(Rendements!$C136:$P136))*N(+TRANSPOSE(Rendements!$C136:$P136)))/SUMPRODUCT(Paramètres!$E$15:$E$28*ISNUMBER(TRANSPOSE(Rendements!$C136:$P136))))</f>
        <v/>
      </c>
      <c r="E136" s="34">
        <f>IF(SUMPRODUCT(Paramètres!$F$15:$F$28*ISNUMBER(TRANSPOSE(Rendements!$C136:$P136)))=0,"",SUMPRODUCT(Paramètres!$F$15:$F$28*ISNUMBER(TRANSPOSE(Rendements!$C136:$P136))*N(+TRANSPOSE(Rendements!$C136:$P136)))/SUMPRODUCT(Paramètres!$F$15:$F$28*ISNUMBER(TRANSPOSE(Rendements!$C136:$P136))))</f>
        <v/>
      </c>
      <c r="F136" s="34">
        <f>IF(SUMPRODUCT(Paramètres!$G$15:$G$28*ISNUMBER(TRANSPOSE(Rendements!$C136:$P136)))=0,"",SUMPRODUCT(Paramètres!$G$15:$G$28*ISNUMBER(TRANSPOSE(Rendements!$C136:$P136))*N(+TRANSPOSE(Rendements!$C136:$P136)))/SUMPRODUCT(Paramètres!$G$15:$G$28*ISNUMBER(TRANSPOSE(Rendements!$C136:$P136))))</f>
        <v/>
      </c>
      <c r="G136" s="35">
        <f>IF(OR(C136="",D136="",E136="",F136=""),"",Wc_C1*C136+Wc_C2*D136+Wc_C3*E136+Wc_C4*F136)</f>
        <v/>
      </c>
      <c r="H136" s="36">
        <f>SUMPRODUCT(Paramètres!$D$15:$D$28*ISNUMBER(TRANSPOSE(Rendements!$C136:$P136)))</f>
        <v/>
      </c>
      <c r="I136" s="36">
        <f>SUMPRODUCT(Paramètres!$E$15:$E$28*ISNUMBER(TRANSPOSE(Rendements!$C136:$P136)))</f>
        <v/>
      </c>
      <c r="J136" s="36">
        <f>SUMPRODUCT(Paramètres!$F$15:$F$28*ISNUMBER(TRANSPOSE(Rendements!$C136:$P136)))</f>
        <v/>
      </c>
      <c r="K136" s="36">
        <f>SUMPRODUCT(Paramètres!$G$15:$G$28*ISNUMBER(TRANSPOSE(Rendements!$C136:$P136)))</f>
        <v/>
      </c>
      <c r="L136" s="37">
        <f>IF(C136="","",IF(L135="",100,L135*(1+C136)))</f>
        <v/>
      </c>
      <c r="M136" s="37">
        <f>IF(D136="","",IF(M135="",100,M135*(1+D136)))</f>
        <v/>
      </c>
      <c r="N136" s="37">
        <f>IF(E136="","",IF(N135="",100,N135*(1+E136)))</f>
        <v/>
      </c>
      <c r="O136" s="37">
        <f>IF(F136="","",IF(O135="",100,O135*(1+F136)))</f>
        <v/>
      </c>
      <c r="P136" s="37">
        <f>IF(G136="","",IF(P135="",100,P135*(1+G136)))</f>
        <v/>
      </c>
    </row>
    <row r="137">
      <c r="B137" s="32">
        <f>Rendements!B137</f>
        <v/>
      </c>
      <c r="C137" s="34">
        <f>IF(SUMPRODUCT(Paramètres!$D$15:$D$28*ISNUMBER(TRANSPOSE(Rendements!$C137:$P137)))=0,"",SUMPRODUCT(Paramètres!$D$15:$D$28*ISNUMBER(TRANSPOSE(Rendements!$C137:$P137))*N(+TRANSPOSE(Rendements!$C137:$P137)))/SUMPRODUCT(Paramètres!$D$15:$D$28*ISNUMBER(TRANSPOSE(Rendements!$C137:$P137))))</f>
        <v/>
      </c>
      <c r="D137" s="34">
        <f>IF(SUMPRODUCT(Paramètres!$E$15:$E$28*ISNUMBER(TRANSPOSE(Rendements!$C137:$P137)))=0,"",SUMPRODUCT(Paramètres!$E$15:$E$28*ISNUMBER(TRANSPOSE(Rendements!$C137:$P137))*N(+TRANSPOSE(Rendements!$C137:$P137)))/SUMPRODUCT(Paramètres!$E$15:$E$28*ISNUMBER(TRANSPOSE(Rendements!$C137:$P137))))</f>
        <v/>
      </c>
      <c r="E137" s="34">
        <f>IF(SUMPRODUCT(Paramètres!$F$15:$F$28*ISNUMBER(TRANSPOSE(Rendements!$C137:$P137)))=0,"",SUMPRODUCT(Paramètres!$F$15:$F$28*ISNUMBER(TRANSPOSE(Rendements!$C137:$P137))*N(+TRANSPOSE(Rendements!$C137:$P137)))/SUMPRODUCT(Paramètres!$F$15:$F$28*ISNUMBER(TRANSPOSE(Rendements!$C137:$P137))))</f>
        <v/>
      </c>
      <c r="F137" s="34">
        <f>IF(SUMPRODUCT(Paramètres!$G$15:$G$28*ISNUMBER(TRANSPOSE(Rendements!$C137:$P137)))=0,"",SUMPRODUCT(Paramètres!$G$15:$G$28*ISNUMBER(TRANSPOSE(Rendements!$C137:$P137))*N(+TRANSPOSE(Rendements!$C137:$P137)))/SUMPRODUCT(Paramètres!$G$15:$G$28*ISNUMBER(TRANSPOSE(Rendements!$C137:$P137))))</f>
        <v/>
      </c>
      <c r="G137" s="35">
        <f>IF(OR(C137="",D137="",E137="",F137=""),"",Wc_C1*C137+Wc_C2*D137+Wc_C3*E137+Wc_C4*F137)</f>
        <v/>
      </c>
      <c r="H137" s="36">
        <f>SUMPRODUCT(Paramètres!$D$15:$D$28*ISNUMBER(TRANSPOSE(Rendements!$C137:$P137)))</f>
        <v/>
      </c>
      <c r="I137" s="36">
        <f>SUMPRODUCT(Paramètres!$E$15:$E$28*ISNUMBER(TRANSPOSE(Rendements!$C137:$P137)))</f>
        <v/>
      </c>
      <c r="J137" s="36">
        <f>SUMPRODUCT(Paramètres!$F$15:$F$28*ISNUMBER(TRANSPOSE(Rendements!$C137:$P137)))</f>
        <v/>
      </c>
      <c r="K137" s="36">
        <f>SUMPRODUCT(Paramètres!$G$15:$G$28*ISNUMBER(TRANSPOSE(Rendements!$C137:$P137)))</f>
        <v/>
      </c>
      <c r="L137" s="37">
        <f>IF(C137="","",IF(L136="",100,L136*(1+C137)))</f>
        <v/>
      </c>
      <c r="M137" s="37">
        <f>IF(D137="","",IF(M136="",100,M136*(1+D137)))</f>
        <v/>
      </c>
      <c r="N137" s="37">
        <f>IF(E137="","",IF(N136="",100,N136*(1+E137)))</f>
        <v/>
      </c>
      <c r="O137" s="37">
        <f>IF(F137="","",IF(O136="",100,O136*(1+F137)))</f>
        <v/>
      </c>
      <c r="P137" s="37">
        <f>IF(G137="","",IF(P136="",100,P136*(1+G137)))</f>
        <v/>
      </c>
    </row>
    <row r="138">
      <c r="B138" s="32">
        <f>Rendements!B138</f>
        <v/>
      </c>
      <c r="C138" s="34">
        <f>IF(SUMPRODUCT(Paramètres!$D$15:$D$28*ISNUMBER(TRANSPOSE(Rendements!$C138:$P138)))=0,"",SUMPRODUCT(Paramètres!$D$15:$D$28*ISNUMBER(TRANSPOSE(Rendements!$C138:$P138))*N(+TRANSPOSE(Rendements!$C138:$P138)))/SUMPRODUCT(Paramètres!$D$15:$D$28*ISNUMBER(TRANSPOSE(Rendements!$C138:$P138))))</f>
        <v/>
      </c>
      <c r="D138" s="34">
        <f>IF(SUMPRODUCT(Paramètres!$E$15:$E$28*ISNUMBER(TRANSPOSE(Rendements!$C138:$P138)))=0,"",SUMPRODUCT(Paramètres!$E$15:$E$28*ISNUMBER(TRANSPOSE(Rendements!$C138:$P138))*N(+TRANSPOSE(Rendements!$C138:$P138)))/SUMPRODUCT(Paramètres!$E$15:$E$28*ISNUMBER(TRANSPOSE(Rendements!$C138:$P138))))</f>
        <v/>
      </c>
      <c r="E138" s="34">
        <f>IF(SUMPRODUCT(Paramètres!$F$15:$F$28*ISNUMBER(TRANSPOSE(Rendements!$C138:$P138)))=0,"",SUMPRODUCT(Paramètres!$F$15:$F$28*ISNUMBER(TRANSPOSE(Rendements!$C138:$P138))*N(+TRANSPOSE(Rendements!$C138:$P138)))/SUMPRODUCT(Paramètres!$F$15:$F$28*ISNUMBER(TRANSPOSE(Rendements!$C138:$P138))))</f>
        <v/>
      </c>
      <c r="F138" s="34">
        <f>IF(SUMPRODUCT(Paramètres!$G$15:$G$28*ISNUMBER(TRANSPOSE(Rendements!$C138:$P138)))=0,"",SUMPRODUCT(Paramètres!$G$15:$G$28*ISNUMBER(TRANSPOSE(Rendements!$C138:$P138))*N(+TRANSPOSE(Rendements!$C138:$P138)))/SUMPRODUCT(Paramètres!$G$15:$G$28*ISNUMBER(TRANSPOSE(Rendements!$C138:$P138))))</f>
        <v/>
      </c>
      <c r="G138" s="35">
        <f>IF(OR(C138="",D138="",E138="",F138=""),"",Wc_C1*C138+Wc_C2*D138+Wc_C3*E138+Wc_C4*F138)</f>
        <v/>
      </c>
      <c r="H138" s="36">
        <f>SUMPRODUCT(Paramètres!$D$15:$D$28*ISNUMBER(TRANSPOSE(Rendements!$C138:$P138)))</f>
        <v/>
      </c>
      <c r="I138" s="36">
        <f>SUMPRODUCT(Paramètres!$E$15:$E$28*ISNUMBER(TRANSPOSE(Rendements!$C138:$P138)))</f>
        <v/>
      </c>
      <c r="J138" s="36">
        <f>SUMPRODUCT(Paramètres!$F$15:$F$28*ISNUMBER(TRANSPOSE(Rendements!$C138:$P138)))</f>
        <v/>
      </c>
      <c r="K138" s="36">
        <f>SUMPRODUCT(Paramètres!$G$15:$G$28*ISNUMBER(TRANSPOSE(Rendements!$C138:$P138)))</f>
        <v/>
      </c>
      <c r="L138" s="37">
        <f>IF(C138="","",IF(L137="",100,L137*(1+C138)))</f>
        <v/>
      </c>
      <c r="M138" s="37">
        <f>IF(D138="","",IF(M137="",100,M137*(1+D138)))</f>
        <v/>
      </c>
      <c r="N138" s="37">
        <f>IF(E138="","",IF(N137="",100,N137*(1+E138)))</f>
        <v/>
      </c>
      <c r="O138" s="37">
        <f>IF(F138="","",IF(O137="",100,O137*(1+F138)))</f>
        <v/>
      </c>
      <c r="P138" s="37">
        <f>IF(G138="","",IF(P137="",100,P137*(1+G138)))</f>
        <v/>
      </c>
    </row>
    <row r="139">
      <c r="B139" s="32">
        <f>Rendements!B139</f>
        <v/>
      </c>
      <c r="C139" s="34">
        <f>IF(SUMPRODUCT(Paramètres!$D$15:$D$28*ISNUMBER(TRANSPOSE(Rendements!$C139:$P139)))=0,"",SUMPRODUCT(Paramètres!$D$15:$D$28*ISNUMBER(TRANSPOSE(Rendements!$C139:$P139))*N(+TRANSPOSE(Rendements!$C139:$P139)))/SUMPRODUCT(Paramètres!$D$15:$D$28*ISNUMBER(TRANSPOSE(Rendements!$C139:$P139))))</f>
        <v/>
      </c>
      <c r="D139" s="34">
        <f>IF(SUMPRODUCT(Paramètres!$E$15:$E$28*ISNUMBER(TRANSPOSE(Rendements!$C139:$P139)))=0,"",SUMPRODUCT(Paramètres!$E$15:$E$28*ISNUMBER(TRANSPOSE(Rendements!$C139:$P139))*N(+TRANSPOSE(Rendements!$C139:$P139)))/SUMPRODUCT(Paramètres!$E$15:$E$28*ISNUMBER(TRANSPOSE(Rendements!$C139:$P139))))</f>
        <v/>
      </c>
      <c r="E139" s="34">
        <f>IF(SUMPRODUCT(Paramètres!$F$15:$F$28*ISNUMBER(TRANSPOSE(Rendements!$C139:$P139)))=0,"",SUMPRODUCT(Paramètres!$F$15:$F$28*ISNUMBER(TRANSPOSE(Rendements!$C139:$P139))*N(+TRANSPOSE(Rendements!$C139:$P139)))/SUMPRODUCT(Paramètres!$F$15:$F$28*ISNUMBER(TRANSPOSE(Rendements!$C139:$P139))))</f>
        <v/>
      </c>
      <c r="F139" s="34">
        <f>IF(SUMPRODUCT(Paramètres!$G$15:$G$28*ISNUMBER(TRANSPOSE(Rendements!$C139:$P139)))=0,"",SUMPRODUCT(Paramètres!$G$15:$G$28*ISNUMBER(TRANSPOSE(Rendements!$C139:$P139))*N(+TRANSPOSE(Rendements!$C139:$P139)))/SUMPRODUCT(Paramètres!$G$15:$G$28*ISNUMBER(TRANSPOSE(Rendements!$C139:$P139))))</f>
        <v/>
      </c>
      <c r="G139" s="35">
        <f>IF(OR(C139="",D139="",E139="",F139=""),"",Wc_C1*C139+Wc_C2*D139+Wc_C3*E139+Wc_C4*F139)</f>
        <v/>
      </c>
      <c r="H139" s="36">
        <f>SUMPRODUCT(Paramètres!$D$15:$D$28*ISNUMBER(TRANSPOSE(Rendements!$C139:$P139)))</f>
        <v/>
      </c>
      <c r="I139" s="36">
        <f>SUMPRODUCT(Paramètres!$E$15:$E$28*ISNUMBER(TRANSPOSE(Rendements!$C139:$P139)))</f>
        <v/>
      </c>
      <c r="J139" s="36">
        <f>SUMPRODUCT(Paramètres!$F$15:$F$28*ISNUMBER(TRANSPOSE(Rendements!$C139:$P139)))</f>
        <v/>
      </c>
      <c r="K139" s="36">
        <f>SUMPRODUCT(Paramètres!$G$15:$G$28*ISNUMBER(TRANSPOSE(Rendements!$C139:$P139)))</f>
        <v/>
      </c>
      <c r="L139" s="37">
        <f>IF(C139="","",IF(L138="",100,L138*(1+C139)))</f>
        <v/>
      </c>
      <c r="M139" s="37">
        <f>IF(D139="","",IF(M138="",100,M138*(1+D139)))</f>
        <v/>
      </c>
      <c r="N139" s="37">
        <f>IF(E139="","",IF(N138="",100,N138*(1+E139)))</f>
        <v/>
      </c>
      <c r="O139" s="37">
        <f>IF(F139="","",IF(O138="",100,O138*(1+F139)))</f>
        <v/>
      </c>
      <c r="P139" s="37">
        <f>IF(G139="","",IF(P138="",100,P138*(1+G139)))</f>
        <v/>
      </c>
    </row>
    <row r="140">
      <c r="B140" s="32">
        <f>Rendements!B140</f>
        <v/>
      </c>
      <c r="C140" s="34">
        <f>IF(SUMPRODUCT(Paramètres!$D$15:$D$28*ISNUMBER(TRANSPOSE(Rendements!$C140:$P140)))=0,"",SUMPRODUCT(Paramètres!$D$15:$D$28*ISNUMBER(TRANSPOSE(Rendements!$C140:$P140))*N(+TRANSPOSE(Rendements!$C140:$P140)))/SUMPRODUCT(Paramètres!$D$15:$D$28*ISNUMBER(TRANSPOSE(Rendements!$C140:$P140))))</f>
        <v/>
      </c>
      <c r="D140" s="34">
        <f>IF(SUMPRODUCT(Paramètres!$E$15:$E$28*ISNUMBER(TRANSPOSE(Rendements!$C140:$P140)))=0,"",SUMPRODUCT(Paramètres!$E$15:$E$28*ISNUMBER(TRANSPOSE(Rendements!$C140:$P140))*N(+TRANSPOSE(Rendements!$C140:$P140)))/SUMPRODUCT(Paramètres!$E$15:$E$28*ISNUMBER(TRANSPOSE(Rendements!$C140:$P140))))</f>
        <v/>
      </c>
      <c r="E140" s="34">
        <f>IF(SUMPRODUCT(Paramètres!$F$15:$F$28*ISNUMBER(TRANSPOSE(Rendements!$C140:$P140)))=0,"",SUMPRODUCT(Paramètres!$F$15:$F$28*ISNUMBER(TRANSPOSE(Rendements!$C140:$P140))*N(+TRANSPOSE(Rendements!$C140:$P140)))/SUMPRODUCT(Paramètres!$F$15:$F$28*ISNUMBER(TRANSPOSE(Rendements!$C140:$P140))))</f>
        <v/>
      </c>
      <c r="F140" s="34">
        <f>IF(SUMPRODUCT(Paramètres!$G$15:$G$28*ISNUMBER(TRANSPOSE(Rendements!$C140:$P140)))=0,"",SUMPRODUCT(Paramètres!$G$15:$G$28*ISNUMBER(TRANSPOSE(Rendements!$C140:$P140))*N(+TRANSPOSE(Rendements!$C140:$P140)))/SUMPRODUCT(Paramètres!$G$15:$G$28*ISNUMBER(TRANSPOSE(Rendements!$C140:$P140))))</f>
        <v/>
      </c>
      <c r="G140" s="35">
        <f>IF(OR(C140="",D140="",E140="",F140=""),"",Wc_C1*C140+Wc_C2*D140+Wc_C3*E140+Wc_C4*F140)</f>
        <v/>
      </c>
      <c r="H140" s="36">
        <f>SUMPRODUCT(Paramètres!$D$15:$D$28*ISNUMBER(TRANSPOSE(Rendements!$C140:$P140)))</f>
        <v/>
      </c>
      <c r="I140" s="36">
        <f>SUMPRODUCT(Paramètres!$E$15:$E$28*ISNUMBER(TRANSPOSE(Rendements!$C140:$P140)))</f>
        <v/>
      </c>
      <c r="J140" s="36">
        <f>SUMPRODUCT(Paramètres!$F$15:$F$28*ISNUMBER(TRANSPOSE(Rendements!$C140:$P140)))</f>
        <v/>
      </c>
      <c r="K140" s="36">
        <f>SUMPRODUCT(Paramètres!$G$15:$G$28*ISNUMBER(TRANSPOSE(Rendements!$C140:$P140)))</f>
        <v/>
      </c>
      <c r="L140" s="37">
        <f>IF(C140="","",IF(L139="",100,L139*(1+C140)))</f>
        <v/>
      </c>
      <c r="M140" s="37">
        <f>IF(D140="","",IF(M139="",100,M139*(1+D140)))</f>
        <v/>
      </c>
      <c r="N140" s="37">
        <f>IF(E140="","",IF(N139="",100,N139*(1+E140)))</f>
        <v/>
      </c>
      <c r="O140" s="37">
        <f>IF(F140="","",IF(O139="",100,O139*(1+F140)))</f>
        <v/>
      </c>
      <c r="P140" s="37">
        <f>IF(G140="","",IF(P139="",100,P139*(1+G140)))</f>
        <v/>
      </c>
    </row>
    <row r="141">
      <c r="B141" s="32">
        <f>Rendements!B141</f>
        <v/>
      </c>
      <c r="C141" s="34">
        <f>IF(SUMPRODUCT(Paramètres!$D$15:$D$28*ISNUMBER(TRANSPOSE(Rendements!$C141:$P141)))=0,"",SUMPRODUCT(Paramètres!$D$15:$D$28*ISNUMBER(TRANSPOSE(Rendements!$C141:$P141))*N(+TRANSPOSE(Rendements!$C141:$P141)))/SUMPRODUCT(Paramètres!$D$15:$D$28*ISNUMBER(TRANSPOSE(Rendements!$C141:$P141))))</f>
        <v/>
      </c>
      <c r="D141" s="34">
        <f>IF(SUMPRODUCT(Paramètres!$E$15:$E$28*ISNUMBER(TRANSPOSE(Rendements!$C141:$P141)))=0,"",SUMPRODUCT(Paramètres!$E$15:$E$28*ISNUMBER(TRANSPOSE(Rendements!$C141:$P141))*N(+TRANSPOSE(Rendements!$C141:$P141)))/SUMPRODUCT(Paramètres!$E$15:$E$28*ISNUMBER(TRANSPOSE(Rendements!$C141:$P141))))</f>
        <v/>
      </c>
      <c r="E141" s="34">
        <f>IF(SUMPRODUCT(Paramètres!$F$15:$F$28*ISNUMBER(TRANSPOSE(Rendements!$C141:$P141)))=0,"",SUMPRODUCT(Paramètres!$F$15:$F$28*ISNUMBER(TRANSPOSE(Rendements!$C141:$P141))*N(+TRANSPOSE(Rendements!$C141:$P141)))/SUMPRODUCT(Paramètres!$F$15:$F$28*ISNUMBER(TRANSPOSE(Rendements!$C141:$P141))))</f>
        <v/>
      </c>
      <c r="F141" s="34">
        <f>IF(SUMPRODUCT(Paramètres!$G$15:$G$28*ISNUMBER(TRANSPOSE(Rendements!$C141:$P141)))=0,"",SUMPRODUCT(Paramètres!$G$15:$G$28*ISNUMBER(TRANSPOSE(Rendements!$C141:$P141))*N(+TRANSPOSE(Rendements!$C141:$P141)))/SUMPRODUCT(Paramètres!$G$15:$G$28*ISNUMBER(TRANSPOSE(Rendements!$C141:$P141))))</f>
        <v/>
      </c>
      <c r="G141" s="35">
        <f>IF(OR(C141="",D141="",E141="",F141=""),"",Wc_C1*C141+Wc_C2*D141+Wc_C3*E141+Wc_C4*F141)</f>
        <v/>
      </c>
      <c r="H141" s="36">
        <f>SUMPRODUCT(Paramètres!$D$15:$D$28*ISNUMBER(TRANSPOSE(Rendements!$C141:$P141)))</f>
        <v/>
      </c>
      <c r="I141" s="36">
        <f>SUMPRODUCT(Paramètres!$E$15:$E$28*ISNUMBER(TRANSPOSE(Rendements!$C141:$P141)))</f>
        <v/>
      </c>
      <c r="J141" s="36">
        <f>SUMPRODUCT(Paramètres!$F$15:$F$28*ISNUMBER(TRANSPOSE(Rendements!$C141:$P141)))</f>
        <v/>
      </c>
      <c r="K141" s="36">
        <f>SUMPRODUCT(Paramètres!$G$15:$G$28*ISNUMBER(TRANSPOSE(Rendements!$C141:$P141)))</f>
        <v/>
      </c>
      <c r="L141" s="37">
        <f>IF(C141="","",IF(L140="",100,L140*(1+C141)))</f>
        <v/>
      </c>
      <c r="M141" s="37">
        <f>IF(D141="","",IF(M140="",100,M140*(1+D141)))</f>
        <v/>
      </c>
      <c r="N141" s="37">
        <f>IF(E141="","",IF(N140="",100,N140*(1+E141)))</f>
        <v/>
      </c>
      <c r="O141" s="37">
        <f>IF(F141="","",IF(O140="",100,O140*(1+F141)))</f>
        <v/>
      </c>
      <c r="P141" s="37">
        <f>IF(G141="","",IF(P140="",100,P140*(1+G141)))</f>
        <v/>
      </c>
    </row>
    <row r="142">
      <c r="B142" s="32">
        <f>Rendements!B142</f>
        <v/>
      </c>
      <c r="C142" s="34">
        <f>IF(SUMPRODUCT(Paramètres!$D$15:$D$28*ISNUMBER(TRANSPOSE(Rendements!$C142:$P142)))=0,"",SUMPRODUCT(Paramètres!$D$15:$D$28*ISNUMBER(TRANSPOSE(Rendements!$C142:$P142))*N(+TRANSPOSE(Rendements!$C142:$P142)))/SUMPRODUCT(Paramètres!$D$15:$D$28*ISNUMBER(TRANSPOSE(Rendements!$C142:$P142))))</f>
        <v/>
      </c>
      <c r="D142" s="34">
        <f>IF(SUMPRODUCT(Paramètres!$E$15:$E$28*ISNUMBER(TRANSPOSE(Rendements!$C142:$P142)))=0,"",SUMPRODUCT(Paramètres!$E$15:$E$28*ISNUMBER(TRANSPOSE(Rendements!$C142:$P142))*N(+TRANSPOSE(Rendements!$C142:$P142)))/SUMPRODUCT(Paramètres!$E$15:$E$28*ISNUMBER(TRANSPOSE(Rendements!$C142:$P142))))</f>
        <v/>
      </c>
      <c r="E142" s="34">
        <f>IF(SUMPRODUCT(Paramètres!$F$15:$F$28*ISNUMBER(TRANSPOSE(Rendements!$C142:$P142)))=0,"",SUMPRODUCT(Paramètres!$F$15:$F$28*ISNUMBER(TRANSPOSE(Rendements!$C142:$P142))*N(+TRANSPOSE(Rendements!$C142:$P142)))/SUMPRODUCT(Paramètres!$F$15:$F$28*ISNUMBER(TRANSPOSE(Rendements!$C142:$P142))))</f>
        <v/>
      </c>
      <c r="F142" s="34">
        <f>IF(SUMPRODUCT(Paramètres!$G$15:$G$28*ISNUMBER(TRANSPOSE(Rendements!$C142:$P142)))=0,"",SUMPRODUCT(Paramètres!$G$15:$G$28*ISNUMBER(TRANSPOSE(Rendements!$C142:$P142))*N(+TRANSPOSE(Rendements!$C142:$P142)))/SUMPRODUCT(Paramètres!$G$15:$G$28*ISNUMBER(TRANSPOSE(Rendements!$C142:$P142))))</f>
        <v/>
      </c>
      <c r="G142" s="35">
        <f>IF(OR(C142="",D142="",E142="",F142=""),"",Wc_C1*C142+Wc_C2*D142+Wc_C3*E142+Wc_C4*F142)</f>
        <v/>
      </c>
      <c r="H142" s="36">
        <f>SUMPRODUCT(Paramètres!$D$15:$D$28*ISNUMBER(TRANSPOSE(Rendements!$C142:$P142)))</f>
        <v/>
      </c>
      <c r="I142" s="36">
        <f>SUMPRODUCT(Paramètres!$E$15:$E$28*ISNUMBER(TRANSPOSE(Rendements!$C142:$P142)))</f>
        <v/>
      </c>
      <c r="J142" s="36">
        <f>SUMPRODUCT(Paramètres!$F$15:$F$28*ISNUMBER(TRANSPOSE(Rendements!$C142:$P142)))</f>
        <v/>
      </c>
      <c r="K142" s="36">
        <f>SUMPRODUCT(Paramètres!$G$15:$G$28*ISNUMBER(TRANSPOSE(Rendements!$C142:$P142)))</f>
        <v/>
      </c>
      <c r="L142" s="37">
        <f>IF(C142="","",IF(L141="",100,L141*(1+C142)))</f>
        <v/>
      </c>
      <c r="M142" s="37">
        <f>IF(D142="","",IF(M141="",100,M141*(1+D142)))</f>
        <v/>
      </c>
      <c r="N142" s="37">
        <f>IF(E142="","",IF(N141="",100,N141*(1+E142)))</f>
        <v/>
      </c>
      <c r="O142" s="37">
        <f>IF(F142="","",IF(O141="",100,O141*(1+F142)))</f>
        <v/>
      </c>
      <c r="P142" s="37">
        <f>IF(G142="","",IF(P141="",100,P141*(1+G142)))</f>
        <v/>
      </c>
    </row>
    <row r="143">
      <c r="B143" s="32">
        <f>Rendements!B143</f>
        <v/>
      </c>
      <c r="C143" s="34">
        <f>IF(SUMPRODUCT(Paramètres!$D$15:$D$28*ISNUMBER(TRANSPOSE(Rendements!$C143:$P143)))=0,"",SUMPRODUCT(Paramètres!$D$15:$D$28*ISNUMBER(TRANSPOSE(Rendements!$C143:$P143))*N(+TRANSPOSE(Rendements!$C143:$P143)))/SUMPRODUCT(Paramètres!$D$15:$D$28*ISNUMBER(TRANSPOSE(Rendements!$C143:$P143))))</f>
        <v/>
      </c>
      <c r="D143" s="34">
        <f>IF(SUMPRODUCT(Paramètres!$E$15:$E$28*ISNUMBER(TRANSPOSE(Rendements!$C143:$P143)))=0,"",SUMPRODUCT(Paramètres!$E$15:$E$28*ISNUMBER(TRANSPOSE(Rendements!$C143:$P143))*N(+TRANSPOSE(Rendements!$C143:$P143)))/SUMPRODUCT(Paramètres!$E$15:$E$28*ISNUMBER(TRANSPOSE(Rendements!$C143:$P143))))</f>
        <v/>
      </c>
      <c r="E143" s="34">
        <f>IF(SUMPRODUCT(Paramètres!$F$15:$F$28*ISNUMBER(TRANSPOSE(Rendements!$C143:$P143)))=0,"",SUMPRODUCT(Paramètres!$F$15:$F$28*ISNUMBER(TRANSPOSE(Rendements!$C143:$P143))*N(+TRANSPOSE(Rendements!$C143:$P143)))/SUMPRODUCT(Paramètres!$F$15:$F$28*ISNUMBER(TRANSPOSE(Rendements!$C143:$P143))))</f>
        <v/>
      </c>
      <c r="F143" s="34">
        <f>IF(SUMPRODUCT(Paramètres!$G$15:$G$28*ISNUMBER(TRANSPOSE(Rendements!$C143:$P143)))=0,"",SUMPRODUCT(Paramètres!$G$15:$G$28*ISNUMBER(TRANSPOSE(Rendements!$C143:$P143))*N(+TRANSPOSE(Rendements!$C143:$P143)))/SUMPRODUCT(Paramètres!$G$15:$G$28*ISNUMBER(TRANSPOSE(Rendements!$C143:$P143))))</f>
        <v/>
      </c>
      <c r="G143" s="35">
        <f>IF(OR(C143="",D143="",E143="",F143=""),"",Wc_C1*C143+Wc_C2*D143+Wc_C3*E143+Wc_C4*F143)</f>
        <v/>
      </c>
      <c r="H143" s="36">
        <f>SUMPRODUCT(Paramètres!$D$15:$D$28*ISNUMBER(TRANSPOSE(Rendements!$C143:$P143)))</f>
        <v/>
      </c>
      <c r="I143" s="36">
        <f>SUMPRODUCT(Paramètres!$E$15:$E$28*ISNUMBER(TRANSPOSE(Rendements!$C143:$P143)))</f>
        <v/>
      </c>
      <c r="J143" s="36">
        <f>SUMPRODUCT(Paramètres!$F$15:$F$28*ISNUMBER(TRANSPOSE(Rendements!$C143:$P143)))</f>
        <v/>
      </c>
      <c r="K143" s="36">
        <f>SUMPRODUCT(Paramètres!$G$15:$G$28*ISNUMBER(TRANSPOSE(Rendements!$C143:$P143)))</f>
        <v/>
      </c>
      <c r="L143" s="37">
        <f>IF(C143="","",IF(L142="",100,L142*(1+C143)))</f>
        <v/>
      </c>
      <c r="M143" s="37">
        <f>IF(D143="","",IF(M142="",100,M142*(1+D143)))</f>
        <v/>
      </c>
      <c r="N143" s="37">
        <f>IF(E143="","",IF(N142="",100,N142*(1+E143)))</f>
        <v/>
      </c>
      <c r="O143" s="37">
        <f>IF(F143="","",IF(O142="",100,O142*(1+F143)))</f>
        <v/>
      </c>
      <c r="P143" s="37">
        <f>IF(G143="","",IF(P142="",100,P142*(1+G143)))</f>
        <v/>
      </c>
    </row>
    <row r="144">
      <c r="B144" s="32">
        <f>Rendements!B144</f>
        <v/>
      </c>
      <c r="C144" s="34">
        <f>IF(SUMPRODUCT(Paramètres!$D$15:$D$28*ISNUMBER(TRANSPOSE(Rendements!$C144:$P144)))=0,"",SUMPRODUCT(Paramètres!$D$15:$D$28*ISNUMBER(TRANSPOSE(Rendements!$C144:$P144))*N(+TRANSPOSE(Rendements!$C144:$P144)))/SUMPRODUCT(Paramètres!$D$15:$D$28*ISNUMBER(TRANSPOSE(Rendements!$C144:$P144))))</f>
        <v/>
      </c>
      <c r="D144" s="34">
        <f>IF(SUMPRODUCT(Paramètres!$E$15:$E$28*ISNUMBER(TRANSPOSE(Rendements!$C144:$P144)))=0,"",SUMPRODUCT(Paramètres!$E$15:$E$28*ISNUMBER(TRANSPOSE(Rendements!$C144:$P144))*N(+TRANSPOSE(Rendements!$C144:$P144)))/SUMPRODUCT(Paramètres!$E$15:$E$28*ISNUMBER(TRANSPOSE(Rendements!$C144:$P144))))</f>
        <v/>
      </c>
      <c r="E144" s="34">
        <f>IF(SUMPRODUCT(Paramètres!$F$15:$F$28*ISNUMBER(TRANSPOSE(Rendements!$C144:$P144)))=0,"",SUMPRODUCT(Paramètres!$F$15:$F$28*ISNUMBER(TRANSPOSE(Rendements!$C144:$P144))*N(+TRANSPOSE(Rendements!$C144:$P144)))/SUMPRODUCT(Paramètres!$F$15:$F$28*ISNUMBER(TRANSPOSE(Rendements!$C144:$P144))))</f>
        <v/>
      </c>
      <c r="F144" s="34">
        <f>IF(SUMPRODUCT(Paramètres!$G$15:$G$28*ISNUMBER(TRANSPOSE(Rendements!$C144:$P144)))=0,"",SUMPRODUCT(Paramètres!$G$15:$G$28*ISNUMBER(TRANSPOSE(Rendements!$C144:$P144))*N(+TRANSPOSE(Rendements!$C144:$P144)))/SUMPRODUCT(Paramètres!$G$15:$G$28*ISNUMBER(TRANSPOSE(Rendements!$C144:$P144))))</f>
        <v/>
      </c>
      <c r="G144" s="35">
        <f>IF(OR(C144="",D144="",E144="",F144=""),"",Wc_C1*C144+Wc_C2*D144+Wc_C3*E144+Wc_C4*F144)</f>
        <v/>
      </c>
      <c r="H144" s="36">
        <f>SUMPRODUCT(Paramètres!$D$15:$D$28*ISNUMBER(TRANSPOSE(Rendements!$C144:$P144)))</f>
        <v/>
      </c>
      <c r="I144" s="36">
        <f>SUMPRODUCT(Paramètres!$E$15:$E$28*ISNUMBER(TRANSPOSE(Rendements!$C144:$P144)))</f>
        <v/>
      </c>
      <c r="J144" s="36">
        <f>SUMPRODUCT(Paramètres!$F$15:$F$28*ISNUMBER(TRANSPOSE(Rendements!$C144:$P144)))</f>
        <v/>
      </c>
      <c r="K144" s="36">
        <f>SUMPRODUCT(Paramètres!$G$15:$G$28*ISNUMBER(TRANSPOSE(Rendements!$C144:$P144)))</f>
        <v/>
      </c>
      <c r="L144" s="37">
        <f>IF(C144="","",IF(L143="",100,L143*(1+C144)))</f>
        <v/>
      </c>
      <c r="M144" s="37">
        <f>IF(D144="","",IF(M143="",100,M143*(1+D144)))</f>
        <v/>
      </c>
      <c r="N144" s="37">
        <f>IF(E144="","",IF(N143="",100,N143*(1+E144)))</f>
        <v/>
      </c>
      <c r="O144" s="37">
        <f>IF(F144="","",IF(O143="",100,O143*(1+F144)))</f>
        <v/>
      </c>
      <c r="P144" s="37">
        <f>IF(G144="","",IF(P143="",100,P143*(1+G144)))</f>
        <v/>
      </c>
    </row>
    <row r="145">
      <c r="B145" s="32">
        <f>Rendements!B145</f>
        <v/>
      </c>
      <c r="C145" s="34">
        <f>IF(SUMPRODUCT(Paramètres!$D$15:$D$28*ISNUMBER(TRANSPOSE(Rendements!$C145:$P145)))=0,"",SUMPRODUCT(Paramètres!$D$15:$D$28*ISNUMBER(TRANSPOSE(Rendements!$C145:$P145))*N(+TRANSPOSE(Rendements!$C145:$P145)))/SUMPRODUCT(Paramètres!$D$15:$D$28*ISNUMBER(TRANSPOSE(Rendements!$C145:$P145))))</f>
        <v/>
      </c>
      <c r="D145" s="34">
        <f>IF(SUMPRODUCT(Paramètres!$E$15:$E$28*ISNUMBER(TRANSPOSE(Rendements!$C145:$P145)))=0,"",SUMPRODUCT(Paramètres!$E$15:$E$28*ISNUMBER(TRANSPOSE(Rendements!$C145:$P145))*N(+TRANSPOSE(Rendements!$C145:$P145)))/SUMPRODUCT(Paramètres!$E$15:$E$28*ISNUMBER(TRANSPOSE(Rendements!$C145:$P145))))</f>
        <v/>
      </c>
      <c r="E145" s="34">
        <f>IF(SUMPRODUCT(Paramètres!$F$15:$F$28*ISNUMBER(TRANSPOSE(Rendements!$C145:$P145)))=0,"",SUMPRODUCT(Paramètres!$F$15:$F$28*ISNUMBER(TRANSPOSE(Rendements!$C145:$P145))*N(+TRANSPOSE(Rendements!$C145:$P145)))/SUMPRODUCT(Paramètres!$F$15:$F$28*ISNUMBER(TRANSPOSE(Rendements!$C145:$P145))))</f>
        <v/>
      </c>
      <c r="F145" s="34">
        <f>IF(SUMPRODUCT(Paramètres!$G$15:$G$28*ISNUMBER(TRANSPOSE(Rendements!$C145:$P145)))=0,"",SUMPRODUCT(Paramètres!$G$15:$G$28*ISNUMBER(TRANSPOSE(Rendements!$C145:$P145))*N(+TRANSPOSE(Rendements!$C145:$P145)))/SUMPRODUCT(Paramètres!$G$15:$G$28*ISNUMBER(TRANSPOSE(Rendements!$C145:$P145))))</f>
        <v/>
      </c>
      <c r="G145" s="35">
        <f>IF(OR(C145="",D145="",E145="",F145=""),"",Wc_C1*C145+Wc_C2*D145+Wc_C3*E145+Wc_C4*F145)</f>
        <v/>
      </c>
      <c r="H145" s="36">
        <f>SUMPRODUCT(Paramètres!$D$15:$D$28*ISNUMBER(TRANSPOSE(Rendements!$C145:$P145)))</f>
        <v/>
      </c>
      <c r="I145" s="36">
        <f>SUMPRODUCT(Paramètres!$E$15:$E$28*ISNUMBER(TRANSPOSE(Rendements!$C145:$P145)))</f>
        <v/>
      </c>
      <c r="J145" s="36">
        <f>SUMPRODUCT(Paramètres!$F$15:$F$28*ISNUMBER(TRANSPOSE(Rendements!$C145:$P145)))</f>
        <v/>
      </c>
      <c r="K145" s="36">
        <f>SUMPRODUCT(Paramètres!$G$15:$G$28*ISNUMBER(TRANSPOSE(Rendements!$C145:$P145)))</f>
        <v/>
      </c>
      <c r="L145" s="37">
        <f>IF(C145="","",IF(L144="",100,L144*(1+C145)))</f>
        <v/>
      </c>
      <c r="M145" s="37">
        <f>IF(D145="","",IF(M144="",100,M144*(1+D145)))</f>
        <v/>
      </c>
      <c r="N145" s="37">
        <f>IF(E145="","",IF(N144="",100,N144*(1+E145)))</f>
        <v/>
      </c>
      <c r="O145" s="37">
        <f>IF(F145="","",IF(O144="",100,O144*(1+F145)))</f>
        <v/>
      </c>
      <c r="P145" s="37">
        <f>IF(G145="","",IF(P144="",100,P144*(1+G145)))</f>
        <v/>
      </c>
    </row>
    <row r="146">
      <c r="B146" s="32">
        <f>Rendements!B146</f>
        <v/>
      </c>
      <c r="C146" s="34">
        <f>IF(SUMPRODUCT(Paramètres!$D$15:$D$28*ISNUMBER(TRANSPOSE(Rendements!$C146:$P146)))=0,"",SUMPRODUCT(Paramètres!$D$15:$D$28*ISNUMBER(TRANSPOSE(Rendements!$C146:$P146))*N(+TRANSPOSE(Rendements!$C146:$P146)))/SUMPRODUCT(Paramètres!$D$15:$D$28*ISNUMBER(TRANSPOSE(Rendements!$C146:$P146))))</f>
        <v/>
      </c>
      <c r="D146" s="34">
        <f>IF(SUMPRODUCT(Paramètres!$E$15:$E$28*ISNUMBER(TRANSPOSE(Rendements!$C146:$P146)))=0,"",SUMPRODUCT(Paramètres!$E$15:$E$28*ISNUMBER(TRANSPOSE(Rendements!$C146:$P146))*N(+TRANSPOSE(Rendements!$C146:$P146)))/SUMPRODUCT(Paramètres!$E$15:$E$28*ISNUMBER(TRANSPOSE(Rendements!$C146:$P146))))</f>
        <v/>
      </c>
      <c r="E146" s="34">
        <f>IF(SUMPRODUCT(Paramètres!$F$15:$F$28*ISNUMBER(TRANSPOSE(Rendements!$C146:$P146)))=0,"",SUMPRODUCT(Paramètres!$F$15:$F$28*ISNUMBER(TRANSPOSE(Rendements!$C146:$P146))*N(+TRANSPOSE(Rendements!$C146:$P146)))/SUMPRODUCT(Paramètres!$F$15:$F$28*ISNUMBER(TRANSPOSE(Rendements!$C146:$P146))))</f>
        <v/>
      </c>
      <c r="F146" s="34">
        <f>IF(SUMPRODUCT(Paramètres!$G$15:$G$28*ISNUMBER(TRANSPOSE(Rendements!$C146:$P146)))=0,"",SUMPRODUCT(Paramètres!$G$15:$G$28*ISNUMBER(TRANSPOSE(Rendements!$C146:$P146))*N(+TRANSPOSE(Rendements!$C146:$P146)))/SUMPRODUCT(Paramètres!$G$15:$G$28*ISNUMBER(TRANSPOSE(Rendements!$C146:$P146))))</f>
        <v/>
      </c>
      <c r="G146" s="35">
        <f>IF(OR(C146="",D146="",E146="",F146=""),"",Wc_C1*C146+Wc_C2*D146+Wc_C3*E146+Wc_C4*F146)</f>
        <v/>
      </c>
      <c r="H146" s="36">
        <f>SUMPRODUCT(Paramètres!$D$15:$D$28*ISNUMBER(TRANSPOSE(Rendements!$C146:$P146)))</f>
        <v/>
      </c>
      <c r="I146" s="36">
        <f>SUMPRODUCT(Paramètres!$E$15:$E$28*ISNUMBER(TRANSPOSE(Rendements!$C146:$P146)))</f>
        <v/>
      </c>
      <c r="J146" s="36">
        <f>SUMPRODUCT(Paramètres!$F$15:$F$28*ISNUMBER(TRANSPOSE(Rendements!$C146:$P146)))</f>
        <v/>
      </c>
      <c r="K146" s="36">
        <f>SUMPRODUCT(Paramètres!$G$15:$G$28*ISNUMBER(TRANSPOSE(Rendements!$C146:$P146)))</f>
        <v/>
      </c>
      <c r="L146" s="37">
        <f>IF(C146="","",IF(L145="",100,L145*(1+C146)))</f>
        <v/>
      </c>
      <c r="M146" s="37">
        <f>IF(D146="","",IF(M145="",100,M145*(1+D146)))</f>
        <v/>
      </c>
      <c r="N146" s="37">
        <f>IF(E146="","",IF(N145="",100,N145*(1+E146)))</f>
        <v/>
      </c>
      <c r="O146" s="37">
        <f>IF(F146="","",IF(O145="",100,O145*(1+F146)))</f>
        <v/>
      </c>
      <c r="P146" s="37">
        <f>IF(G146="","",IF(P145="",100,P145*(1+G146)))</f>
        <v/>
      </c>
    </row>
    <row r="147">
      <c r="B147" s="32">
        <f>Rendements!B147</f>
        <v/>
      </c>
      <c r="C147" s="34">
        <f>IF(SUMPRODUCT(Paramètres!$D$15:$D$28*ISNUMBER(TRANSPOSE(Rendements!$C147:$P147)))=0,"",SUMPRODUCT(Paramètres!$D$15:$D$28*ISNUMBER(TRANSPOSE(Rendements!$C147:$P147))*N(+TRANSPOSE(Rendements!$C147:$P147)))/SUMPRODUCT(Paramètres!$D$15:$D$28*ISNUMBER(TRANSPOSE(Rendements!$C147:$P147))))</f>
        <v/>
      </c>
      <c r="D147" s="34">
        <f>IF(SUMPRODUCT(Paramètres!$E$15:$E$28*ISNUMBER(TRANSPOSE(Rendements!$C147:$P147)))=0,"",SUMPRODUCT(Paramètres!$E$15:$E$28*ISNUMBER(TRANSPOSE(Rendements!$C147:$P147))*N(+TRANSPOSE(Rendements!$C147:$P147)))/SUMPRODUCT(Paramètres!$E$15:$E$28*ISNUMBER(TRANSPOSE(Rendements!$C147:$P147))))</f>
        <v/>
      </c>
      <c r="E147" s="34">
        <f>IF(SUMPRODUCT(Paramètres!$F$15:$F$28*ISNUMBER(TRANSPOSE(Rendements!$C147:$P147)))=0,"",SUMPRODUCT(Paramètres!$F$15:$F$28*ISNUMBER(TRANSPOSE(Rendements!$C147:$P147))*N(+TRANSPOSE(Rendements!$C147:$P147)))/SUMPRODUCT(Paramètres!$F$15:$F$28*ISNUMBER(TRANSPOSE(Rendements!$C147:$P147))))</f>
        <v/>
      </c>
      <c r="F147" s="34">
        <f>IF(SUMPRODUCT(Paramètres!$G$15:$G$28*ISNUMBER(TRANSPOSE(Rendements!$C147:$P147)))=0,"",SUMPRODUCT(Paramètres!$G$15:$G$28*ISNUMBER(TRANSPOSE(Rendements!$C147:$P147))*N(+TRANSPOSE(Rendements!$C147:$P147)))/SUMPRODUCT(Paramètres!$G$15:$G$28*ISNUMBER(TRANSPOSE(Rendements!$C147:$P147))))</f>
        <v/>
      </c>
      <c r="G147" s="35">
        <f>IF(OR(C147="",D147="",E147="",F147=""),"",Wc_C1*C147+Wc_C2*D147+Wc_C3*E147+Wc_C4*F147)</f>
        <v/>
      </c>
      <c r="H147" s="36">
        <f>SUMPRODUCT(Paramètres!$D$15:$D$28*ISNUMBER(TRANSPOSE(Rendements!$C147:$P147)))</f>
        <v/>
      </c>
      <c r="I147" s="36">
        <f>SUMPRODUCT(Paramètres!$E$15:$E$28*ISNUMBER(TRANSPOSE(Rendements!$C147:$P147)))</f>
        <v/>
      </c>
      <c r="J147" s="36">
        <f>SUMPRODUCT(Paramètres!$F$15:$F$28*ISNUMBER(TRANSPOSE(Rendements!$C147:$P147)))</f>
        <v/>
      </c>
      <c r="K147" s="36">
        <f>SUMPRODUCT(Paramètres!$G$15:$G$28*ISNUMBER(TRANSPOSE(Rendements!$C147:$P147)))</f>
        <v/>
      </c>
      <c r="L147" s="37">
        <f>IF(C147="","",IF(L146="",100,L146*(1+C147)))</f>
        <v/>
      </c>
      <c r="M147" s="37">
        <f>IF(D147="","",IF(M146="",100,M146*(1+D147)))</f>
        <v/>
      </c>
      <c r="N147" s="37">
        <f>IF(E147="","",IF(N146="",100,N146*(1+E147)))</f>
        <v/>
      </c>
      <c r="O147" s="37">
        <f>IF(F147="","",IF(O146="",100,O146*(1+F147)))</f>
        <v/>
      </c>
      <c r="P147" s="37">
        <f>IF(G147="","",IF(P146="",100,P146*(1+G147)))</f>
        <v/>
      </c>
    </row>
    <row r="148">
      <c r="B148" s="32">
        <f>Rendements!B148</f>
        <v/>
      </c>
      <c r="C148" s="34">
        <f>IF(SUMPRODUCT(Paramètres!$D$15:$D$28*ISNUMBER(TRANSPOSE(Rendements!$C148:$P148)))=0,"",SUMPRODUCT(Paramètres!$D$15:$D$28*ISNUMBER(TRANSPOSE(Rendements!$C148:$P148))*N(+TRANSPOSE(Rendements!$C148:$P148)))/SUMPRODUCT(Paramètres!$D$15:$D$28*ISNUMBER(TRANSPOSE(Rendements!$C148:$P148))))</f>
        <v/>
      </c>
      <c r="D148" s="34">
        <f>IF(SUMPRODUCT(Paramètres!$E$15:$E$28*ISNUMBER(TRANSPOSE(Rendements!$C148:$P148)))=0,"",SUMPRODUCT(Paramètres!$E$15:$E$28*ISNUMBER(TRANSPOSE(Rendements!$C148:$P148))*N(+TRANSPOSE(Rendements!$C148:$P148)))/SUMPRODUCT(Paramètres!$E$15:$E$28*ISNUMBER(TRANSPOSE(Rendements!$C148:$P148))))</f>
        <v/>
      </c>
      <c r="E148" s="34">
        <f>IF(SUMPRODUCT(Paramètres!$F$15:$F$28*ISNUMBER(TRANSPOSE(Rendements!$C148:$P148)))=0,"",SUMPRODUCT(Paramètres!$F$15:$F$28*ISNUMBER(TRANSPOSE(Rendements!$C148:$P148))*N(+TRANSPOSE(Rendements!$C148:$P148)))/SUMPRODUCT(Paramètres!$F$15:$F$28*ISNUMBER(TRANSPOSE(Rendements!$C148:$P148))))</f>
        <v/>
      </c>
      <c r="F148" s="34">
        <f>IF(SUMPRODUCT(Paramètres!$G$15:$G$28*ISNUMBER(TRANSPOSE(Rendements!$C148:$P148)))=0,"",SUMPRODUCT(Paramètres!$G$15:$G$28*ISNUMBER(TRANSPOSE(Rendements!$C148:$P148))*N(+TRANSPOSE(Rendements!$C148:$P148)))/SUMPRODUCT(Paramètres!$G$15:$G$28*ISNUMBER(TRANSPOSE(Rendements!$C148:$P148))))</f>
        <v/>
      </c>
      <c r="G148" s="35">
        <f>IF(OR(C148="",D148="",E148="",F148=""),"",Wc_C1*C148+Wc_C2*D148+Wc_C3*E148+Wc_C4*F148)</f>
        <v/>
      </c>
      <c r="H148" s="36">
        <f>SUMPRODUCT(Paramètres!$D$15:$D$28*ISNUMBER(TRANSPOSE(Rendements!$C148:$P148)))</f>
        <v/>
      </c>
      <c r="I148" s="36">
        <f>SUMPRODUCT(Paramètres!$E$15:$E$28*ISNUMBER(TRANSPOSE(Rendements!$C148:$P148)))</f>
        <v/>
      </c>
      <c r="J148" s="36">
        <f>SUMPRODUCT(Paramètres!$F$15:$F$28*ISNUMBER(TRANSPOSE(Rendements!$C148:$P148)))</f>
        <v/>
      </c>
      <c r="K148" s="36">
        <f>SUMPRODUCT(Paramètres!$G$15:$G$28*ISNUMBER(TRANSPOSE(Rendements!$C148:$P148)))</f>
        <v/>
      </c>
      <c r="L148" s="37">
        <f>IF(C148="","",IF(L147="",100,L147*(1+C148)))</f>
        <v/>
      </c>
      <c r="M148" s="37">
        <f>IF(D148="","",IF(M147="",100,M147*(1+D148)))</f>
        <v/>
      </c>
      <c r="N148" s="37">
        <f>IF(E148="","",IF(N147="",100,N147*(1+E148)))</f>
        <v/>
      </c>
      <c r="O148" s="37">
        <f>IF(F148="","",IF(O147="",100,O147*(1+F148)))</f>
        <v/>
      </c>
      <c r="P148" s="37">
        <f>IF(G148="","",IF(P147="",100,P147*(1+G148)))</f>
        <v/>
      </c>
    </row>
    <row r="149">
      <c r="B149" s="32">
        <f>Rendements!B149</f>
        <v/>
      </c>
      <c r="C149" s="34">
        <f>IF(SUMPRODUCT(Paramètres!$D$15:$D$28*ISNUMBER(TRANSPOSE(Rendements!$C149:$P149)))=0,"",SUMPRODUCT(Paramètres!$D$15:$D$28*ISNUMBER(TRANSPOSE(Rendements!$C149:$P149))*N(+TRANSPOSE(Rendements!$C149:$P149)))/SUMPRODUCT(Paramètres!$D$15:$D$28*ISNUMBER(TRANSPOSE(Rendements!$C149:$P149))))</f>
        <v/>
      </c>
      <c r="D149" s="34">
        <f>IF(SUMPRODUCT(Paramètres!$E$15:$E$28*ISNUMBER(TRANSPOSE(Rendements!$C149:$P149)))=0,"",SUMPRODUCT(Paramètres!$E$15:$E$28*ISNUMBER(TRANSPOSE(Rendements!$C149:$P149))*N(+TRANSPOSE(Rendements!$C149:$P149)))/SUMPRODUCT(Paramètres!$E$15:$E$28*ISNUMBER(TRANSPOSE(Rendements!$C149:$P149))))</f>
        <v/>
      </c>
      <c r="E149" s="34">
        <f>IF(SUMPRODUCT(Paramètres!$F$15:$F$28*ISNUMBER(TRANSPOSE(Rendements!$C149:$P149)))=0,"",SUMPRODUCT(Paramètres!$F$15:$F$28*ISNUMBER(TRANSPOSE(Rendements!$C149:$P149))*N(+TRANSPOSE(Rendements!$C149:$P149)))/SUMPRODUCT(Paramètres!$F$15:$F$28*ISNUMBER(TRANSPOSE(Rendements!$C149:$P149))))</f>
        <v/>
      </c>
      <c r="F149" s="34">
        <f>IF(SUMPRODUCT(Paramètres!$G$15:$G$28*ISNUMBER(TRANSPOSE(Rendements!$C149:$P149)))=0,"",SUMPRODUCT(Paramètres!$G$15:$G$28*ISNUMBER(TRANSPOSE(Rendements!$C149:$P149))*N(+TRANSPOSE(Rendements!$C149:$P149)))/SUMPRODUCT(Paramètres!$G$15:$G$28*ISNUMBER(TRANSPOSE(Rendements!$C149:$P149))))</f>
        <v/>
      </c>
      <c r="G149" s="35">
        <f>IF(OR(C149="",D149="",E149="",F149=""),"",Wc_C1*C149+Wc_C2*D149+Wc_C3*E149+Wc_C4*F149)</f>
        <v/>
      </c>
      <c r="H149" s="36">
        <f>SUMPRODUCT(Paramètres!$D$15:$D$28*ISNUMBER(TRANSPOSE(Rendements!$C149:$P149)))</f>
        <v/>
      </c>
      <c r="I149" s="36">
        <f>SUMPRODUCT(Paramètres!$E$15:$E$28*ISNUMBER(TRANSPOSE(Rendements!$C149:$P149)))</f>
        <v/>
      </c>
      <c r="J149" s="36">
        <f>SUMPRODUCT(Paramètres!$F$15:$F$28*ISNUMBER(TRANSPOSE(Rendements!$C149:$P149)))</f>
        <v/>
      </c>
      <c r="K149" s="36">
        <f>SUMPRODUCT(Paramètres!$G$15:$G$28*ISNUMBER(TRANSPOSE(Rendements!$C149:$P149)))</f>
        <v/>
      </c>
      <c r="L149" s="37">
        <f>IF(C149="","",IF(L148="",100,L148*(1+C149)))</f>
        <v/>
      </c>
      <c r="M149" s="37">
        <f>IF(D149="","",IF(M148="",100,M148*(1+D149)))</f>
        <v/>
      </c>
      <c r="N149" s="37">
        <f>IF(E149="","",IF(N148="",100,N148*(1+E149)))</f>
        <v/>
      </c>
      <c r="O149" s="37">
        <f>IF(F149="","",IF(O148="",100,O148*(1+F149)))</f>
        <v/>
      </c>
      <c r="P149" s="37">
        <f>IF(G149="","",IF(P148="",100,P148*(1+G149)))</f>
        <v/>
      </c>
    </row>
    <row r="150">
      <c r="B150" s="32">
        <f>Rendements!B150</f>
        <v/>
      </c>
      <c r="C150" s="34">
        <f>IF(SUMPRODUCT(Paramètres!$D$15:$D$28*ISNUMBER(TRANSPOSE(Rendements!$C150:$P150)))=0,"",SUMPRODUCT(Paramètres!$D$15:$D$28*ISNUMBER(TRANSPOSE(Rendements!$C150:$P150))*N(+TRANSPOSE(Rendements!$C150:$P150)))/SUMPRODUCT(Paramètres!$D$15:$D$28*ISNUMBER(TRANSPOSE(Rendements!$C150:$P150))))</f>
        <v/>
      </c>
      <c r="D150" s="34">
        <f>IF(SUMPRODUCT(Paramètres!$E$15:$E$28*ISNUMBER(TRANSPOSE(Rendements!$C150:$P150)))=0,"",SUMPRODUCT(Paramètres!$E$15:$E$28*ISNUMBER(TRANSPOSE(Rendements!$C150:$P150))*N(+TRANSPOSE(Rendements!$C150:$P150)))/SUMPRODUCT(Paramètres!$E$15:$E$28*ISNUMBER(TRANSPOSE(Rendements!$C150:$P150))))</f>
        <v/>
      </c>
      <c r="E150" s="34">
        <f>IF(SUMPRODUCT(Paramètres!$F$15:$F$28*ISNUMBER(TRANSPOSE(Rendements!$C150:$P150)))=0,"",SUMPRODUCT(Paramètres!$F$15:$F$28*ISNUMBER(TRANSPOSE(Rendements!$C150:$P150))*N(+TRANSPOSE(Rendements!$C150:$P150)))/SUMPRODUCT(Paramètres!$F$15:$F$28*ISNUMBER(TRANSPOSE(Rendements!$C150:$P150))))</f>
        <v/>
      </c>
      <c r="F150" s="34">
        <f>IF(SUMPRODUCT(Paramètres!$G$15:$G$28*ISNUMBER(TRANSPOSE(Rendements!$C150:$P150)))=0,"",SUMPRODUCT(Paramètres!$G$15:$G$28*ISNUMBER(TRANSPOSE(Rendements!$C150:$P150))*N(+TRANSPOSE(Rendements!$C150:$P150)))/SUMPRODUCT(Paramètres!$G$15:$G$28*ISNUMBER(TRANSPOSE(Rendements!$C150:$P150))))</f>
        <v/>
      </c>
      <c r="G150" s="35">
        <f>IF(OR(C150="",D150="",E150="",F150=""),"",Wc_C1*C150+Wc_C2*D150+Wc_C3*E150+Wc_C4*F150)</f>
        <v/>
      </c>
      <c r="H150" s="36">
        <f>SUMPRODUCT(Paramètres!$D$15:$D$28*ISNUMBER(TRANSPOSE(Rendements!$C150:$P150)))</f>
        <v/>
      </c>
      <c r="I150" s="36">
        <f>SUMPRODUCT(Paramètres!$E$15:$E$28*ISNUMBER(TRANSPOSE(Rendements!$C150:$P150)))</f>
        <v/>
      </c>
      <c r="J150" s="36">
        <f>SUMPRODUCT(Paramètres!$F$15:$F$28*ISNUMBER(TRANSPOSE(Rendements!$C150:$P150)))</f>
        <v/>
      </c>
      <c r="K150" s="36">
        <f>SUMPRODUCT(Paramètres!$G$15:$G$28*ISNUMBER(TRANSPOSE(Rendements!$C150:$P150)))</f>
        <v/>
      </c>
      <c r="L150" s="37">
        <f>IF(C150="","",IF(L149="",100,L149*(1+C150)))</f>
        <v/>
      </c>
      <c r="M150" s="37">
        <f>IF(D150="","",IF(M149="",100,M149*(1+D150)))</f>
        <v/>
      </c>
      <c r="N150" s="37">
        <f>IF(E150="","",IF(N149="",100,N149*(1+E150)))</f>
        <v/>
      </c>
      <c r="O150" s="37">
        <f>IF(F150="","",IF(O149="",100,O149*(1+F150)))</f>
        <v/>
      </c>
      <c r="P150" s="37">
        <f>IF(G150="","",IF(P149="",100,P149*(1+G150)))</f>
        <v/>
      </c>
    </row>
    <row r="151">
      <c r="B151" s="32">
        <f>Rendements!B151</f>
        <v/>
      </c>
      <c r="C151" s="34">
        <f>IF(SUMPRODUCT(Paramètres!$D$15:$D$28*ISNUMBER(TRANSPOSE(Rendements!$C151:$P151)))=0,"",SUMPRODUCT(Paramètres!$D$15:$D$28*ISNUMBER(TRANSPOSE(Rendements!$C151:$P151))*N(+TRANSPOSE(Rendements!$C151:$P151)))/SUMPRODUCT(Paramètres!$D$15:$D$28*ISNUMBER(TRANSPOSE(Rendements!$C151:$P151))))</f>
        <v/>
      </c>
      <c r="D151" s="34">
        <f>IF(SUMPRODUCT(Paramètres!$E$15:$E$28*ISNUMBER(TRANSPOSE(Rendements!$C151:$P151)))=0,"",SUMPRODUCT(Paramètres!$E$15:$E$28*ISNUMBER(TRANSPOSE(Rendements!$C151:$P151))*N(+TRANSPOSE(Rendements!$C151:$P151)))/SUMPRODUCT(Paramètres!$E$15:$E$28*ISNUMBER(TRANSPOSE(Rendements!$C151:$P151))))</f>
        <v/>
      </c>
      <c r="E151" s="34">
        <f>IF(SUMPRODUCT(Paramètres!$F$15:$F$28*ISNUMBER(TRANSPOSE(Rendements!$C151:$P151)))=0,"",SUMPRODUCT(Paramètres!$F$15:$F$28*ISNUMBER(TRANSPOSE(Rendements!$C151:$P151))*N(+TRANSPOSE(Rendements!$C151:$P151)))/SUMPRODUCT(Paramètres!$F$15:$F$28*ISNUMBER(TRANSPOSE(Rendements!$C151:$P151))))</f>
        <v/>
      </c>
      <c r="F151" s="34">
        <f>IF(SUMPRODUCT(Paramètres!$G$15:$G$28*ISNUMBER(TRANSPOSE(Rendements!$C151:$P151)))=0,"",SUMPRODUCT(Paramètres!$G$15:$G$28*ISNUMBER(TRANSPOSE(Rendements!$C151:$P151))*N(+TRANSPOSE(Rendements!$C151:$P151)))/SUMPRODUCT(Paramètres!$G$15:$G$28*ISNUMBER(TRANSPOSE(Rendements!$C151:$P151))))</f>
        <v/>
      </c>
      <c r="G151" s="35">
        <f>IF(OR(C151="",D151="",E151="",F151=""),"",Wc_C1*C151+Wc_C2*D151+Wc_C3*E151+Wc_C4*F151)</f>
        <v/>
      </c>
      <c r="H151" s="36">
        <f>SUMPRODUCT(Paramètres!$D$15:$D$28*ISNUMBER(TRANSPOSE(Rendements!$C151:$P151)))</f>
        <v/>
      </c>
      <c r="I151" s="36">
        <f>SUMPRODUCT(Paramètres!$E$15:$E$28*ISNUMBER(TRANSPOSE(Rendements!$C151:$P151)))</f>
        <v/>
      </c>
      <c r="J151" s="36">
        <f>SUMPRODUCT(Paramètres!$F$15:$F$28*ISNUMBER(TRANSPOSE(Rendements!$C151:$P151)))</f>
        <v/>
      </c>
      <c r="K151" s="36">
        <f>SUMPRODUCT(Paramètres!$G$15:$G$28*ISNUMBER(TRANSPOSE(Rendements!$C151:$P151)))</f>
        <v/>
      </c>
      <c r="L151" s="37">
        <f>IF(C151="","",IF(L150="",100,L150*(1+C151)))</f>
        <v/>
      </c>
      <c r="M151" s="37">
        <f>IF(D151="","",IF(M150="",100,M150*(1+D151)))</f>
        <v/>
      </c>
      <c r="N151" s="37">
        <f>IF(E151="","",IF(N150="",100,N150*(1+E151)))</f>
        <v/>
      </c>
      <c r="O151" s="37">
        <f>IF(F151="","",IF(O150="",100,O150*(1+F151)))</f>
        <v/>
      </c>
      <c r="P151" s="37">
        <f>IF(G151="","",IF(P150="",100,P150*(1+G151)))</f>
        <v/>
      </c>
    </row>
    <row r="152">
      <c r="B152" s="32">
        <f>Rendements!B152</f>
        <v/>
      </c>
      <c r="C152" s="34">
        <f>IF(SUMPRODUCT(Paramètres!$D$15:$D$28*ISNUMBER(TRANSPOSE(Rendements!$C152:$P152)))=0,"",SUMPRODUCT(Paramètres!$D$15:$D$28*ISNUMBER(TRANSPOSE(Rendements!$C152:$P152))*N(+TRANSPOSE(Rendements!$C152:$P152)))/SUMPRODUCT(Paramètres!$D$15:$D$28*ISNUMBER(TRANSPOSE(Rendements!$C152:$P152))))</f>
        <v/>
      </c>
      <c r="D152" s="34">
        <f>IF(SUMPRODUCT(Paramètres!$E$15:$E$28*ISNUMBER(TRANSPOSE(Rendements!$C152:$P152)))=0,"",SUMPRODUCT(Paramètres!$E$15:$E$28*ISNUMBER(TRANSPOSE(Rendements!$C152:$P152))*N(+TRANSPOSE(Rendements!$C152:$P152)))/SUMPRODUCT(Paramètres!$E$15:$E$28*ISNUMBER(TRANSPOSE(Rendements!$C152:$P152))))</f>
        <v/>
      </c>
      <c r="E152" s="34">
        <f>IF(SUMPRODUCT(Paramètres!$F$15:$F$28*ISNUMBER(TRANSPOSE(Rendements!$C152:$P152)))=0,"",SUMPRODUCT(Paramètres!$F$15:$F$28*ISNUMBER(TRANSPOSE(Rendements!$C152:$P152))*N(+TRANSPOSE(Rendements!$C152:$P152)))/SUMPRODUCT(Paramètres!$F$15:$F$28*ISNUMBER(TRANSPOSE(Rendements!$C152:$P152))))</f>
        <v/>
      </c>
      <c r="F152" s="34">
        <f>IF(SUMPRODUCT(Paramètres!$G$15:$G$28*ISNUMBER(TRANSPOSE(Rendements!$C152:$P152)))=0,"",SUMPRODUCT(Paramètres!$G$15:$G$28*ISNUMBER(TRANSPOSE(Rendements!$C152:$P152))*N(+TRANSPOSE(Rendements!$C152:$P152)))/SUMPRODUCT(Paramètres!$G$15:$G$28*ISNUMBER(TRANSPOSE(Rendements!$C152:$P152))))</f>
        <v/>
      </c>
      <c r="G152" s="35">
        <f>IF(OR(C152="",D152="",E152="",F152=""),"",Wc_C1*C152+Wc_C2*D152+Wc_C3*E152+Wc_C4*F152)</f>
        <v/>
      </c>
      <c r="H152" s="36">
        <f>SUMPRODUCT(Paramètres!$D$15:$D$28*ISNUMBER(TRANSPOSE(Rendements!$C152:$P152)))</f>
        <v/>
      </c>
      <c r="I152" s="36">
        <f>SUMPRODUCT(Paramètres!$E$15:$E$28*ISNUMBER(TRANSPOSE(Rendements!$C152:$P152)))</f>
        <v/>
      </c>
      <c r="J152" s="36">
        <f>SUMPRODUCT(Paramètres!$F$15:$F$28*ISNUMBER(TRANSPOSE(Rendements!$C152:$P152)))</f>
        <v/>
      </c>
      <c r="K152" s="36">
        <f>SUMPRODUCT(Paramètres!$G$15:$G$28*ISNUMBER(TRANSPOSE(Rendements!$C152:$P152)))</f>
        <v/>
      </c>
      <c r="L152" s="37">
        <f>IF(C152="","",IF(L151="",100,L151*(1+C152)))</f>
        <v/>
      </c>
      <c r="M152" s="37">
        <f>IF(D152="","",IF(M151="",100,M151*(1+D152)))</f>
        <v/>
      </c>
      <c r="N152" s="37">
        <f>IF(E152="","",IF(N151="",100,N151*(1+E152)))</f>
        <v/>
      </c>
      <c r="O152" s="37">
        <f>IF(F152="","",IF(O151="",100,O151*(1+F152)))</f>
        <v/>
      </c>
      <c r="P152" s="37">
        <f>IF(G152="","",IF(P151="",100,P151*(1+G152)))</f>
        <v/>
      </c>
    </row>
    <row r="153">
      <c r="B153" s="32">
        <f>Rendements!B153</f>
        <v/>
      </c>
      <c r="C153" s="34">
        <f>IF(SUMPRODUCT(Paramètres!$D$15:$D$28*ISNUMBER(TRANSPOSE(Rendements!$C153:$P153)))=0,"",SUMPRODUCT(Paramètres!$D$15:$D$28*ISNUMBER(TRANSPOSE(Rendements!$C153:$P153))*N(+TRANSPOSE(Rendements!$C153:$P153)))/SUMPRODUCT(Paramètres!$D$15:$D$28*ISNUMBER(TRANSPOSE(Rendements!$C153:$P153))))</f>
        <v/>
      </c>
      <c r="D153" s="34">
        <f>IF(SUMPRODUCT(Paramètres!$E$15:$E$28*ISNUMBER(TRANSPOSE(Rendements!$C153:$P153)))=0,"",SUMPRODUCT(Paramètres!$E$15:$E$28*ISNUMBER(TRANSPOSE(Rendements!$C153:$P153))*N(+TRANSPOSE(Rendements!$C153:$P153)))/SUMPRODUCT(Paramètres!$E$15:$E$28*ISNUMBER(TRANSPOSE(Rendements!$C153:$P153))))</f>
        <v/>
      </c>
      <c r="E153" s="34">
        <f>IF(SUMPRODUCT(Paramètres!$F$15:$F$28*ISNUMBER(TRANSPOSE(Rendements!$C153:$P153)))=0,"",SUMPRODUCT(Paramètres!$F$15:$F$28*ISNUMBER(TRANSPOSE(Rendements!$C153:$P153))*N(+TRANSPOSE(Rendements!$C153:$P153)))/SUMPRODUCT(Paramètres!$F$15:$F$28*ISNUMBER(TRANSPOSE(Rendements!$C153:$P153))))</f>
        <v/>
      </c>
      <c r="F153" s="34">
        <f>IF(SUMPRODUCT(Paramètres!$G$15:$G$28*ISNUMBER(TRANSPOSE(Rendements!$C153:$P153)))=0,"",SUMPRODUCT(Paramètres!$G$15:$G$28*ISNUMBER(TRANSPOSE(Rendements!$C153:$P153))*N(+TRANSPOSE(Rendements!$C153:$P153)))/SUMPRODUCT(Paramètres!$G$15:$G$28*ISNUMBER(TRANSPOSE(Rendements!$C153:$P153))))</f>
        <v/>
      </c>
      <c r="G153" s="35">
        <f>IF(OR(C153="",D153="",E153="",F153=""),"",Wc_C1*C153+Wc_C2*D153+Wc_C3*E153+Wc_C4*F153)</f>
        <v/>
      </c>
      <c r="H153" s="36">
        <f>SUMPRODUCT(Paramètres!$D$15:$D$28*ISNUMBER(TRANSPOSE(Rendements!$C153:$P153)))</f>
        <v/>
      </c>
      <c r="I153" s="36">
        <f>SUMPRODUCT(Paramètres!$E$15:$E$28*ISNUMBER(TRANSPOSE(Rendements!$C153:$P153)))</f>
        <v/>
      </c>
      <c r="J153" s="36">
        <f>SUMPRODUCT(Paramètres!$F$15:$F$28*ISNUMBER(TRANSPOSE(Rendements!$C153:$P153)))</f>
        <v/>
      </c>
      <c r="K153" s="36">
        <f>SUMPRODUCT(Paramètres!$G$15:$G$28*ISNUMBER(TRANSPOSE(Rendements!$C153:$P153)))</f>
        <v/>
      </c>
      <c r="L153" s="37">
        <f>IF(C153="","",IF(L152="",100,L152*(1+C153)))</f>
        <v/>
      </c>
      <c r="M153" s="37">
        <f>IF(D153="","",IF(M152="",100,M152*(1+D153)))</f>
        <v/>
      </c>
      <c r="N153" s="37">
        <f>IF(E153="","",IF(N152="",100,N152*(1+E153)))</f>
        <v/>
      </c>
      <c r="O153" s="37">
        <f>IF(F153="","",IF(O152="",100,O152*(1+F153)))</f>
        <v/>
      </c>
      <c r="P153" s="37">
        <f>IF(G153="","",IF(P152="",100,P152*(1+G153)))</f>
        <v/>
      </c>
    </row>
    <row r="154">
      <c r="B154" s="32">
        <f>Rendements!B154</f>
        <v/>
      </c>
      <c r="C154" s="34">
        <f>IF(SUMPRODUCT(Paramètres!$D$15:$D$28*ISNUMBER(TRANSPOSE(Rendements!$C154:$P154)))=0,"",SUMPRODUCT(Paramètres!$D$15:$D$28*ISNUMBER(TRANSPOSE(Rendements!$C154:$P154))*N(+TRANSPOSE(Rendements!$C154:$P154)))/SUMPRODUCT(Paramètres!$D$15:$D$28*ISNUMBER(TRANSPOSE(Rendements!$C154:$P154))))</f>
        <v/>
      </c>
      <c r="D154" s="34">
        <f>IF(SUMPRODUCT(Paramètres!$E$15:$E$28*ISNUMBER(TRANSPOSE(Rendements!$C154:$P154)))=0,"",SUMPRODUCT(Paramètres!$E$15:$E$28*ISNUMBER(TRANSPOSE(Rendements!$C154:$P154))*N(+TRANSPOSE(Rendements!$C154:$P154)))/SUMPRODUCT(Paramètres!$E$15:$E$28*ISNUMBER(TRANSPOSE(Rendements!$C154:$P154))))</f>
        <v/>
      </c>
      <c r="E154" s="34">
        <f>IF(SUMPRODUCT(Paramètres!$F$15:$F$28*ISNUMBER(TRANSPOSE(Rendements!$C154:$P154)))=0,"",SUMPRODUCT(Paramètres!$F$15:$F$28*ISNUMBER(TRANSPOSE(Rendements!$C154:$P154))*N(+TRANSPOSE(Rendements!$C154:$P154)))/SUMPRODUCT(Paramètres!$F$15:$F$28*ISNUMBER(TRANSPOSE(Rendements!$C154:$P154))))</f>
        <v/>
      </c>
      <c r="F154" s="34">
        <f>IF(SUMPRODUCT(Paramètres!$G$15:$G$28*ISNUMBER(TRANSPOSE(Rendements!$C154:$P154)))=0,"",SUMPRODUCT(Paramètres!$G$15:$G$28*ISNUMBER(TRANSPOSE(Rendements!$C154:$P154))*N(+TRANSPOSE(Rendements!$C154:$P154)))/SUMPRODUCT(Paramètres!$G$15:$G$28*ISNUMBER(TRANSPOSE(Rendements!$C154:$P154))))</f>
        <v/>
      </c>
      <c r="G154" s="35">
        <f>IF(OR(C154="",D154="",E154="",F154=""),"",Wc_C1*C154+Wc_C2*D154+Wc_C3*E154+Wc_C4*F154)</f>
        <v/>
      </c>
      <c r="H154" s="36">
        <f>SUMPRODUCT(Paramètres!$D$15:$D$28*ISNUMBER(TRANSPOSE(Rendements!$C154:$P154)))</f>
        <v/>
      </c>
      <c r="I154" s="36">
        <f>SUMPRODUCT(Paramètres!$E$15:$E$28*ISNUMBER(TRANSPOSE(Rendements!$C154:$P154)))</f>
        <v/>
      </c>
      <c r="J154" s="36">
        <f>SUMPRODUCT(Paramètres!$F$15:$F$28*ISNUMBER(TRANSPOSE(Rendements!$C154:$P154)))</f>
        <v/>
      </c>
      <c r="K154" s="36">
        <f>SUMPRODUCT(Paramètres!$G$15:$G$28*ISNUMBER(TRANSPOSE(Rendements!$C154:$P154)))</f>
        <v/>
      </c>
      <c r="L154" s="37">
        <f>IF(C154="","",IF(L153="",100,L153*(1+C154)))</f>
        <v/>
      </c>
      <c r="M154" s="37">
        <f>IF(D154="","",IF(M153="",100,M153*(1+D154)))</f>
        <v/>
      </c>
      <c r="N154" s="37">
        <f>IF(E154="","",IF(N153="",100,N153*(1+E154)))</f>
        <v/>
      </c>
      <c r="O154" s="37">
        <f>IF(F154="","",IF(O153="",100,O153*(1+F154)))</f>
        <v/>
      </c>
      <c r="P154" s="37">
        <f>IF(G154="","",IF(P153="",100,P153*(1+G154)))</f>
        <v/>
      </c>
    </row>
    <row r="155">
      <c r="B155" s="32">
        <f>Rendements!B155</f>
        <v/>
      </c>
      <c r="C155" s="34">
        <f>IF(SUMPRODUCT(Paramètres!$D$15:$D$28*ISNUMBER(TRANSPOSE(Rendements!$C155:$P155)))=0,"",SUMPRODUCT(Paramètres!$D$15:$D$28*ISNUMBER(TRANSPOSE(Rendements!$C155:$P155))*N(+TRANSPOSE(Rendements!$C155:$P155)))/SUMPRODUCT(Paramètres!$D$15:$D$28*ISNUMBER(TRANSPOSE(Rendements!$C155:$P155))))</f>
        <v/>
      </c>
      <c r="D155" s="34">
        <f>IF(SUMPRODUCT(Paramètres!$E$15:$E$28*ISNUMBER(TRANSPOSE(Rendements!$C155:$P155)))=0,"",SUMPRODUCT(Paramètres!$E$15:$E$28*ISNUMBER(TRANSPOSE(Rendements!$C155:$P155))*N(+TRANSPOSE(Rendements!$C155:$P155)))/SUMPRODUCT(Paramètres!$E$15:$E$28*ISNUMBER(TRANSPOSE(Rendements!$C155:$P155))))</f>
        <v/>
      </c>
      <c r="E155" s="34">
        <f>IF(SUMPRODUCT(Paramètres!$F$15:$F$28*ISNUMBER(TRANSPOSE(Rendements!$C155:$P155)))=0,"",SUMPRODUCT(Paramètres!$F$15:$F$28*ISNUMBER(TRANSPOSE(Rendements!$C155:$P155))*N(+TRANSPOSE(Rendements!$C155:$P155)))/SUMPRODUCT(Paramètres!$F$15:$F$28*ISNUMBER(TRANSPOSE(Rendements!$C155:$P155))))</f>
        <v/>
      </c>
      <c r="F155" s="34">
        <f>IF(SUMPRODUCT(Paramètres!$G$15:$G$28*ISNUMBER(TRANSPOSE(Rendements!$C155:$P155)))=0,"",SUMPRODUCT(Paramètres!$G$15:$G$28*ISNUMBER(TRANSPOSE(Rendements!$C155:$P155))*N(+TRANSPOSE(Rendements!$C155:$P155)))/SUMPRODUCT(Paramètres!$G$15:$G$28*ISNUMBER(TRANSPOSE(Rendements!$C155:$P155))))</f>
        <v/>
      </c>
      <c r="G155" s="35">
        <f>IF(OR(C155="",D155="",E155="",F155=""),"",Wc_C1*C155+Wc_C2*D155+Wc_C3*E155+Wc_C4*F155)</f>
        <v/>
      </c>
      <c r="H155" s="36">
        <f>SUMPRODUCT(Paramètres!$D$15:$D$28*ISNUMBER(TRANSPOSE(Rendements!$C155:$P155)))</f>
        <v/>
      </c>
      <c r="I155" s="36">
        <f>SUMPRODUCT(Paramètres!$E$15:$E$28*ISNUMBER(TRANSPOSE(Rendements!$C155:$P155)))</f>
        <v/>
      </c>
      <c r="J155" s="36">
        <f>SUMPRODUCT(Paramètres!$F$15:$F$28*ISNUMBER(TRANSPOSE(Rendements!$C155:$P155)))</f>
        <v/>
      </c>
      <c r="K155" s="36">
        <f>SUMPRODUCT(Paramètres!$G$15:$G$28*ISNUMBER(TRANSPOSE(Rendements!$C155:$P155)))</f>
        <v/>
      </c>
      <c r="L155" s="37">
        <f>IF(C155="","",IF(L154="",100,L154*(1+C155)))</f>
        <v/>
      </c>
      <c r="M155" s="37">
        <f>IF(D155="","",IF(M154="",100,M154*(1+D155)))</f>
        <v/>
      </c>
      <c r="N155" s="37">
        <f>IF(E155="","",IF(N154="",100,N154*(1+E155)))</f>
        <v/>
      </c>
      <c r="O155" s="37">
        <f>IF(F155="","",IF(O154="",100,O154*(1+F155)))</f>
        <v/>
      </c>
      <c r="P155" s="37">
        <f>IF(G155="","",IF(P154="",100,P154*(1+G155)))</f>
        <v/>
      </c>
    </row>
    <row r="156">
      <c r="B156" s="32">
        <f>Rendements!B156</f>
        <v/>
      </c>
      <c r="C156" s="34">
        <f>IF(SUMPRODUCT(Paramètres!$D$15:$D$28*ISNUMBER(TRANSPOSE(Rendements!$C156:$P156)))=0,"",SUMPRODUCT(Paramètres!$D$15:$D$28*ISNUMBER(TRANSPOSE(Rendements!$C156:$P156))*N(+TRANSPOSE(Rendements!$C156:$P156)))/SUMPRODUCT(Paramètres!$D$15:$D$28*ISNUMBER(TRANSPOSE(Rendements!$C156:$P156))))</f>
        <v/>
      </c>
      <c r="D156" s="34">
        <f>IF(SUMPRODUCT(Paramètres!$E$15:$E$28*ISNUMBER(TRANSPOSE(Rendements!$C156:$P156)))=0,"",SUMPRODUCT(Paramètres!$E$15:$E$28*ISNUMBER(TRANSPOSE(Rendements!$C156:$P156))*N(+TRANSPOSE(Rendements!$C156:$P156)))/SUMPRODUCT(Paramètres!$E$15:$E$28*ISNUMBER(TRANSPOSE(Rendements!$C156:$P156))))</f>
        <v/>
      </c>
      <c r="E156" s="34">
        <f>IF(SUMPRODUCT(Paramètres!$F$15:$F$28*ISNUMBER(TRANSPOSE(Rendements!$C156:$P156)))=0,"",SUMPRODUCT(Paramètres!$F$15:$F$28*ISNUMBER(TRANSPOSE(Rendements!$C156:$P156))*N(+TRANSPOSE(Rendements!$C156:$P156)))/SUMPRODUCT(Paramètres!$F$15:$F$28*ISNUMBER(TRANSPOSE(Rendements!$C156:$P156))))</f>
        <v/>
      </c>
      <c r="F156" s="34">
        <f>IF(SUMPRODUCT(Paramètres!$G$15:$G$28*ISNUMBER(TRANSPOSE(Rendements!$C156:$P156)))=0,"",SUMPRODUCT(Paramètres!$G$15:$G$28*ISNUMBER(TRANSPOSE(Rendements!$C156:$P156))*N(+TRANSPOSE(Rendements!$C156:$P156)))/SUMPRODUCT(Paramètres!$G$15:$G$28*ISNUMBER(TRANSPOSE(Rendements!$C156:$P156))))</f>
        <v/>
      </c>
      <c r="G156" s="35">
        <f>IF(OR(C156="",D156="",E156="",F156=""),"",Wc_C1*C156+Wc_C2*D156+Wc_C3*E156+Wc_C4*F156)</f>
        <v/>
      </c>
      <c r="H156" s="36">
        <f>SUMPRODUCT(Paramètres!$D$15:$D$28*ISNUMBER(TRANSPOSE(Rendements!$C156:$P156)))</f>
        <v/>
      </c>
      <c r="I156" s="36">
        <f>SUMPRODUCT(Paramètres!$E$15:$E$28*ISNUMBER(TRANSPOSE(Rendements!$C156:$P156)))</f>
        <v/>
      </c>
      <c r="J156" s="36">
        <f>SUMPRODUCT(Paramètres!$F$15:$F$28*ISNUMBER(TRANSPOSE(Rendements!$C156:$P156)))</f>
        <v/>
      </c>
      <c r="K156" s="36">
        <f>SUMPRODUCT(Paramètres!$G$15:$G$28*ISNUMBER(TRANSPOSE(Rendements!$C156:$P156)))</f>
        <v/>
      </c>
      <c r="L156" s="37">
        <f>IF(C156="","",IF(L155="",100,L155*(1+C156)))</f>
        <v/>
      </c>
      <c r="M156" s="37">
        <f>IF(D156="","",IF(M155="",100,M155*(1+D156)))</f>
        <v/>
      </c>
      <c r="N156" s="37">
        <f>IF(E156="","",IF(N155="",100,N155*(1+E156)))</f>
        <v/>
      </c>
      <c r="O156" s="37">
        <f>IF(F156="","",IF(O155="",100,O155*(1+F156)))</f>
        <v/>
      </c>
      <c r="P156" s="37">
        <f>IF(G156="","",IF(P155="",100,P155*(1+G156)))</f>
        <v/>
      </c>
    </row>
    <row r="157">
      <c r="B157" s="32">
        <f>Rendements!B157</f>
        <v/>
      </c>
      <c r="C157" s="34">
        <f>IF(SUMPRODUCT(Paramètres!$D$15:$D$28*ISNUMBER(TRANSPOSE(Rendements!$C157:$P157)))=0,"",SUMPRODUCT(Paramètres!$D$15:$D$28*ISNUMBER(TRANSPOSE(Rendements!$C157:$P157))*N(+TRANSPOSE(Rendements!$C157:$P157)))/SUMPRODUCT(Paramètres!$D$15:$D$28*ISNUMBER(TRANSPOSE(Rendements!$C157:$P157))))</f>
        <v/>
      </c>
      <c r="D157" s="34">
        <f>IF(SUMPRODUCT(Paramètres!$E$15:$E$28*ISNUMBER(TRANSPOSE(Rendements!$C157:$P157)))=0,"",SUMPRODUCT(Paramètres!$E$15:$E$28*ISNUMBER(TRANSPOSE(Rendements!$C157:$P157))*N(+TRANSPOSE(Rendements!$C157:$P157)))/SUMPRODUCT(Paramètres!$E$15:$E$28*ISNUMBER(TRANSPOSE(Rendements!$C157:$P157))))</f>
        <v/>
      </c>
      <c r="E157" s="34">
        <f>IF(SUMPRODUCT(Paramètres!$F$15:$F$28*ISNUMBER(TRANSPOSE(Rendements!$C157:$P157)))=0,"",SUMPRODUCT(Paramètres!$F$15:$F$28*ISNUMBER(TRANSPOSE(Rendements!$C157:$P157))*N(+TRANSPOSE(Rendements!$C157:$P157)))/SUMPRODUCT(Paramètres!$F$15:$F$28*ISNUMBER(TRANSPOSE(Rendements!$C157:$P157))))</f>
        <v/>
      </c>
      <c r="F157" s="34">
        <f>IF(SUMPRODUCT(Paramètres!$G$15:$G$28*ISNUMBER(TRANSPOSE(Rendements!$C157:$P157)))=0,"",SUMPRODUCT(Paramètres!$G$15:$G$28*ISNUMBER(TRANSPOSE(Rendements!$C157:$P157))*N(+TRANSPOSE(Rendements!$C157:$P157)))/SUMPRODUCT(Paramètres!$G$15:$G$28*ISNUMBER(TRANSPOSE(Rendements!$C157:$P157))))</f>
        <v/>
      </c>
      <c r="G157" s="35">
        <f>IF(OR(C157="",D157="",E157="",F157=""),"",Wc_C1*C157+Wc_C2*D157+Wc_C3*E157+Wc_C4*F157)</f>
        <v/>
      </c>
      <c r="H157" s="36">
        <f>SUMPRODUCT(Paramètres!$D$15:$D$28*ISNUMBER(TRANSPOSE(Rendements!$C157:$P157)))</f>
        <v/>
      </c>
      <c r="I157" s="36">
        <f>SUMPRODUCT(Paramètres!$E$15:$E$28*ISNUMBER(TRANSPOSE(Rendements!$C157:$P157)))</f>
        <v/>
      </c>
      <c r="J157" s="36">
        <f>SUMPRODUCT(Paramètres!$F$15:$F$28*ISNUMBER(TRANSPOSE(Rendements!$C157:$P157)))</f>
        <v/>
      </c>
      <c r="K157" s="36">
        <f>SUMPRODUCT(Paramètres!$G$15:$G$28*ISNUMBER(TRANSPOSE(Rendements!$C157:$P157)))</f>
        <v/>
      </c>
      <c r="L157" s="37">
        <f>IF(C157="","",IF(L156="",100,L156*(1+C157)))</f>
        <v/>
      </c>
      <c r="M157" s="37">
        <f>IF(D157="","",IF(M156="",100,M156*(1+D157)))</f>
        <v/>
      </c>
      <c r="N157" s="37">
        <f>IF(E157="","",IF(N156="",100,N156*(1+E157)))</f>
        <v/>
      </c>
      <c r="O157" s="37">
        <f>IF(F157="","",IF(O156="",100,O156*(1+F157)))</f>
        <v/>
      </c>
      <c r="P157" s="37">
        <f>IF(G157="","",IF(P156="",100,P156*(1+G157)))</f>
        <v/>
      </c>
    </row>
    <row r="158">
      <c r="B158" s="32">
        <f>Rendements!B158</f>
        <v/>
      </c>
      <c r="C158" s="34">
        <f>IF(SUMPRODUCT(Paramètres!$D$15:$D$28*ISNUMBER(TRANSPOSE(Rendements!$C158:$P158)))=0,"",SUMPRODUCT(Paramètres!$D$15:$D$28*ISNUMBER(TRANSPOSE(Rendements!$C158:$P158))*N(+TRANSPOSE(Rendements!$C158:$P158)))/SUMPRODUCT(Paramètres!$D$15:$D$28*ISNUMBER(TRANSPOSE(Rendements!$C158:$P158))))</f>
        <v/>
      </c>
      <c r="D158" s="34">
        <f>IF(SUMPRODUCT(Paramètres!$E$15:$E$28*ISNUMBER(TRANSPOSE(Rendements!$C158:$P158)))=0,"",SUMPRODUCT(Paramètres!$E$15:$E$28*ISNUMBER(TRANSPOSE(Rendements!$C158:$P158))*N(+TRANSPOSE(Rendements!$C158:$P158)))/SUMPRODUCT(Paramètres!$E$15:$E$28*ISNUMBER(TRANSPOSE(Rendements!$C158:$P158))))</f>
        <v/>
      </c>
      <c r="E158" s="34">
        <f>IF(SUMPRODUCT(Paramètres!$F$15:$F$28*ISNUMBER(TRANSPOSE(Rendements!$C158:$P158)))=0,"",SUMPRODUCT(Paramètres!$F$15:$F$28*ISNUMBER(TRANSPOSE(Rendements!$C158:$P158))*N(+TRANSPOSE(Rendements!$C158:$P158)))/SUMPRODUCT(Paramètres!$F$15:$F$28*ISNUMBER(TRANSPOSE(Rendements!$C158:$P158))))</f>
        <v/>
      </c>
      <c r="F158" s="34">
        <f>IF(SUMPRODUCT(Paramètres!$G$15:$G$28*ISNUMBER(TRANSPOSE(Rendements!$C158:$P158)))=0,"",SUMPRODUCT(Paramètres!$G$15:$G$28*ISNUMBER(TRANSPOSE(Rendements!$C158:$P158))*N(+TRANSPOSE(Rendements!$C158:$P158)))/SUMPRODUCT(Paramètres!$G$15:$G$28*ISNUMBER(TRANSPOSE(Rendements!$C158:$P158))))</f>
        <v/>
      </c>
      <c r="G158" s="35">
        <f>IF(OR(C158="",D158="",E158="",F158=""),"",Wc_C1*C158+Wc_C2*D158+Wc_C3*E158+Wc_C4*F158)</f>
        <v/>
      </c>
      <c r="H158" s="36">
        <f>SUMPRODUCT(Paramètres!$D$15:$D$28*ISNUMBER(TRANSPOSE(Rendements!$C158:$P158)))</f>
        <v/>
      </c>
      <c r="I158" s="36">
        <f>SUMPRODUCT(Paramètres!$E$15:$E$28*ISNUMBER(TRANSPOSE(Rendements!$C158:$P158)))</f>
        <v/>
      </c>
      <c r="J158" s="36">
        <f>SUMPRODUCT(Paramètres!$F$15:$F$28*ISNUMBER(TRANSPOSE(Rendements!$C158:$P158)))</f>
        <v/>
      </c>
      <c r="K158" s="36">
        <f>SUMPRODUCT(Paramètres!$G$15:$G$28*ISNUMBER(TRANSPOSE(Rendements!$C158:$P158)))</f>
        <v/>
      </c>
      <c r="L158" s="37">
        <f>IF(C158="","",IF(L157="",100,L157*(1+C158)))</f>
        <v/>
      </c>
      <c r="M158" s="37">
        <f>IF(D158="","",IF(M157="",100,M157*(1+D158)))</f>
        <v/>
      </c>
      <c r="N158" s="37">
        <f>IF(E158="","",IF(N157="",100,N157*(1+E158)))</f>
        <v/>
      </c>
      <c r="O158" s="37">
        <f>IF(F158="","",IF(O157="",100,O157*(1+F158)))</f>
        <v/>
      </c>
      <c r="P158" s="37">
        <f>IF(G158="","",IF(P157="",100,P157*(1+G158)))</f>
        <v/>
      </c>
    </row>
    <row r="159">
      <c r="B159" s="32">
        <f>Rendements!B159</f>
        <v/>
      </c>
      <c r="C159" s="34">
        <f>IF(SUMPRODUCT(Paramètres!$D$15:$D$28*ISNUMBER(TRANSPOSE(Rendements!$C159:$P159)))=0,"",SUMPRODUCT(Paramètres!$D$15:$D$28*ISNUMBER(TRANSPOSE(Rendements!$C159:$P159))*N(+TRANSPOSE(Rendements!$C159:$P159)))/SUMPRODUCT(Paramètres!$D$15:$D$28*ISNUMBER(TRANSPOSE(Rendements!$C159:$P159))))</f>
        <v/>
      </c>
      <c r="D159" s="34">
        <f>IF(SUMPRODUCT(Paramètres!$E$15:$E$28*ISNUMBER(TRANSPOSE(Rendements!$C159:$P159)))=0,"",SUMPRODUCT(Paramètres!$E$15:$E$28*ISNUMBER(TRANSPOSE(Rendements!$C159:$P159))*N(+TRANSPOSE(Rendements!$C159:$P159)))/SUMPRODUCT(Paramètres!$E$15:$E$28*ISNUMBER(TRANSPOSE(Rendements!$C159:$P159))))</f>
        <v/>
      </c>
      <c r="E159" s="34">
        <f>IF(SUMPRODUCT(Paramètres!$F$15:$F$28*ISNUMBER(TRANSPOSE(Rendements!$C159:$P159)))=0,"",SUMPRODUCT(Paramètres!$F$15:$F$28*ISNUMBER(TRANSPOSE(Rendements!$C159:$P159))*N(+TRANSPOSE(Rendements!$C159:$P159)))/SUMPRODUCT(Paramètres!$F$15:$F$28*ISNUMBER(TRANSPOSE(Rendements!$C159:$P159))))</f>
        <v/>
      </c>
      <c r="F159" s="34">
        <f>IF(SUMPRODUCT(Paramètres!$G$15:$G$28*ISNUMBER(TRANSPOSE(Rendements!$C159:$P159)))=0,"",SUMPRODUCT(Paramètres!$G$15:$G$28*ISNUMBER(TRANSPOSE(Rendements!$C159:$P159))*N(+TRANSPOSE(Rendements!$C159:$P159)))/SUMPRODUCT(Paramètres!$G$15:$G$28*ISNUMBER(TRANSPOSE(Rendements!$C159:$P159))))</f>
        <v/>
      </c>
      <c r="G159" s="35">
        <f>IF(OR(C159="",D159="",E159="",F159=""),"",Wc_C1*C159+Wc_C2*D159+Wc_C3*E159+Wc_C4*F159)</f>
        <v/>
      </c>
      <c r="H159" s="36">
        <f>SUMPRODUCT(Paramètres!$D$15:$D$28*ISNUMBER(TRANSPOSE(Rendements!$C159:$P159)))</f>
        <v/>
      </c>
      <c r="I159" s="36">
        <f>SUMPRODUCT(Paramètres!$E$15:$E$28*ISNUMBER(TRANSPOSE(Rendements!$C159:$P159)))</f>
        <v/>
      </c>
      <c r="J159" s="36">
        <f>SUMPRODUCT(Paramètres!$F$15:$F$28*ISNUMBER(TRANSPOSE(Rendements!$C159:$P159)))</f>
        <v/>
      </c>
      <c r="K159" s="36">
        <f>SUMPRODUCT(Paramètres!$G$15:$G$28*ISNUMBER(TRANSPOSE(Rendements!$C159:$P159)))</f>
        <v/>
      </c>
      <c r="L159" s="37">
        <f>IF(C159="","",IF(L158="",100,L158*(1+C159)))</f>
        <v/>
      </c>
      <c r="M159" s="37">
        <f>IF(D159="","",IF(M158="",100,M158*(1+D159)))</f>
        <v/>
      </c>
      <c r="N159" s="37">
        <f>IF(E159="","",IF(N158="",100,N158*(1+E159)))</f>
        <v/>
      </c>
      <c r="O159" s="37">
        <f>IF(F159="","",IF(O158="",100,O158*(1+F159)))</f>
        <v/>
      </c>
      <c r="P159" s="37">
        <f>IF(G159="","",IF(P158="",100,P158*(1+G159)))</f>
        <v/>
      </c>
    </row>
    <row r="160">
      <c r="B160" s="32">
        <f>Rendements!B160</f>
        <v/>
      </c>
      <c r="C160" s="34">
        <f>IF(SUMPRODUCT(Paramètres!$D$15:$D$28*ISNUMBER(TRANSPOSE(Rendements!$C160:$P160)))=0,"",SUMPRODUCT(Paramètres!$D$15:$D$28*ISNUMBER(TRANSPOSE(Rendements!$C160:$P160))*N(+TRANSPOSE(Rendements!$C160:$P160)))/SUMPRODUCT(Paramètres!$D$15:$D$28*ISNUMBER(TRANSPOSE(Rendements!$C160:$P160))))</f>
        <v/>
      </c>
      <c r="D160" s="34">
        <f>IF(SUMPRODUCT(Paramètres!$E$15:$E$28*ISNUMBER(TRANSPOSE(Rendements!$C160:$P160)))=0,"",SUMPRODUCT(Paramètres!$E$15:$E$28*ISNUMBER(TRANSPOSE(Rendements!$C160:$P160))*N(+TRANSPOSE(Rendements!$C160:$P160)))/SUMPRODUCT(Paramètres!$E$15:$E$28*ISNUMBER(TRANSPOSE(Rendements!$C160:$P160))))</f>
        <v/>
      </c>
      <c r="E160" s="34">
        <f>IF(SUMPRODUCT(Paramètres!$F$15:$F$28*ISNUMBER(TRANSPOSE(Rendements!$C160:$P160)))=0,"",SUMPRODUCT(Paramètres!$F$15:$F$28*ISNUMBER(TRANSPOSE(Rendements!$C160:$P160))*N(+TRANSPOSE(Rendements!$C160:$P160)))/SUMPRODUCT(Paramètres!$F$15:$F$28*ISNUMBER(TRANSPOSE(Rendements!$C160:$P160))))</f>
        <v/>
      </c>
      <c r="F160" s="34">
        <f>IF(SUMPRODUCT(Paramètres!$G$15:$G$28*ISNUMBER(TRANSPOSE(Rendements!$C160:$P160)))=0,"",SUMPRODUCT(Paramètres!$G$15:$G$28*ISNUMBER(TRANSPOSE(Rendements!$C160:$P160))*N(+TRANSPOSE(Rendements!$C160:$P160)))/SUMPRODUCT(Paramètres!$G$15:$G$28*ISNUMBER(TRANSPOSE(Rendements!$C160:$P160))))</f>
        <v/>
      </c>
      <c r="G160" s="35">
        <f>IF(OR(C160="",D160="",E160="",F160=""),"",Wc_C1*C160+Wc_C2*D160+Wc_C3*E160+Wc_C4*F160)</f>
        <v/>
      </c>
      <c r="H160" s="36">
        <f>SUMPRODUCT(Paramètres!$D$15:$D$28*ISNUMBER(TRANSPOSE(Rendements!$C160:$P160)))</f>
        <v/>
      </c>
      <c r="I160" s="36">
        <f>SUMPRODUCT(Paramètres!$E$15:$E$28*ISNUMBER(TRANSPOSE(Rendements!$C160:$P160)))</f>
        <v/>
      </c>
      <c r="J160" s="36">
        <f>SUMPRODUCT(Paramètres!$F$15:$F$28*ISNUMBER(TRANSPOSE(Rendements!$C160:$P160)))</f>
        <v/>
      </c>
      <c r="K160" s="36">
        <f>SUMPRODUCT(Paramètres!$G$15:$G$28*ISNUMBER(TRANSPOSE(Rendements!$C160:$P160)))</f>
        <v/>
      </c>
      <c r="L160" s="37">
        <f>IF(C160="","",IF(L159="",100,L159*(1+C160)))</f>
        <v/>
      </c>
      <c r="M160" s="37">
        <f>IF(D160="","",IF(M159="",100,M159*(1+D160)))</f>
        <v/>
      </c>
      <c r="N160" s="37">
        <f>IF(E160="","",IF(N159="",100,N159*(1+E160)))</f>
        <v/>
      </c>
      <c r="O160" s="37">
        <f>IF(F160="","",IF(O159="",100,O159*(1+F160)))</f>
        <v/>
      </c>
      <c r="P160" s="37">
        <f>IF(G160="","",IF(P159="",100,P159*(1+G160)))</f>
        <v/>
      </c>
    </row>
    <row r="161">
      <c r="B161" s="32">
        <f>Rendements!B161</f>
        <v/>
      </c>
      <c r="C161" s="34">
        <f>IF(SUMPRODUCT(Paramètres!$D$15:$D$28*ISNUMBER(TRANSPOSE(Rendements!$C161:$P161)))=0,"",SUMPRODUCT(Paramètres!$D$15:$D$28*ISNUMBER(TRANSPOSE(Rendements!$C161:$P161))*N(+TRANSPOSE(Rendements!$C161:$P161)))/SUMPRODUCT(Paramètres!$D$15:$D$28*ISNUMBER(TRANSPOSE(Rendements!$C161:$P161))))</f>
        <v/>
      </c>
      <c r="D161" s="34">
        <f>IF(SUMPRODUCT(Paramètres!$E$15:$E$28*ISNUMBER(TRANSPOSE(Rendements!$C161:$P161)))=0,"",SUMPRODUCT(Paramètres!$E$15:$E$28*ISNUMBER(TRANSPOSE(Rendements!$C161:$P161))*N(+TRANSPOSE(Rendements!$C161:$P161)))/SUMPRODUCT(Paramètres!$E$15:$E$28*ISNUMBER(TRANSPOSE(Rendements!$C161:$P161))))</f>
        <v/>
      </c>
      <c r="E161" s="34">
        <f>IF(SUMPRODUCT(Paramètres!$F$15:$F$28*ISNUMBER(TRANSPOSE(Rendements!$C161:$P161)))=0,"",SUMPRODUCT(Paramètres!$F$15:$F$28*ISNUMBER(TRANSPOSE(Rendements!$C161:$P161))*N(+TRANSPOSE(Rendements!$C161:$P161)))/SUMPRODUCT(Paramètres!$F$15:$F$28*ISNUMBER(TRANSPOSE(Rendements!$C161:$P161))))</f>
        <v/>
      </c>
      <c r="F161" s="34">
        <f>IF(SUMPRODUCT(Paramètres!$G$15:$G$28*ISNUMBER(TRANSPOSE(Rendements!$C161:$P161)))=0,"",SUMPRODUCT(Paramètres!$G$15:$G$28*ISNUMBER(TRANSPOSE(Rendements!$C161:$P161))*N(+TRANSPOSE(Rendements!$C161:$P161)))/SUMPRODUCT(Paramètres!$G$15:$G$28*ISNUMBER(TRANSPOSE(Rendements!$C161:$P161))))</f>
        <v/>
      </c>
      <c r="G161" s="35">
        <f>IF(OR(C161="",D161="",E161="",F161=""),"",Wc_C1*C161+Wc_C2*D161+Wc_C3*E161+Wc_C4*F161)</f>
        <v/>
      </c>
      <c r="H161" s="36">
        <f>SUMPRODUCT(Paramètres!$D$15:$D$28*ISNUMBER(TRANSPOSE(Rendements!$C161:$P161)))</f>
        <v/>
      </c>
      <c r="I161" s="36">
        <f>SUMPRODUCT(Paramètres!$E$15:$E$28*ISNUMBER(TRANSPOSE(Rendements!$C161:$P161)))</f>
        <v/>
      </c>
      <c r="J161" s="36">
        <f>SUMPRODUCT(Paramètres!$F$15:$F$28*ISNUMBER(TRANSPOSE(Rendements!$C161:$P161)))</f>
        <v/>
      </c>
      <c r="K161" s="36">
        <f>SUMPRODUCT(Paramètres!$G$15:$G$28*ISNUMBER(TRANSPOSE(Rendements!$C161:$P161)))</f>
        <v/>
      </c>
      <c r="L161" s="37">
        <f>IF(C161="","",IF(L160="",100,L160*(1+C161)))</f>
        <v/>
      </c>
      <c r="M161" s="37">
        <f>IF(D161="","",IF(M160="",100,M160*(1+D161)))</f>
        <v/>
      </c>
      <c r="N161" s="37">
        <f>IF(E161="","",IF(N160="",100,N160*(1+E161)))</f>
        <v/>
      </c>
      <c r="O161" s="37">
        <f>IF(F161="","",IF(O160="",100,O160*(1+F161)))</f>
        <v/>
      </c>
      <c r="P161" s="37">
        <f>IF(G161="","",IF(P160="",100,P160*(1+G161)))</f>
        <v/>
      </c>
    </row>
    <row r="162">
      <c r="B162" s="32">
        <f>Rendements!B162</f>
        <v/>
      </c>
      <c r="C162" s="34">
        <f>IF(SUMPRODUCT(Paramètres!$D$15:$D$28*ISNUMBER(TRANSPOSE(Rendements!$C162:$P162)))=0,"",SUMPRODUCT(Paramètres!$D$15:$D$28*ISNUMBER(TRANSPOSE(Rendements!$C162:$P162))*N(+TRANSPOSE(Rendements!$C162:$P162)))/SUMPRODUCT(Paramètres!$D$15:$D$28*ISNUMBER(TRANSPOSE(Rendements!$C162:$P162))))</f>
        <v/>
      </c>
      <c r="D162" s="34">
        <f>IF(SUMPRODUCT(Paramètres!$E$15:$E$28*ISNUMBER(TRANSPOSE(Rendements!$C162:$P162)))=0,"",SUMPRODUCT(Paramètres!$E$15:$E$28*ISNUMBER(TRANSPOSE(Rendements!$C162:$P162))*N(+TRANSPOSE(Rendements!$C162:$P162)))/SUMPRODUCT(Paramètres!$E$15:$E$28*ISNUMBER(TRANSPOSE(Rendements!$C162:$P162))))</f>
        <v/>
      </c>
      <c r="E162" s="34">
        <f>IF(SUMPRODUCT(Paramètres!$F$15:$F$28*ISNUMBER(TRANSPOSE(Rendements!$C162:$P162)))=0,"",SUMPRODUCT(Paramètres!$F$15:$F$28*ISNUMBER(TRANSPOSE(Rendements!$C162:$P162))*N(+TRANSPOSE(Rendements!$C162:$P162)))/SUMPRODUCT(Paramètres!$F$15:$F$28*ISNUMBER(TRANSPOSE(Rendements!$C162:$P162))))</f>
        <v/>
      </c>
      <c r="F162" s="34">
        <f>IF(SUMPRODUCT(Paramètres!$G$15:$G$28*ISNUMBER(TRANSPOSE(Rendements!$C162:$P162)))=0,"",SUMPRODUCT(Paramètres!$G$15:$G$28*ISNUMBER(TRANSPOSE(Rendements!$C162:$P162))*N(+TRANSPOSE(Rendements!$C162:$P162)))/SUMPRODUCT(Paramètres!$G$15:$G$28*ISNUMBER(TRANSPOSE(Rendements!$C162:$P162))))</f>
        <v/>
      </c>
      <c r="G162" s="35">
        <f>IF(OR(C162="",D162="",E162="",F162=""),"",Wc_C1*C162+Wc_C2*D162+Wc_C3*E162+Wc_C4*F162)</f>
        <v/>
      </c>
      <c r="H162" s="36">
        <f>SUMPRODUCT(Paramètres!$D$15:$D$28*ISNUMBER(TRANSPOSE(Rendements!$C162:$P162)))</f>
        <v/>
      </c>
      <c r="I162" s="36">
        <f>SUMPRODUCT(Paramètres!$E$15:$E$28*ISNUMBER(TRANSPOSE(Rendements!$C162:$P162)))</f>
        <v/>
      </c>
      <c r="J162" s="36">
        <f>SUMPRODUCT(Paramètres!$F$15:$F$28*ISNUMBER(TRANSPOSE(Rendements!$C162:$P162)))</f>
        <v/>
      </c>
      <c r="K162" s="36">
        <f>SUMPRODUCT(Paramètres!$G$15:$G$28*ISNUMBER(TRANSPOSE(Rendements!$C162:$P162)))</f>
        <v/>
      </c>
      <c r="L162" s="37">
        <f>IF(C162="","",IF(L161="",100,L161*(1+C162)))</f>
        <v/>
      </c>
      <c r="M162" s="37">
        <f>IF(D162="","",IF(M161="",100,M161*(1+D162)))</f>
        <v/>
      </c>
      <c r="N162" s="37">
        <f>IF(E162="","",IF(N161="",100,N161*(1+E162)))</f>
        <v/>
      </c>
      <c r="O162" s="37">
        <f>IF(F162="","",IF(O161="",100,O161*(1+F162)))</f>
        <v/>
      </c>
      <c r="P162" s="37">
        <f>IF(G162="","",IF(P161="",100,P161*(1+G162)))</f>
        <v/>
      </c>
    </row>
    <row r="163">
      <c r="B163" s="32">
        <f>Rendements!B163</f>
        <v/>
      </c>
      <c r="C163" s="34">
        <f>IF(SUMPRODUCT(Paramètres!$D$15:$D$28*ISNUMBER(TRANSPOSE(Rendements!$C163:$P163)))=0,"",SUMPRODUCT(Paramètres!$D$15:$D$28*ISNUMBER(TRANSPOSE(Rendements!$C163:$P163))*N(+TRANSPOSE(Rendements!$C163:$P163)))/SUMPRODUCT(Paramètres!$D$15:$D$28*ISNUMBER(TRANSPOSE(Rendements!$C163:$P163))))</f>
        <v/>
      </c>
      <c r="D163" s="34">
        <f>IF(SUMPRODUCT(Paramètres!$E$15:$E$28*ISNUMBER(TRANSPOSE(Rendements!$C163:$P163)))=0,"",SUMPRODUCT(Paramètres!$E$15:$E$28*ISNUMBER(TRANSPOSE(Rendements!$C163:$P163))*N(+TRANSPOSE(Rendements!$C163:$P163)))/SUMPRODUCT(Paramètres!$E$15:$E$28*ISNUMBER(TRANSPOSE(Rendements!$C163:$P163))))</f>
        <v/>
      </c>
      <c r="E163" s="34">
        <f>IF(SUMPRODUCT(Paramètres!$F$15:$F$28*ISNUMBER(TRANSPOSE(Rendements!$C163:$P163)))=0,"",SUMPRODUCT(Paramètres!$F$15:$F$28*ISNUMBER(TRANSPOSE(Rendements!$C163:$P163))*N(+TRANSPOSE(Rendements!$C163:$P163)))/SUMPRODUCT(Paramètres!$F$15:$F$28*ISNUMBER(TRANSPOSE(Rendements!$C163:$P163))))</f>
        <v/>
      </c>
      <c r="F163" s="34">
        <f>IF(SUMPRODUCT(Paramètres!$G$15:$G$28*ISNUMBER(TRANSPOSE(Rendements!$C163:$P163)))=0,"",SUMPRODUCT(Paramètres!$G$15:$G$28*ISNUMBER(TRANSPOSE(Rendements!$C163:$P163))*N(+TRANSPOSE(Rendements!$C163:$P163)))/SUMPRODUCT(Paramètres!$G$15:$G$28*ISNUMBER(TRANSPOSE(Rendements!$C163:$P163))))</f>
        <v/>
      </c>
      <c r="G163" s="35">
        <f>IF(OR(C163="",D163="",E163="",F163=""),"",Wc_C1*C163+Wc_C2*D163+Wc_C3*E163+Wc_C4*F163)</f>
        <v/>
      </c>
      <c r="H163" s="36">
        <f>SUMPRODUCT(Paramètres!$D$15:$D$28*ISNUMBER(TRANSPOSE(Rendements!$C163:$P163)))</f>
        <v/>
      </c>
      <c r="I163" s="36">
        <f>SUMPRODUCT(Paramètres!$E$15:$E$28*ISNUMBER(TRANSPOSE(Rendements!$C163:$P163)))</f>
        <v/>
      </c>
      <c r="J163" s="36">
        <f>SUMPRODUCT(Paramètres!$F$15:$F$28*ISNUMBER(TRANSPOSE(Rendements!$C163:$P163)))</f>
        <v/>
      </c>
      <c r="K163" s="36">
        <f>SUMPRODUCT(Paramètres!$G$15:$G$28*ISNUMBER(TRANSPOSE(Rendements!$C163:$P163)))</f>
        <v/>
      </c>
      <c r="L163" s="37">
        <f>IF(C163="","",IF(L162="",100,L162*(1+C163)))</f>
        <v/>
      </c>
      <c r="M163" s="37">
        <f>IF(D163="","",IF(M162="",100,M162*(1+D163)))</f>
        <v/>
      </c>
      <c r="N163" s="37">
        <f>IF(E163="","",IF(N162="",100,N162*(1+E163)))</f>
        <v/>
      </c>
      <c r="O163" s="37">
        <f>IF(F163="","",IF(O162="",100,O162*(1+F163)))</f>
        <v/>
      </c>
      <c r="P163" s="37">
        <f>IF(G163="","",IF(P162="",100,P162*(1+G163)))</f>
        <v/>
      </c>
    </row>
    <row r="164">
      <c r="B164" s="32">
        <f>Rendements!B164</f>
        <v/>
      </c>
      <c r="C164" s="34">
        <f>IF(SUMPRODUCT(Paramètres!$D$15:$D$28*ISNUMBER(TRANSPOSE(Rendements!$C164:$P164)))=0,"",SUMPRODUCT(Paramètres!$D$15:$D$28*ISNUMBER(TRANSPOSE(Rendements!$C164:$P164))*N(+TRANSPOSE(Rendements!$C164:$P164)))/SUMPRODUCT(Paramètres!$D$15:$D$28*ISNUMBER(TRANSPOSE(Rendements!$C164:$P164))))</f>
        <v/>
      </c>
      <c r="D164" s="34">
        <f>IF(SUMPRODUCT(Paramètres!$E$15:$E$28*ISNUMBER(TRANSPOSE(Rendements!$C164:$P164)))=0,"",SUMPRODUCT(Paramètres!$E$15:$E$28*ISNUMBER(TRANSPOSE(Rendements!$C164:$P164))*N(+TRANSPOSE(Rendements!$C164:$P164)))/SUMPRODUCT(Paramètres!$E$15:$E$28*ISNUMBER(TRANSPOSE(Rendements!$C164:$P164))))</f>
        <v/>
      </c>
      <c r="E164" s="34">
        <f>IF(SUMPRODUCT(Paramètres!$F$15:$F$28*ISNUMBER(TRANSPOSE(Rendements!$C164:$P164)))=0,"",SUMPRODUCT(Paramètres!$F$15:$F$28*ISNUMBER(TRANSPOSE(Rendements!$C164:$P164))*N(+TRANSPOSE(Rendements!$C164:$P164)))/SUMPRODUCT(Paramètres!$F$15:$F$28*ISNUMBER(TRANSPOSE(Rendements!$C164:$P164))))</f>
        <v/>
      </c>
      <c r="F164" s="34">
        <f>IF(SUMPRODUCT(Paramètres!$G$15:$G$28*ISNUMBER(TRANSPOSE(Rendements!$C164:$P164)))=0,"",SUMPRODUCT(Paramètres!$G$15:$G$28*ISNUMBER(TRANSPOSE(Rendements!$C164:$P164))*N(+TRANSPOSE(Rendements!$C164:$P164)))/SUMPRODUCT(Paramètres!$G$15:$G$28*ISNUMBER(TRANSPOSE(Rendements!$C164:$P164))))</f>
        <v/>
      </c>
      <c r="G164" s="35">
        <f>IF(OR(C164="",D164="",E164="",F164=""),"",Wc_C1*C164+Wc_C2*D164+Wc_C3*E164+Wc_C4*F164)</f>
        <v/>
      </c>
      <c r="H164" s="36">
        <f>SUMPRODUCT(Paramètres!$D$15:$D$28*ISNUMBER(TRANSPOSE(Rendements!$C164:$P164)))</f>
        <v/>
      </c>
      <c r="I164" s="36">
        <f>SUMPRODUCT(Paramètres!$E$15:$E$28*ISNUMBER(TRANSPOSE(Rendements!$C164:$P164)))</f>
        <v/>
      </c>
      <c r="J164" s="36">
        <f>SUMPRODUCT(Paramètres!$F$15:$F$28*ISNUMBER(TRANSPOSE(Rendements!$C164:$P164)))</f>
        <v/>
      </c>
      <c r="K164" s="36">
        <f>SUMPRODUCT(Paramètres!$G$15:$G$28*ISNUMBER(TRANSPOSE(Rendements!$C164:$P164)))</f>
        <v/>
      </c>
      <c r="L164" s="37">
        <f>IF(C164="","",IF(L163="",100,L163*(1+C164)))</f>
        <v/>
      </c>
      <c r="M164" s="37">
        <f>IF(D164="","",IF(M163="",100,M163*(1+D164)))</f>
        <v/>
      </c>
      <c r="N164" s="37">
        <f>IF(E164="","",IF(N163="",100,N163*(1+E164)))</f>
        <v/>
      </c>
      <c r="O164" s="37">
        <f>IF(F164="","",IF(O163="",100,O163*(1+F164)))</f>
        <v/>
      </c>
      <c r="P164" s="37">
        <f>IF(G164="","",IF(P163="",100,P163*(1+G164)))</f>
        <v/>
      </c>
    </row>
    <row r="165">
      <c r="B165" s="32">
        <f>Rendements!B165</f>
        <v/>
      </c>
      <c r="C165" s="34">
        <f>IF(SUMPRODUCT(Paramètres!$D$15:$D$28*ISNUMBER(TRANSPOSE(Rendements!$C165:$P165)))=0,"",SUMPRODUCT(Paramètres!$D$15:$D$28*ISNUMBER(TRANSPOSE(Rendements!$C165:$P165))*N(+TRANSPOSE(Rendements!$C165:$P165)))/SUMPRODUCT(Paramètres!$D$15:$D$28*ISNUMBER(TRANSPOSE(Rendements!$C165:$P165))))</f>
        <v/>
      </c>
      <c r="D165" s="34">
        <f>IF(SUMPRODUCT(Paramètres!$E$15:$E$28*ISNUMBER(TRANSPOSE(Rendements!$C165:$P165)))=0,"",SUMPRODUCT(Paramètres!$E$15:$E$28*ISNUMBER(TRANSPOSE(Rendements!$C165:$P165))*N(+TRANSPOSE(Rendements!$C165:$P165)))/SUMPRODUCT(Paramètres!$E$15:$E$28*ISNUMBER(TRANSPOSE(Rendements!$C165:$P165))))</f>
        <v/>
      </c>
      <c r="E165" s="34">
        <f>IF(SUMPRODUCT(Paramètres!$F$15:$F$28*ISNUMBER(TRANSPOSE(Rendements!$C165:$P165)))=0,"",SUMPRODUCT(Paramètres!$F$15:$F$28*ISNUMBER(TRANSPOSE(Rendements!$C165:$P165))*N(+TRANSPOSE(Rendements!$C165:$P165)))/SUMPRODUCT(Paramètres!$F$15:$F$28*ISNUMBER(TRANSPOSE(Rendements!$C165:$P165))))</f>
        <v/>
      </c>
      <c r="F165" s="34">
        <f>IF(SUMPRODUCT(Paramètres!$G$15:$G$28*ISNUMBER(TRANSPOSE(Rendements!$C165:$P165)))=0,"",SUMPRODUCT(Paramètres!$G$15:$G$28*ISNUMBER(TRANSPOSE(Rendements!$C165:$P165))*N(+TRANSPOSE(Rendements!$C165:$P165)))/SUMPRODUCT(Paramètres!$G$15:$G$28*ISNUMBER(TRANSPOSE(Rendements!$C165:$P165))))</f>
        <v/>
      </c>
      <c r="G165" s="35">
        <f>IF(OR(C165="",D165="",E165="",F165=""),"",Wc_C1*C165+Wc_C2*D165+Wc_C3*E165+Wc_C4*F165)</f>
        <v/>
      </c>
      <c r="H165" s="36">
        <f>SUMPRODUCT(Paramètres!$D$15:$D$28*ISNUMBER(TRANSPOSE(Rendements!$C165:$P165)))</f>
        <v/>
      </c>
      <c r="I165" s="36">
        <f>SUMPRODUCT(Paramètres!$E$15:$E$28*ISNUMBER(TRANSPOSE(Rendements!$C165:$P165)))</f>
        <v/>
      </c>
      <c r="J165" s="36">
        <f>SUMPRODUCT(Paramètres!$F$15:$F$28*ISNUMBER(TRANSPOSE(Rendements!$C165:$P165)))</f>
        <v/>
      </c>
      <c r="K165" s="36">
        <f>SUMPRODUCT(Paramètres!$G$15:$G$28*ISNUMBER(TRANSPOSE(Rendements!$C165:$P165)))</f>
        <v/>
      </c>
      <c r="L165" s="37">
        <f>IF(C165="","",IF(L164="",100,L164*(1+C165)))</f>
        <v/>
      </c>
      <c r="M165" s="37">
        <f>IF(D165="","",IF(M164="",100,M164*(1+D165)))</f>
        <v/>
      </c>
      <c r="N165" s="37">
        <f>IF(E165="","",IF(N164="",100,N164*(1+E165)))</f>
        <v/>
      </c>
      <c r="O165" s="37">
        <f>IF(F165="","",IF(O164="",100,O164*(1+F165)))</f>
        <v/>
      </c>
      <c r="P165" s="37">
        <f>IF(G165="","",IF(P164="",100,P164*(1+G165)))</f>
        <v/>
      </c>
    </row>
    <row r="166">
      <c r="B166" s="32">
        <f>Rendements!B166</f>
        <v/>
      </c>
      <c r="C166" s="34">
        <f>IF(SUMPRODUCT(Paramètres!$D$15:$D$28*ISNUMBER(TRANSPOSE(Rendements!$C166:$P166)))=0,"",SUMPRODUCT(Paramètres!$D$15:$D$28*ISNUMBER(TRANSPOSE(Rendements!$C166:$P166))*N(+TRANSPOSE(Rendements!$C166:$P166)))/SUMPRODUCT(Paramètres!$D$15:$D$28*ISNUMBER(TRANSPOSE(Rendements!$C166:$P166))))</f>
        <v/>
      </c>
      <c r="D166" s="34">
        <f>IF(SUMPRODUCT(Paramètres!$E$15:$E$28*ISNUMBER(TRANSPOSE(Rendements!$C166:$P166)))=0,"",SUMPRODUCT(Paramètres!$E$15:$E$28*ISNUMBER(TRANSPOSE(Rendements!$C166:$P166))*N(+TRANSPOSE(Rendements!$C166:$P166)))/SUMPRODUCT(Paramètres!$E$15:$E$28*ISNUMBER(TRANSPOSE(Rendements!$C166:$P166))))</f>
        <v/>
      </c>
      <c r="E166" s="34">
        <f>IF(SUMPRODUCT(Paramètres!$F$15:$F$28*ISNUMBER(TRANSPOSE(Rendements!$C166:$P166)))=0,"",SUMPRODUCT(Paramètres!$F$15:$F$28*ISNUMBER(TRANSPOSE(Rendements!$C166:$P166))*N(+TRANSPOSE(Rendements!$C166:$P166)))/SUMPRODUCT(Paramètres!$F$15:$F$28*ISNUMBER(TRANSPOSE(Rendements!$C166:$P166))))</f>
        <v/>
      </c>
      <c r="F166" s="34">
        <f>IF(SUMPRODUCT(Paramètres!$G$15:$G$28*ISNUMBER(TRANSPOSE(Rendements!$C166:$P166)))=0,"",SUMPRODUCT(Paramètres!$G$15:$G$28*ISNUMBER(TRANSPOSE(Rendements!$C166:$P166))*N(+TRANSPOSE(Rendements!$C166:$P166)))/SUMPRODUCT(Paramètres!$G$15:$G$28*ISNUMBER(TRANSPOSE(Rendements!$C166:$P166))))</f>
        <v/>
      </c>
      <c r="G166" s="35">
        <f>IF(OR(C166="",D166="",E166="",F166=""),"",Wc_C1*C166+Wc_C2*D166+Wc_C3*E166+Wc_C4*F166)</f>
        <v/>
      </c>
      <c r="H166" s="36">
        <f>SUMPRODUCT(Paramètres!$D$15:$D$28*ISNUMBER(TRANSPOSE(Rendements!$C166:$P166)))</f>
        <v/>
      </c>
      <c r="I166" s="36">
        <f>SUMPRODUCT(Paramètres!$E$15:$E$28*ISNUMBER(TRANSPOSE(Rendements!$C166:$P166)))</f>
        <v/>
      </c>
      <c r="J166" s="36">
        <f>SUMPRODUCT(Paramètres!$F$15:$F$28*ISNUMBER(TRANSPOSE(Rendements!$C166:$P166)))</f>
        <v/>
      </c>
      <c r="K166" s="36">
        <f>SUMPRODUCT(Paramètres!$G$15:$G$28*ISNUMBER(TRANSPOSE(Rendements!$C166:$P166)))</f>
        <v/>
      </c>
      <c r="L166" s="37">
        <f>IF(C166="","",IF(L165="",100,L165*(1+C166)))</f>
        <v/>
      </c>
      <c r="M166" s="37">
        <f>IF(D166="","",IF(M165="",100,M165*(1+D166)))</f>
        <v/>
      </c>
      <c r="N166" s="37">
        <f>IF(E166="","",IF(N165="",100,N165*(1+E166)))</f>
        <v/>
      </c>
      <c r="O166" s="37">
        <f>IF(F166="","",IF(O165="",100,O165*(1+F166)))</f>
        <v/>
      </c>
      <c r="P166" s="37">
        <f>IF(G166="","",IF(P165="",100,P165*(1+G166)))</f>
        <v/>
      </c>
    </row>
    <row r="167">
      <c r="B167" s="32">
        <f>Rendements!B167</f>
        <v/>
      </c>
      <c r="C167" s="34">
        <f>IF(SUMPRODUCT(Paramètres!$D$15:$D$28*ISNUMBER(TRANSPOSE(Rendements!$C167:$P167)))=0,"",SUMPRODUCT(Paramètres!$D$15:$D$28*ISNUMBER(TRANSPOSE(Rendements!$C167:$P167))*N(+TRANSPOSE(Rendements!$C167:$P167)))/SUMPRODUCT(Paramètres!$D$15:$D$28*ISNUMBER(TRANSPOSE(Rendements!$C167:$P167))))</f>
        <v/>
      </c>
      <c r="D167" s="34">
        <f>IF(SUMPRODUCT(Paramètres!$E$15:$E$28*ISNUMBER(TRANSPOSE(Rendements!$C167:$P167)))=0,"",SUMPRODUCT(Paramètres!$E$15:$E$28*ISNUMBER(TRANSPOSE(Rendements!$C167:$P167))*N(+TRANSPOSE(Rendements!$C167:$P167)))/SUMPRODUCT(Paramètres!$E$15:$E$28*ISNUMBER(TRANSPOSE(Rendements!$C167:$P167))))</f>
        <v/>
      </c>
      <c r="E167" s="34">
        <f>IF(SUMPRODUCT(Paramètres!$F$15:$F$28*ISNUMBER(TRANSPOSE(Rendements!$C167:$P167)))=0,"",SUMPRODUCT(Paramètres!$F$15:$F$28*ISNUMBER(TRANSPOSE(Rendements!$C167:$P167))*N(+TRANSPOSE(Rendements!$C167:$P167)))/SUMPRODUCT(Paramètres!$F$15:$F$28*ISNUMBER(TRANSPOSE(Rendements!$C167:$P167))))</f>
        <v/>
      </c>
      <c r="F167" s="34">
        <f>IF(SUMPRODUCT(Paramètres!$G$15:$G$28*ISNUMBER(TRANSPOSE(Rendements!$C167:$P167)))=0,"",SUMPRODUCT(Paramètres!$G$15:$G$28*ISNUMBER(TRANSPOSE(Rendements!$C167:$P167))*N(+TRANSPOSE(Rendements!$C167:$P167)))/SUMPRODUCT(Paramètres!$G$15:$G$28*ISNUMBER(TRANSPOSE(Rendements!$C167:$P167))))</f>
        <v/>
      </c>
      <c r="G167" s="35">
        <f>IF(OR(C167="",D167="",E167="",F167=""),"",Wc_C1*C167+Wc_C2*D167+Wc_C3*E167+Wc_C4*F167)</f>
        <v/>
      </c>
      <c r="H167" s="36">
        <f>SUMPRODUCT(Paramètres!$D$15:$D$28*ISNUMBER(TRANSPOSE(Rendements!$C167:$P167)))</f>
        <v/>
      </c>
      <c r="I167" s="36">
        <f>SUMPRODUCT(Paramètres!$E$15:$E$28*ISNUMBER(TRANSPOSE(Rendements!$C167:$P167)))</f>
        <v/>
      </c>
      <c r="J167" s="36">
        <f>SUMPRODUCT(Paramètres!$F$15:$F$28*ISNUMBER(TRANSPOSE(Rendements!$C167:$P167)))</f>
        <v/>
      </c>
      <c r="K167" s="36">
        <f>SUMPRODUCT(Paramètres!$G$15:$G$28*ISNUMBER(TRANSPOSE(Rendements!$C167:$P167)))</f>
        <v/>
      </c>
      <c r="L167" s="37">
        <f>IF(C167="","",IF(L166="",100,L166*(1+C167)))</f>
        <v/>
      </c>
      <c r="M167" s="37">
        <f>IF(D167="","",IF(M166="",100,M166*(1+D167)))</f>
        <v/>
      </c>
      <c r="N167" s="37">
        <f>IF(E167="","",IF(N166="",100,N166*(1+E167)))</f>
        <v/>
      </c>
      <c r="O167" s="37">
        <f>IF(F167="","",IF(O166="",100,O166*(1+F167)))</f>
        <v/>
      </c>
      <c r="P167" s="37">
        <f>IF(G167="","",IF(P166="",100,P166*(1+G167)))</f>
        <v/>
      </c>
    </row>
    <row r="168">
      <c r="B168" s="32">
        <f>Rendements!B168</f>
        <v/>
      </c>
      <c r="C168" s="34">
        <f>IF(SUMPRODUCT(Paramètres!$D$15:$D$28*ISNUMBER(TRANSPOSE(Rendements!$C168:$P168)))=0,"",SUMPRODUCT(Paramètres!$D$15:$D$28*ISNUMBER(TRANSPOSE(Rendements!$C168:$P168))*N(+TRANSPOSE(Rendements!$C168:$P168)))/SUMPRODUCT(Paramètres!$D$15:$D$28*ISNUMBER(TRANSPOSE(Rendements!$C168:$P168))))</f>
        <v/>
      </c>
      <c r="D168" s="34">
        <f>IF(SUMPRODUCT(Paramètres!$E$15:$E$28*ISNUMBER(TRANSPOSE(Rendements!$C168:$P168)))=0,"",SUMPRODUCT(Paramètres!$E$15:$E$28*ISNUMBER(TRANSPOSE(Rendements!$C168:$P168))*N(+TRANSPOSE(Rendements!$C168:$P168)))/SUMPRODUCT(Paramètres!$E$15:$E$28*ISNUMBER(TRANSPOSE(Rendements!$C168:$P168))))</f>
        <v/>
      </c>
      <c r="E168" s="34">
        <f>IF(SUMPRODUCT(Paramètres!$F$15:$F$28*ISNUMBER(TRANSPOSE(Rendements!$C168:$P168)))=0,"",SUMPRODUCT(Paramètres!$F$15:$F$28*ISNUMBER(TRANSPOSE(Rendements!$C168:$P168))*N(+TRANSPOSE(Rendements!$C168:$P168)))/SUMPRODUCT(Paramètres!$F$15:$F$28*ISNUMBER(TRANSPOSE(Rendements!$C168:$P168))))</f>
        <v/>
      </c>
      <c r="F168" s="34">
        <f>IF(SUMPRODUCT(Paramètres!$G$15:$G$28*ISNUMBER(TRANSPOSE(Rendements!$C168:$P168)))=0,"",SUMPRODUCT(Paramètres!$G$15:$G$28*ISNUMBER(TRANSPOSE(Rendements!$C168:$P168))*N(+TRANSPOSE(Rendements!$C168:$P168)))/SUMPRODUCT(Paramètres!$G$15:$G$28*ISNUMBER(TRANSPOSE(Rendements!$C168:$P168))))</f>
        <v/>
      </c>
      <c r="G168" s="35">
        <f>IF(OR(C168="",D168="",E168="",F168=""),"",Wc_C1*C168+Wc_C2*D168+Wc_C3*E168+Wc_C4*F168)</f>
        <v/>
      </c>
      <c r="H168" s="36">
        <f>SUMPRODUCT(Paramètres!$D$15:$D$28*ISNUMBER(TRANSPOSE(Rendements!$C168:$P168)))</f>
        <v/>
      </c>
      <c r="I168" s="36">
        <f>SUMPRODUCT(Paramètres!$E$15:$E$28*ISNUMBER(TRANSPOSE(Rendements!$C168:$P168)))</f>
        <v/>
      </c>
      <c r="J168" s="36">
        <f>SUMPRODUCT(Paramètres!$F$15:$F$28*ISNUMBER(TRANSPOSE(Rendements!$C168:$P168)))</f>
        <v/>
      </c>
      <c r="K168" s="36">
        <f>SUMPRODUCT(Paramètres!$G$15:$G$28*ISNUMBER(TRANSPOSE(Rendements!$C168:$P168)))</f>
        <v/>
      </c>
      <c r="L168" s="37">
        <f>IF(C168="","",IF(L167="",100,L167*(1+C168)))</f>
        <v/>
      </c>
      <c r="M168" s="37">
        <f>IF(D168="","",IF(M167="",100,M167*(1+D168)))</f>
        <v/>
      </c>
      <c r="N168" s="37">
        <f>IF(E168="","",IF(N167="",100,N167*(1+E168)))</f>
        <v/>
      </c>
      <c r="O168" s="37">
        <f>IF(F168="","",IF(O167="",100,O167*(1+F168)))</f>
        <v/>
      </c>
      <c r="P168" s="37">
        <f>IF(G168="","",IF(P167="",100,P167*(1+G168)))</f>
        <v/>
      </c>
    </row>
    <row r="169">
      <c r="B169" s="32">
        <f>Rendements!B169</f>
        <v/>
      </c>
      <c r="C169" s="34">
        <f>IF(SUMPRODUCT(Paramètres!$D$15:$D$28*ISNUMBER(TRANSPOSE(Rendements!$C169:$P169)))=0,"",SUMPRODUCT(Paramètres!$D$15:$D$28*ISNUMBER(TRANSPOSE(Rendements!$C169:$P169))*N(+TRANSPOSE(Rendements!$C169:$P169)))/SUMPRODUCT(Paramètres!$D$15:$D$28*ISNUMBER(TRANSPOSE(Rendements!$C169:$P169))))</f>
        <v/>
      </c>
      <c r="D169" s="34">
        <f>IF(SUMPRODUCT(Paramètres!$E$15:$E$28*ISNUMBER(TRANSPOSE(Rendements!$C169:$P169)))=0,"",SUMPRODUCT(Paramètres!$E$15:$E$28*ISNUMBER(TRANSPOSE(Rendements!$C169:$P169))*N(+TRANSPOSE(Rendements!$C169:$P169)))/SUMPRODUCT(Paramètres!$E$15:$E$28*ISNUMBER(TRANSPOSE(Rendements!$C169:$P169))))</f>
        <v/>
      </c>
      <c r="E169" s="34">
        <f>IF(SUMPRODUCT(Paramètres!$F$15:$F$28*ISNUMBER(TRANSPOSE(Rendements!$C169:$P169)))=0,"",SUMPRODUCT(Paramètres!$F$15:$F$28*ISNUMBER(TRANSPOSE(Rendements!$C169:$P169))*N(+TRANSPOSE(Rendements!$C169:$P169)))/SUMPRODUCT(Paramètres!$F$15:$F$28*ISNUMBER(TRANSPOSE(Rendements!$C169:$P169))))</f>
        <v/>
      </c>
      <c r="F169" s="34">
        <f>IF(SUMPRODUCT(Paramètres!$G$15:$G$28*ISNUMBER(TRANSPOSE(Rendements!$C169:$P169)))=0,"",SUMPRODUCT(Paramètres!$G$15:$G$28*ISNUMBER(TRANSPOSE(Rendements!$C169:$P169))*N(+TRANSPOSE(Rendements!$C169:$P169)))/SUMPRODUCT(Paramètres!$G$15:$G$28*ISNUMBER(TRANSPOSE(Rendements!$C169:$P169))))</f>
        <v/>
      </c>
      <c r="G169" s="35">
        <f>IF(OR(C169="",D169="",E169="",F169=""),"",Wc_C1*C169+Wc_C2*D169+Wc_C3*E169+Wc_C4*F169)</f>
        <v/>
      </c>
      <c r="H169" s="36">
        <f>SUMPRODUCT(Paramètres!$D$15:$D$28*ISNUMBER(TRANSPOSE(Rendements!$C169:$P169)))</f>
        <v/>
      </c>
      <c r="I169" s="36">
        <f>SUMPRODUCT(Paramètres!$E$15:$E$28*ISNUMBER(TRANSPOSE(Rendements!$C169:$P169)))</f>
        <v/>
      </c>
      <c r="J169" s="36">
        <f>SUMPRODUCT(Paramètres!$F$15:$F$28*ISNUMBER(TRANSPOSE(Rendements!$C169:$P169)))</f>
        <v/>
      </c>
      <c r="K169" s="36">
        <f>SUMPRODUCT(Paramètres!$G$15:$G$28*ISNUMBER(TRANSPOSE(Rendements!$C169:$P169)))</f>
        <v/>
      </c>
      <c r="L169" s="37">
        <f>IF(C169="","",IF(L168="",100,L168*(1+C169)))</f>
        <v/>
      </c>
      <c r="M169" s="37">
        <f>IF(D169="","",IF(M168="",100,M168*(1+D169)))</f>
        <v/>
      </c>
      <c r="N169" s="37">
        <f>IF(E169="","",IF(N168="",100,N168*(1+E169)))</f>
        <v/>
      </c>
      <c r="O169" s="37">
        <f>IF(F169="","",IF(O168="",100,O168*(1+F169)))</f>
        <v/>
      </c>
      <c r="P169" s="37">
        <f>IF(G169="","",IF(P168="",100,P168*(1+G169)))</f>
        <v/>
      </c>
    </row>
    <row r="170">
      <c r="B170" s="32">
        <f>Rendements!B170</f>
        <v/>
      </c>
      <c r="C170" s="34">
        <f>IF(SUMPRODUCT(Paramètres!$D$15:$D$28*ISNUMBER(TRANSPOSE(Rendements!$C170:$P170)))=0,"",SUMPRODUCT(Paramètres!$D$15:$D$28*ISNUMBER(TRANSPOSE(Rendements!$C170:$P170))*N(+TRANSPOSE(Rendements!$C170:$P170)))/SUMPRODUCT(Paramètres!$D$15:$D$28*ISNUMBER(TRANSPOSE(Rendements!$C170:$P170))))</f>
        <v/>
      </c>
      <c r="D170" s="34">
        <f>IF(SUMPRODUCT(Paramètres!$E$15:$E$28*ISNUMBER(TRANSPOSE(Rendements!$C170:$P170)))=0,"",SUMPRODUCT(Paramètres!$E$15:$E$28*ISNUMBER(TRANSPOSE(Rendements!$C170:$P170))*N(+TRANSPOSE(Rendements!$C170:$P170)))/SUMPRODUCT(Paramètres!$E$15:$E$28*ISNUMBER(TRANSPOSE(Rendements!$C170:$P170))))</f>
        <v/>
      </c>
      <c r="E170" s="34">
        <f>IF(SUMPRODUCT(Paramètres!$F$15:$F$28*ISNUMBER(TRANSPOSE(Rendements!$C170:$P170)))=0,"",SUMPRODUCT(Paramètres!$F$15:$F$28*ISNUMBER(TRANSPOSE(Rendements!$C170:$P170))*N(+TRANSPOSE(Rendements!$C170:$P170)))/SUMPRODUCT(Paramètres!$F$15:$F$28*ISNUMBER(TRANSPOSE(Rendements!$C170:$P170))))</f>
        <v/>
      </c>
      <c r="F170" s="34">
        <f>IF(SUMPRODUCT(Paramètres!$G$15:$G$28*ISNUMBER(TRANSPOSE(Rendements!$C170:$P170)))=0,"",SUMPRODUCT(Paramètres!$G$15:$G$28*ISNUMBER(TRANSPOSE(Rendements!$C170:$P170))*N(+TRANSPOSE(Rendements!$C170:$P170)))/SUMPRODUCT(Paramètres!$G$15:$G$28*ISNUMBER(TRANSPOSE(Rendements!$C170:$P170))))</f>
        <v/>
      </c>
      <c r="G170" s="35">
        <f>IF(OR(C170="",D170="",E170="",F170=""),"",Wc_C1*C170+Wc_C2*D170+Wc_C3*E170+Wc_C4*F170)</f>
        <v/>
      </c>
      <c r="H170" s="36">
        <f>SUMPRODUCT(Paramètres!$D$15:$D$28*ISNUMBER(TRANSPOSE(Rendements!$C170:$P170)))</f>
        <v/>
      </c>
      <c r="I170" s="36">
        <f>SUMPRODUCT(Paramètres!$E$15:$E$28*ISNUMBER(TRANSPOSE(Rendements!$C170:$P170)))</f>
        <v/>
      </c>
      <c r="J170" s="36">
        <f>SUMPRODUCT(Paramètres!$F$15:$F$28*ISNUMBER(TRANSPOSE(Rendements!$C170:$P170)))</f>
        <v/>
      </c>
      <c r="K170" s="36">
        <f>SUMPRODUCT(Paramètres!$G$15:$G$28*ISNUMBER(TRANSPOSE(Rendements!$C170:$P170)))</f>
        <v/>
      </c>
      <c r="L170" s="37">
        <f>IF(C170="","",IF(L169="",100,L169*(1+C170)))</f>
        <v/>
      </c>
      <c r="M170" s="37">
        <f>IF(D170="","",IF(M169="",100,M169*(1+D170)))</f>
        <v/>
      </c>
      <c r="N170" s="37">
        <f>IF(E170="","",IF(N169="",100,N169*(1+E170)))</f>
        <v/>
      </c>
      <c r="O170" s="37">
        <f>IF(F170="","",IF(O169="",100,O169*(1+F170)))</f>
        <v/>
      </c>
      <c r="P170" s="37">
        <f>IF(G170="","",IF(P169="",100,P169*(1+G170)))</f>
        <v/>
      </c>
    </row>
    <row r="171">
      <c r="B171" s="32">
        <f>Rendements!B171</f>
        <v/>
      </c>
      <c r="C171" s="34">
        <f>IF(SUMPRODUCT(Paramètres!$D$15:$D$28*ISNUMBER(TRANSPOSE(Rendements!$C171:$P171)))=0,"",SUMPRODUCT(Paramètres!$D$15:$D$28*ISNUMBER(TRANSPOSE(Rendements!$C171:$P171))*N(+TRANSPOSE(Rendements!$C171:$P171)))/SUMPRODUCT(Paramètres!$D$15:$D$28*ISNUMBER(TRANSPOSE(Rendements!$C171:$P171))))</f>
        <v/>
      </c>
      <c r="D171" s="34">
        <f>IF(SUMPRODUCT(Paramètres!$E$15:$E$28*ISNUMBER(TRANSPOSE(Rendements!$C171:$P171)))=0,"",SUMPRODUCT(Paramètres!$E$15:$E$28*ISNUMBER(TRANSPOSE(Rendements!$C171:$P171))*N(+TRANSPOSE(Rendements!$C171:$P171)))/SUMPRODUCT(Paramètres!$E$15:$E$28*ISNUMBER(TRANSPOSE(Rendements!$C171:$P171))))</f>
        <v/>
      </c>
      <c r="E171" s="34">
        <f>IF(SUMPRODUCT(Paramètres!$F$15:$F$28*ISNUMBER(TRANSPOSE(Rendements!$C171:$P171)))=0,"",SUMPRODUCT(Paramètres!$F$15:$F$28*ISNUMBER(TRANSPOSE(Rendements!$C171:$P171))*N(+TRANSPOSE(Rendements!$C171:$P171)))/SUMPRODUCT(Paramètres!$F$15:$F$28*ISNUMBER(TRANSPOSE(Rendements!$C171:$P171))))</f>
        <v/>
      </c>
      <c r="F171" s="34">
        <f>IF(SUMPRODUCT(Paramètres!$G$15:$G$28*ISNUMBER(TRANSPOSE(Rendements!$C171:$P171)))=0,"",SUMPRODUCT(Paramètres!$G$15:$G$28*ISNUMBER(TRANSPOSE(Rendements!$C171:$P171))*N(+TRANSPOSE(Rendements!$C171:$P171)))/SUMPRODUCT(Paramètres!$G$15:$G$28*ISNUMBER(TRANSPOSE(Rendements!$C171:$P171))))</f>
        <v/>
      </c>
      <c r="G171" s="35">
        <f>IF(OR(C171="",D171="",E171="",F171=""),"",Wc_C1*C171+Wc_C2*D171+Wc_C3*E171+Wc_C4*F171)</f>
        <v/>
      </c>
      <c r="H171" s="36">
        <f>SUMPRODUCT(Paramètres!$D$15:$D$28*ISNUMBER(TRANSPOSE(Rendements!$C171:$P171)))</f>
        <v/>
      </c>
      <c r="I171" s="36">
        <f>SUMPRODUCT(Paramètres!$E$15:$E$28*ISNUMBER(TRANSPOSE(Rendements!$C171:$P171)))</f>
        <v/>
      </c>
      <c r="J171" s="36">
        <f>SUMPRODUCT(Paramètres!$F$15:$F$28*ISNUMBER(TRANSPOSE(Rendements!$C171:$P171)))</f>
        <v/>
      </c>
      <c r="K171" s="36">
        <f>SUMPRODUCT(Paramètres!$G$15:$G$28*ISNUMBER(TRANSPOSE(Rendements!$C171:$P171)))</f>
        <v/>
      </c>
      <c r="L171" s="37">
        <f>IF(C171="","",IF(L170="",100,L170*(1+C171)))</f>
        <v/>
      </c>
      <c r="M171" s="37">
        <f>IF(D171="","",IF(M170="",100,M170*(1+D171)))</f>
        <v/>
      </c>
      <c r="N171" s="37">
        <f>IF(E171="","",IF(N170="",100,N170*(1+E171)))</f>
        <v/>
      </c>
      <c r="O171" s="37">
        <f>IF(F171="","",IF(O170="",100,O170*(1+F171)))</f>
        <v/>
      </c>
      <c r="P171" s="37">
        <f>IF(G171="","",IF(P170="",100,P170*(1+G171)))</f>
        <v/>
      </c>
    </row>
    <row r="172">
      <c r="B172" s="32">
        <f>Rendements!B172</f>
        <v/>
      </c>
      <c r="C172" s="34">
        <f>IF(SUMPRODUCT(Paramètres!$D$15:$D$28*ISNUMBER(TRANSPOSE(Rendements!$C172:$P172)))=0,"",SUMPRODUCT(Paramètres!$D$15:$D$28*ISNUMBER(TRANSPOSE(Rendements!$C172:$P172))*N(+TRANSPOSE(Rendements!$C172:$P172)))/SUMPRODUCT(Paramètres!$D$15:$D$28*ISNUMBER(TRANSPOSE(Rendements!$C172:$P172))))</f>
        <v/>
      </c>
      <c r="D172" s="34">
        <f>IF(SUMPRODUCT(Paramètres!$E$15:$E$28*ISNUMBER(TRANSPOSE(Rendements!$C172:$P172)))=0,"",SUMPRODUCT(Paramètres!$E$15:$E$28*ISNUMBER(TRANSPOSE(Rendements!$C172:$P172))*N(+TRANSPOSE(Rendements!$C172:$P172)))/SUMPRODUCT(Paramètres!$E$15:$E$28*ISNUMBER(TRANSPOSE(Rendements!$C172:$P172))))</f>
        <v/>
      </c>
      <c r="E172" s="34">
        <f>IF(SUMPRODUCT(Paramètres!$F$15:$F$28*ISNUMBER(TRANSPOSE(Rendements!$C172:$P172)))=0,"",SUMPRODUCT(Paramètres!$F$15:$F$28*ISNUMBER(TRANSPOSE(Rendements!$C172:$P172))*N(+TRANSPOSE(Rendements!$C172:$P172)))/SUMPRODUCT(Paramètres!$F$15:$F$28*ISNUMBER(TRANSPOSE(Rendements!$C172:$P172))))</f>
        <v/>
      </c>
      <c r="F172" s="34">
        <f>IF(SUMPRODUCT(Paramètres!$G$15:$G$28*ISNUMBER(TRANSPOSE(Rendements!$C172:$P172)))=0,"",SUMPRODUCT(Paramètres!$G$15:$G$28*ISNUMBER(TRANSPOSE(Rendements!$C172:$P172))*N(+TRANSPOSE(Rendements!$C172:$P172)))/SUMPRODUCT(Paramètres!$G$15:$G$28*ISNUMBER(TRANSPOSE(Rendements!$C172:$P172))))</f>
        <v/>
      </c>
      <c r="G172" s="35">
        <f>IF(OR(C172="",D172="",E172="",F172=""),"",Wc_C1*C172+Wc_C2*D172+Wc_C3*E172+Wc_C4*F172)</f>
        <v/>
      </c>
      <c r="H172" s="36">
        <f>SUMPRODUCT(Paramètres!$D$15:$D$28*ISNUMBER(TRANSPOSE(Rendements!$C172:$P172)))</f>
        <v/>
      </c>
      <c r="I172" s="36">
        <f>SUMPRODUCT(Paramètres!$E$15:$E$28*ISNUMBER(TRANSPOSE(Rendements!$C172:$P172)))</f>
        <v/>
      </c>
      <c r="J172" s="36">
        <f>SUMPRODUCT(Paramètres!$F$15:$F$28*ISNUMBER(TRANSPOSE(Rendements!$C172:$P172)))</f>
        <v/>
      </c>
      <c r="K172" s="36">
        <f>SUMPRODUCT(Paramètres!$G$15:$G$28*ISNUMBER(TRANSPOSE(Rendements!$C172:$P172)))</f>
        <v/>
      </c>
      <c r="L172" s="37">
        <f>IF(C172="","",IF(L171="",100,L171*(1+C172)))</f>
        <v/>
      </c>
      <c r="M172" s="37">
        <f>IF(D172="","",IF(M171="",100,M171*(1+D172)))</f>
        <v/>
      </c>
      <c r="N172" s="37">
        <f>IF(E172="","",IF(N171="",100,N171*(1+E172)))</f>
        <v/>
      </c>
      <c r="O172" s="37">
        <f>IF(F172="","",IF(O171="",100,O171*(1+F172)))</f>
        <v/>
      </c>
      <c r="P172" s="37">
        <f>IF(G172="","",IF(P171="",100,P171*(1+G172)))</f>
        <v/>
      </c>
    </row>
    <row r="173">
      <c r="B173" s="32">
        <f>Rendements!B173</f>
        <v/>
      </c>
      <c r="C173" s="34">
        <f>IF(SUMPRODUCT(Paramètres!$D$15:$D$28*ISNUMBER(TRANSPOSE(Rendements!$C173:$P173)))=0,"",SUMPRODUCT(Paramètres!$D$15:$D$28*ISNUMBER(TRANSPOSE(Rendements!$C173:$P173))*N(+TRANSPOSE(Rendements!$C173:$P173)))/SUMPRODUCT(Paramètres!$D$15:$D$28*ISNUMBER(TRANSPOSE(Rendements!$C173:$P173))))</f>
        <v/>
      </c>
      <c r="D173" s="34">
        <f>IF(SUMPRODUCT(Paramètres!$E$15:$E$28*ISNUMBER(TRANSPOSE(Rendements!$C173:$P173)))=0,"",SUMPRODUCT(Paramètres!$E$15:$E$28*ISNUMBER(TRANSPOSE(Rendements!$C173:$P173))*N(+TRANSPOSE(Rendements!$C173:$P173)))/SUMPRODUCT(Paramètres!$E$15:$E$28*ISNUMBER(TRANSPOSE(Rendements!$C173:$P173))))</f>
        <v/>
      </c>
      <c r="E173" s="34">
        <f>IF(SUMPRODUCT(Paramètres!$F$15:$F$28*ISNUMBER(TRANSPOSE(Rendements!$C173:$P173)))=0,"",SUMPRODUCT(Paramètres!$F$15:$F$28*ISNUMBER(TRANSPOSE(Rendements!$C173:$P173))*N(+TRANSPOSE(Rendements!$C173:$P173)))/SUMPRODUCT(Paramètres!$F$15:$F$28*ISNUMBER(TRANSPOSE(Rendements!$C173:$P173))))</f>
        <v/>
      </c>
      <c r="F173" s="34">
        <f>IF(SUMPRODUCT(Paramètres!$G$15:$G$28*ISNUMBER(TRANSPOSE(Rendements!$C173:$P173)))=0,"",SUMPRODUCT(Paramètres!$G$15:$G$28*ISNUMBER(TRANSPOSE(Rendements!$C173:$P173))*N(+TRANSPOSE(Rendements!$C173:$P173)))/SUMPRODUCT(Paramètres!$G$15:$G$28*ISNUMBER(TRANSPOSE(Rendements!$C173:$P173))))</f>
        <v/>
      </c>
      <c r="G173" s="35">
        <f>IF(OR(C173="",D173="",E173="",F173=""),"",Wc_C1*C173+Wc_C2*D173+Wc_C3*E173+Wc_C4*F173)</f>
        <v/>
      </c>
      <c r="H173" s="36">
        <f>SUMPRODUCT(Paramètres!$D$15:$D$28*ISNUMBER(TRANSPOSE(Rendements!$C173:$P173)))</f>
        <v/>
      </c>
      <c r="I173" s="36">
        <f>SUMPRODUCT(Paramètres!$E$15:$E$28*ISNUMBER(TRANSPOSE(Rendements!$C173:$P173)))</f>
        <v/>
      </c>
      <c r="J173" s="36">
        <f>SUMPRODUCT(Paramètres!$F$15:$F$28*ISNUMBER(TRANSPOSE(Rendements!$C173:$P173)))</f>
        <v/>
      </c>
      <c r="K173" s="36">
        <f>SUMPRODUCT(Paramètres!$G$15:$G$28*ISNUMBER(TRANSPOSE(Rendements!$C173:$P173)))</f>
        <v/>
      </c>
      <c r="L173" s="37">
        <f>IF(C173="","",IF(L172="",100,L172*(1+C173)))</f>
        <v/>
      </c>
      <c r="M173" s="37">
        <f>IF(D173="","",IF(M172="",100,M172*(1+D173)))</f>
        <v/>
      </c>
      <c r="N173" s="37">
        <f>IF(E173="","",IF(N172="",100,N172*(1+E173)))</f>
        <v/>
      </c>
      <c r="O173" s="37">
        <f>IF(F173="","",IF(O172="",100,O172*(1+F173)))</f>
        <v/>
      </c>
      <c r="P173" s="37">
        <f>IF(G173="","",IF(P172="",100,P172*(1+G173)))</f>
        <v/>
      </c>
    </row>
    <row r="174">
      <c r="B174" s="32">
        <f>Rendements!B174</f>
        <v/>
      </c>
      <c r="C174" s="34">
        <f>IF(SUMPRODUCT(Paramètres!$D$15:$D$28*ISNUMBER(TRANSPOSE(Rendements!$C174:$P174)))=0,"",SUMPRODUCT(Paramètres!$D$15:$D$28*ISNUMBER(TRANSPOSE(Rendements!$C174:$P174))*N(+TRANSPOSE(Rendements!$C174:$P174)))/SUMPRODUCT(Paramètres!$D$15:$D$28*ISNUMBER(TRANSPOSE(Rendements!$C174:$P174))))</f>
        <v/>
      </c>
      <c r="D174" s="34">
        <f>IF(SUMPRODUCT(Paramètres!$E$15:$E$28*ISNUMBER(TRANSPOSE(Rendements!$C174:$P174)))=0,"",SUMPRODUCT(Paramètres!$E$15:$E$28*ISNUMBER(TRANSPOSE(Rendements!$C174:$P174))*N(+TRANSPOSE(Rendements!$C174:$P174)))/SUMPRODUCT(Paramètres!$E$15:$E$28*ISNUMBER(TRANSPOSE(Rendements!$C174:$P174))))</f>
        <v/>
      </c>
      <c r="E174" s="34">
        <f>IF(SUMPRODUCT(Paramètres!$F$15:$F$28*ISNUMBER(TRANSPOSE(Rendements!$C174:$P174)))=0,"",SUMPRODUCT(Paramètres!$F$15:$F$28*ISNUMBER(TRANSPOSE(Rendements!$C174:$P174))*N(+TRANSPOSE(Rendements!$C174:$P174)))/SUMPRODUCT(Paramètres!$F$15:$F$28*ISNUMBER(TRANSPOSE(Rendements!$C174:$P174))))</f>
        <v/>
      </c>
      <c r="F174" s="34">
        <f>IF(SUMPRODUCT(Paramètres!$G$15:$G$28*ISNUMBER(TRANSPOSE(Rendements!$C174:$P174)))=0,"",SUMPRODUCT(Paramètres!$G$15:$G$28*ISNUMBER(TRANSPOSE(Rendements!$C174:$P174))*N(+TRANSPOSE(Rendements!$C174:$P174)))/SUMPRODUCT(Paramètres!$G$15:$G$28*ISNUMBER(TRANSPOSE(Rendements!$C174:$P174))))</f>
        <v/>
      </c>
      <c r="G174" s="35">
        <f>IF(OR(C174="",D174="",E174="",F174=""),"",Wc_C1*C174+Wc_C2*D174+Wc_C3*E174+Wc_C4*F174)</f>
        <v/>
      </c>
      <c r="H174" s="36">
        <f>SUMPRODUCT(Paramètres!$D$15:$D$28*ISNUMBER(TRANSPOSE(Rendements!$C174:$P174)))</f>
        <v/>
      </c>
      <c r="I174" s="36">
        <f>SUMPRODUCT(Paramètres!$E$15:$E$28*ISNUMBER(TRANSPOSE(Rendements!$C174:$P174)))</f>
        <v/>
      </c>
      <c r="J174" s="36">
        <f>SUMPRODUCT(Paramètres!$F$15:$F$28*ISNUMBER(TRANSPOSE(Rendements!$C174:$P174)))</f>
        <v/>
      </c>
      <c r="K174" s="36">
        <f>SUMPRODUCT(Paramètres!$G$15:$G$28*ISNUMBER(TRANSPOSE(Rendements!$C174:$P174)))</f>
        <v/>
      </c>
      <c r="L174" s="37">
        <f>IF(C174="","",IF(L173="",100,L173*(1+C174)))</f>
        <v/>
      </c>
      <c r="M174" s="37">
        <f>IF(D174="","",IF(M173="",100,M173*(1+D174)))</f>
        <v/>
      </c>
      <c r="N174" s="37">
        <f>IF(E174="","",IF(N173="",100,N173*(1+E174)))</f>
        <v/>
      </c>
      <c r="O174" s="37">
        <f>IF(F174="","",IF(O173="",100,O173*(1+F174)))</f>
        <v/>
      </c>
      <c r="P174" s="37">
        <f>IF(G174="","",IF(P173="",100,P173*(1+G174)))</f>
        <v/>
      </c>
    </row>
    <row r="175">
      <c r="B175" s="32">
        <f>Rendements!B175</f>
        <v/>
      </c>
      <c r="C175" s="34">
        <f>IF(SUMPRODUCT(Paramètres!$D$15:$D$28*ISNUMBER(TRANSPOSE(Rendements!$C175:$P175)))=0,"",SUMPRODUCT(Paramètres!$D$15:$D$28*ISNUMBER(TRANSPOSE(Rendements!$C175:$P175))*N(+TRANSPOSE(Rendements!$C175:$P175)))/SUMPRODUCT(Paramètres!$D$15:$D$28*ISNUMBER(TRANSPOSE(Rendements!$C175:$P175))))</f>
        <v/>
      </c>
      <c r="D175" s="34">
        <f>IF(SUMPRODUCT(Paramètres!$E$15:$E$28*ISNUMBER(TRANSPOSE(Rendements!$C175:$P175)))=0,"",SUMPRODUCT(Paramètres!$E$15:$E$28*ISNUMBER(TRANSPOSE(Rendements!$C175:$P175))*N(+TRANSPOSE(Rendements!$C175:$P175)))/SUMPRODUCT(Paramètres!$E$15:$E$28*ISNUMBER(TRANSPOSE(Rendements!$C175:$P175))))</f>
        <v/>
      </c>
      <c r="E175" s="34">
        <f>IF(SUMPRODUCT(Paramètres!$F$15:$F$28*ISNUMBER(TRANSPOSE(Rendements!$C175:$P175)))=0,"",SUMPRODUCT(Paramètres!$F$15:$F$28*ISNUMBER(TRANSPOSE(Rendements!$C175:$P175))*N(+TRANSPOSE(Rendements!$C175:$P175)))/SUMPRODUCT(Paramètres!$F$15:$F$28*ISNUMBER(TRANSPOSE(Rendements!$C175:$P175))))</f>
        <v/>
      </c>
      <c r="F175" s="34">
        <f>IF(SUMPRODUCT(Paramètres!$G$15:$G$28*ISNUMBER(TRANSPOSE(Rendements!$C175:$P175)))=0,"",SUMPRODUCT(Paramètres!$G$15:$G$28*ISNUMBER(TRANSPOSE(Rendements!$C175:$P175))*N(+TRANSPOSE(Rendements!$C175:$P175)))/SUMPRODUCT(Paramètres!$G$15:$G$28*ISNUMBER(TRANSPOSE(Rendements!$C175:$P175))))</f>
        <v/>
      </c>
      <c r="G175" s="35">
        <f>IF(OR(C175="",D175="",E175="",F175=""),"",Wc_C1*C175+Wc_C2*D175+Wc_C3*E175+Wc_C4*F175)</f>
        <v/>
      </c>
      <c r="H175" s="36">
        <f>SUMPRODUCT(Paramètres!$D$15:$D$28*ISNUMBER(TRANSPOSE(Rendements!$C175:$P175)))</f>
        <v/>
      </c>
      <c r="I175" s="36">
        <f>SUMPRODUCT(Paramètres!$E$15:$E$28*ISNUMBER(TRANSPOSE(Rendements!$C175:$P175)))</f>
        <v/>
      </c>
      <c r="J175" s="36">
        <f>SUMPRODUCT(Paramètres!$F$15:$F$28*ISNUMBER(TRANSPOSE(Rendements!$C175:$P175)))</f>
        <v/>
      </c>
      <c r="K175" s="36">
        <f>SUMPRODUCT(Paramètres!$G$15:$G$28*ISNUMBER(TRANSPOSE(Rendements!$C175:$P175)))</f>
        <v/>
      </c>
      <c r="L175" s="37">
        <f>IF(C175="","",IF(L174="",100,L174*(1+C175)))</f>
        <v/>
      </c>
      <c r="M175" s="37">
        <f>IF(D175="","",IF(M174="",100,M174*(1+D175)))</f>
        <v/>
      </c>
      <c r="N175" s="37">
        <f>IF(E175="","",IF(N174="",100,N174*(1+E175)))</f>
        <v/>
      </c>
      <c r="O175" s="37">
        <f>IF(F175="","",IF(O174="",100,O174*(1+F175)))</f>
        <v/>
      </c>
      <c r="P175" s="37">
        <f>IF(G175="","",IF(P174="",100,P174*(1+G175)))</f>
        <v/>
      </c>
    </row>
    <row r="176">
      <c r="B176" s="32">
        <f>Rendements!B176</f>
        <v/>
      </c>
      <c r="C176" s="34">
        <f>IF(SUMPRODUCT(Paramètres!$D$15:$D$28*ISNUMBER(TRANSPOSE(Rendements!$C176:$P176)))=0,"",SUMPRODUCT(Paramètres!$D$15:$D$28*ISNUMBER(TRANSPOSE(Rendements!$C176:$P176))*N(+TRANSPOSE(Rendements!$C176:$P176)))/SUMPRODUCT(Paramètres!$D$15:$D$28*ISNUMBER(TRANSPOSE(Rendements!$C176:$P176))))</f>
        <v/>
      </c>
      <c r="D176" s="34">
        <f>IF(SUMPRODUCT(Paramètres!$E$15:$E$28*ISNUMBER(TRANSPOSE(Rendements!$C176:$P176)))=0,"",SUMPRODUCT(Paramètres!$E$15:$E$28*ISNUMBER(TRANSPOSE(Rendements!$C176:$P176))*N(+TRANSPOSE(Rendements!$C176:$P176)))/SUMPRODUCT(Paramètres!$E$15:$E$28*ISNUMBER(TRANSPOSE(Rendements!$C176:$P176))))</f>
        <v/>
      </c>
      <c r="E176" s="34">
        <f>IF(SUMPRODUCT(Paramètres!$F$15:$F$28*ISNUMBER(TRANSPOSE(Rendements!$C176:$P176)))=0,"",SUMPRODUCT(Paramètres!$F$15:$F$28*ISNUMBER(TRANSPOSE(Rendements!$C176:$P176))*N(+TRANSPOSE(Rendements!$C176:$P176)))/SUMPRODUCT(Paramètres!$F$15:$F$28*ISNUMBER(TRANSPOSE(Rendements!$C176:$P176))))</f>
        <v/>
      </c>
      <c r="F176" s="34">
        <f>IF(SUMPRODUCT(Paramètres!$G$15:$G$28*ISNUMBER(TRANSPOSE(Rendements!$C176:$P176)))=0,"",SUMPRODUCT(Paramètres!$G$15:$G$28*ISNUMBER(TRANSPOSE(Rendements!$C176:$P176))*N(+TRANSPOSE(Rendements!$C176:$P176)))/SUMPRODUCT(Paramètres!$G$15:$G$28*ISNUMBER(TRANSPOSE(Rendements!$C176:$P176))))</f>
        <v/>
      </c>
      <c r="G176" s="35">
        <f>IF(OR(C176="",D176="",E176="",F176=""),"",Wc_C1*C176+Wc_C2*D176+Wc_C3*E176+Wc_C4*F176)</f>
        <v/>
      </c>
      <c r="H176" s="36">
        <f>SUMPRODUCT(Paramètres!$D$15:$D$28*ISNUMBER(TRANSPOSE(Rendements!$C176:$P176)))</f>
        <v/>
      </c>
      <c r="I176" s="36">
        <f>SUMPRODUCT(Paramètres!$E$15:$E$28*ISNUMBER(TRANSPOSE(Rendements!$C176:$P176)))</f>
        <v/>
      </c>
      <c r="J176" s="36">
        <f>SUMPRODUCT(Paramètres!$F$15:$F$28*ISNUMBER(TRANSPOSE(Rendements!$C176:$P176)))</f>
        <v/>
      </c>
      <c r="K176" s="36">
        <f>SUMPRODUCT(Paramètres!$G$15:$G$28*ISNUMBER(TRANSPOSE(Rendements!$C176:$P176)))</f>
        <v/>
      </c>
      <c r="L176" s="37">
        <f>IF(C176="","",IF(L175="",100,L175*(1+C176)))</f>
        <v/>
      </c>
      <c r="M176" s="37">
        <f>IF(D176="","",IF(M175="",100,M175*(1+D176)))</f>
        <v/>
      </c>
      <c r="N176" s="37">
        <f>IF(E176="","",IF(N175="",100,N175*(1+E176)))</f>
        <v/>
      </c>
      <c r="O176" s="37">
        <f>IF(F176="","",IF(O175="",100,O175*(1+F176)))</f>
        <v/>
      </c>
      <c r="P176" s="37">
        <f>IF(G176="","",IF(P175="",100,P175*(1+G176)))</f>
        <v/>
      </c>
    </row>
    <row r="177">
      <c r="B177" s="32">
        <f>Rendements!B177</f>
        <v/>
      </c>
      <c r="C177" s="34">
        <f>IF(SUMPRODUCT(Paramètres!$D$15:$D$28*ISNUMBER(TRANSPOSE(Rendements!$C177:$P177)))=0,"",SUMPRODUCT(Paramètres!$D$15:$D$28*ISNUMBER(TRANSPOSE(Rendements!$C177:$P177))*N(+TRANSPOSE(Rendements!$C177:$P177)))/SUMPRODUCT(Paramètres!$D$15:$D$28*ISNUMBER(TRANSPOSE(Rendements!$C177:$P177))))</f>
        <v/>
      </c>
      <c r="D177" s="34">
        <f>IF(SUMPRODUCT(Paramètres!$E$15:$E$28*ISNUMBER(TRANSPOSE(Rendements!$C177:$P177)))=0,"",SUMPRODUCT(Paramètres!$E$15:$E$28*ISNUMBER(TRANSPOSE(Rendements!$C177:$P177))*N(+TRANSPOSE(Rendements!$C177:$P177)))/SUMPRODUCT(Paramètres!$E$15:$E$28*ISNUMBER(TRANSPOSE(Rendements!$C177:$P177))))</f>
        <v/>
      </c>
      <c r="E177" s="34">
        <f>IF(SUMPRODUCT(Paramètres!$F$15:$F$28*ISNUMBER(TRANSPOSE(Rendements!$C177:$P177)))=0,"",SUMPRODUCT(Paramètres!$F$15:$F$28*ISNUMBER(TRANSPOSE(Rendements!$C177:$P177))*N(+TRANSPOSE(Rendements!$C177:$P177)))/SUMPRODUCT(Paramètres!$F$15:$F$28*ISNUMBER(TRANSPOSE(Rendements!$C177:$P177))))</f>
        <v/>
      </c>
      <c r="F177" s="34">
        <f>IF(SUMPRODUCT(Paramètres!$G$15:$G$28*ISNUMBER(TRANSPOSE(Rendements!$C177:$P177)))=0,"",SUMPRODUCT(Paramètres!$G$15:$G$28*ISNUMBER(TRANSPOSE(Rendements!$C177:$P177))*N(+TRANSPOSE(Rendements!$C177:$P177)))/SUMPRODUCT(Paramètres!$G$15:$G$28*ISNUMBER(TRANSPOSE(Rendements!$C177:$P177))))</f>
        <v/>
      </c>
      <c r="G177" s="35">
        <f>IF(OR(C177="",D177="",E177="",F177=""),"",Wc_C1*C177+Wc_C2*D177+Wc_C3*E177+Wc_C4*F177)</f>
        <v/>
      </c>
      <c r="H177" s="36">
        <f>SUMPRODUCT(Paramètres!$D$15:$D$28*ISNUMBER(TRANSPOSE(Rendements!$C177:$P177)))</f>
        <v/>
      </c>
      <c r="I177" s="36">
        <f>SUMPRODUCT(Paramètres!$E$15:$E$28*ISNUMBER(TRANSPOSE(Rendements!$C177:$P177)))</f>
        <v/>
      </c>
      <c r="J177" s="36">
        <f>SUMPRODUCT(Paramètres!$F$15:$F$28*ISNUMBER(TRANSPOSE(Rendements!$C177:$P177)))</f>
        <v/>
      </c>
      <c r="K177" s="36">
        <f>SUMPRODUCT(Paramètres!$G$15:$G$28*ISNUMBER(TRANSPOSE(Rendements!$C177:$P177)))</f>
        <v/>
      </c>
      <c r="L177" s="37">
        <f>IF(C177="","",IF(L176="",100,L176*(1+C177)))</f>
        <v/>
      </c>
      <c r="M177" s="37">
        <f>IF(D177="","",IF(M176="",100,M176*(1+D177)))</f>
        <v/>
      </c>
      <c r="N177" s="37">
        <f>IF(E177="","",IF(N176="",100,N176*(1+E177)))</f>
        <v/>
      </c>
      <c r="O177" s="37">
        <f>IF(F177="","",IF(O176="",100,O176*(1+F177)))</f>
        <v/>
      </c>
      <c r="P177" s="37">
        <f>IF(G177="","",IF(P176="",100,P176*(1+G177)))</f>
        <v/>
      </c>
    </row>
    <row r="178">
      <c r="B178" s="32">
        <f>Rendements!B178</f>
        <v/>
      </c>
      <c r="C178" s="34">
        <f>IF(SUMPRODUCT(Paramètres!$D$15:$D$28*ISNUMBER(TRANSPOSE(Rendements!$C178:$P178)))=0,"",SUMPRODUCT(Paramètres!$D$15:$D$28*ISNUMBER(TRANSPOSE(Rendements!$C178:$P178))*N(+TRANSPOSE(Rendements!$C178:$P178)))/SUMPRODUCT(Paramètres!$D$15:$D$28*ISNUMBER(TRANSPOSE(Rendements!$C178:$P178))))</f>
        <v/>
      </c>
      <c r="D178" s="34">
        <f>IF(SUMPRODUCT(Paramètres!$E$15:$E$28*ISNUMBER(TRANSPOSE(Rendements!$C178:$P178)))=0,"",SUMPRODUCT(Paramètres!$E$15:$E$28*ISNUMBER(TRANSPOSE(Rendements!$C178:$P178))*N(+TRANSPOSE(Rendements!$C178:$P178)))/SUMPRODUCT(Paramètres!$E$15:$E$28*ISNUMBER(TRANSPOSE(Rendements!$C178:$P178))))</f>
        <v/>
      </c>
      <c r="E178" s="34">
        <f>IF(SUMPRODUCT(Paramètres!$F$15:$F$28*ISNUMBER(TRANSPOSE(Rendements!$C178:$P178)))=0,"",SUMPRODUCT(Paramètres!$F$15:$F$28*ISNUMBER(TRANSPOSE(Rendements!$C178:$P178))*N(+TRANSPOSE(Rendements!$C178:$P178)))/SUMPRODUCT(Paramètres!$F$15:$F$28*ISNUMBER(TRANSPOSE(Rendements!$C178:$P178))))</f>
        <v/>
      </c>
      <c r="F178" s="34">
        <f>IF(SUMPRODUCT(Paramètres!$G$15:$G$28*ISNUMBER(TRANSPOSE(Rendements!$C178:$P178)))=0,"",SUMPRODUCT(Paramètres!$G$15:$G$28*ISNUMBER(TRANSPOSE(Rendements!$C178:$P178))*N(+TRANSPOSE(Rendements!$C178:$P178)))/SUMPRODUCT(Paramètres!$G$15:$G$28*ISNUMBER(TRANSPOSE(Rendements!$C178:$P178))))</f>
        <v/>
      </c>
      <c r="G178" s="35">
        <f>IF(OR(C178="",D178="",E178="",F178=""),"",Wc_C1*C178+Wc_C2*D178+Wc_C3*E178+Wc_C4*F178)</f>
        <v/>
      </c>
      <c r="H178" s="36">
        <f>SUMPRODUCT(Paramètres!$D$15:$D$28*ISNUMBER(TRANSPOSE(Rendements!$C178:$P178)))</f>
        <v/>
      </c>
      <c r="I178" s="36">
        <f>SUMPRODUCT(Paramètres!$E$15:$E$28*ISNUMBER(TRANSPOSE(Rendements!$C178:$P178)))</f>
        <v/>
      </c>
      <c r="J178" s="36">
        <f>SUMPRODUCT(Paramètres!$F$15:$F$28*ISNUMBER(TRANSPOSE(Rendements!$C178:$P178)))</f>
        <v/>
      </c>
      <c r="K178" s="36">
        <f>SUMPRODUCT(Paramètres!$G$15:$G$28*ISNUMBER(TRANSPOSE(Rendements!$C178:$P178)))</f>
        <v/>
      </c>
      <c r="L178" s="37">
        <f>IF(C178="","",IF(L177="",100,L177*(1+C178)))</f>
        <v/>
      </c>
      <c r="M178" s="37">
        <f>IF(D178="","",IF(M177="",100,M177*(1+D178)))</f>
        <v/>
      </c>
      <c r="N178" s="37">
        <f>IF(E178="","",IF(N177="",100,N177*(1+E178)))</f>
        <v/>
      </c>
      <c r="O178" s="37">
        <f>IF(F178="","",IF(O177="",100,O177*(1+F178)))</f>
        <v/>
      </c>
      <c r="P178" s="37">
        <f>IF(G178="","",IF(P177="",100,P177*(1+G178)))</f>
        <v/>
      </c>
    </row>
    <row r="179">
      <c r="B179" s="32">
        <f>Rendements!B179</f>
        <v/>
      </c>
      <c r="C179" s="34">
        <f>IF(SUMPRODUCT(Paramètres!$D$15:$D$28*ISNUMBER(TRANSPOSE(Rendements!$C179:$P179)))=0,"",SUMPRODUCT(Paramètres!$D$15:$D$28*ISNUMBER(TRANSPOSE(Rendements!$C179:$P179))*N(+TRANSPOSE(Rendements!$C179:$P179)))/SUMPRODUCT(Paramètres!$D$15:$D$28*ISNUMBER(TRANSPOSE(Rendements!$C179:$P179))))</f>
        <v/>
      </c>
      <c r="D179" s="34">
        <f>IF(SUMPRODUCT(Paramètres!$E$15:$E$28*ISNUMBER(TRANSPOSE(Rendements!$C179:$P179)))=0,"",SUMPRODUCT(Paramètres!$E$15:$E$28*ISNUMBER(TRANSPOSE(Rendements!$C179:$P179))*N(+TRANSPOSE(Rendements!$C179:$P179)))/SUMPRODUCT(Paramètres!$E$15:$E$28*ISNUMBER(TRANSPOSE(Rendements!$C179:$P179))))</f>
        <v/>
      </c>
      <c r="E179" s="34">
        <f>IF(SUMPRODUCT(Paramètres!$F$15:$F$28*ISNUMBER(TRANSPOSE(Rendements!$C179:$P179)))=0,"",SUMPRODUCT(Paramètres!$F$15:$F$28*ISNUMBER(TRANSPOSE(Rendements!$C179:$P179))*N(+TRANSPOSE(Rendements!$C179:$P179)))/SUMPRODUCT(Paramètres!$F$15:$F$28*ISNUMBER(TRANSPOSE(Rendements!$C179:$P179))))</f>
        <v/>
      </c>
      <c r="F179" s="34">
        <f>IF(SUMPRODUCT(Paramètres!$G$15:$G$28*ISNUMBER(TRANSPOSE(Rendements!$C179:$P179)))=0,"",SUMPRODUCT(Paramètres!$G$15:$G$28*ISNUMBER(TRANSPOSE(Rendements!$C179:$P179))*N(+TRANSPOSE(Rendements!$C179:$P179)))/SUMPRODUCT(Paramètres!$G$15:$G$28*ISNUMBER(TRANSPOSE(Rendements!$C179:$P179))))</f>
        <v/>
      </c>
      <c r="G179" s="35">
        <f>IF(OR(C179="",D179="",E179="",F179=""),"",Wc_C1*C179+Wc_C2*D179+Wc_C3*E179+Wc_C4*F179)</f>
        <v/>
      </c>
      <c r="H179" s="36">
        <f>SUMPRODUCT(Paramètres!$D$15:$D$28*ISNUMBER(TRANSPOSE(Rendements!$C179:$P179)))</f>
        <v/>
      </c>
      <c r="I179" s="36">
        <f>SUMPRODUCT(Paramètres!$E$15:$E$28*ISNUMBER(TRANSPOSE(Rendements!$C179:$P179)))</f>
        <v/>
      </c>
      <c r="J179" s="36">
        <f>SUMPRODUCT(Paramètres!$F$15:$F$28*ISNUMBER(TRANSPOSE(Rendements!$C179:$P179)))</f>
        <v/>
      </c>
      <c r="K179" s="36">
        <f>SUMPRODUCT(Paramètres!$G$15:$G$28*ISNUMBER(TRANSPOSE(Rendements!$C179:$P179)))</f>
        <v/>
      </c>
      <c r="L179" s="37">
        <f>IF(C179="","",IF(L178="",100,L178*(1+C179)))</f>
        <v/>
      </c>
      <c r="M179" s="37">
        <f>IF(D179="","",IF(M178="",100,M178*(1+D179)))</f>
        <v/>
      </c>
      <c r="N179" s="37">
        <f>IF(E179="","",IF(N178="",100,N178*(1+E179)))</f>
        <v/>
      </c>
      <c r="O179" s="37">
        <f>IF(F179="","",IF(O178="",100,O178*(1+F179)))</f>
        <v/>
      </c>
      <c r="P179" s="37">
        <f>IF(G179="","",IF(P178="",100,P178*(1+G179)))</f>
        <v/>
      </c>
    </row>
    <row r="180">
      <c r="B180" s="32">
        <f>Rendements!B180</f>
        <v/>
      </c>
      <c r="C180" s="34">
        <f>IF(SUMPRODUCT(Paramètres!$D$15:$D$28*ISNUMBER(TRANSPOSE(Rendements!$C180:$P180)))=0,"",SUMPRODUCT(Paramètres!$D$15:$D$28*ISNUMBER(TRANSPOSE(Rendements!$C180:$P180))*N(+TRANSPOSE(Rendements!$C180:$P180)))/SUMPRODUCT(Paramètres!$D$15:$D$28*ISNUMBER(TRANSPOSE(Rendements!$C180:$P180))))</f>
        <v/>
      </c>
      <c r="D180" s="34">
        <f>IF(SUMPRODUCT(Paramètres!$E$15:$E$28*ISNUMBER(TRANSPOSE(Rendements!$C180:$P180)))=0,"",SUMPRODUCT(Paramètres!$E$15:$E$28*ISNUMBER(TRANSPOSE(Rendements!$C180:$P180))*N(+TRANSPOSE(Rendements!$C180:$P180)))/SUMPRODUCT(Paramètres!$E$15:$E$28*ISNUMBER(TRANSPOSE(Rendements!$C180:$P180))))</f>
        <v/>
      </c>
      <c r="E180" s="34">
        <f>IF(SUMPRODUCT(Paramètres!$F$15:$F$28*ISNUMBER(TRANSPOSE(Rendements!$C180:$P180)))=0,"",SUMPRODUCT(Paramètres!$F$15:$F$28*ISNUMBER(TRANSPOSE(Rendements!$C180:$P180))*N(+TRANSPOSE(Rendements!$C180:$P180)))/SUMPRODUCT(Paramètres!$F$15:$F$28*ISNUMBER(TRANSPOSE(Rendements!$C180:$P180))))</f>
        <v/>
      </c>
      <c r="F180" s="34">
        <f>IF(SUMPRODUCT(Paramètres!$G$15:$G$28*ISNUMBER(TRANSPOSE(Rendements!$C180:$P180)))=0,"",SUMPRODUCT(Paramètres!$G$15:$G$28*ISNUMBER(TRANSPOSE(Rendements!$C180:$P180))*N(+TRANSPOSE(Rendements!$C180:$P180)))/SUMPRODUCT(Paramètres!$G$15:$G$28*ISNUMBER(TRANSPOSE(Rendements!$C180:$P180))))</f>
        <v/>
      </c>
      <c r="G180" s="35">
        <f>IF(OR(C180="",D180="",E180="",F180=""),"",Wc_C1*C180+Wc_C2*D180+Wc_C3*E180+Wc_C4*F180)</f>
        <v/>
      </c>
      <c r="H180" s="36">
        <f>SUMPRODUCT(Paramètres!$D$15:$D$28*ISNUMBER(TRANSPOSE(Rendements!$C180:$P180)))</f>
        <v/>
      </c>
      <c r="I180" s="36">
        <f>SUMPRODUCT(Paramètres!$E$15:$E$28*ISNUMBER(TRANSPOSE(Rendements!$C180:$P180)))</f>
        <v/>
      </c>
      <c r="J180" s="36">
        <f>SUMPRODUCT(Paramètres!$F$15:$F$28*ISNUMBER(TRANSPOSE(Rendements!$C180:$P180)))</f>
        <v/>
      </c>
      <c r="K180" s="36">
        <f>SUMPRODUCT(Paramètres!$G$15:$G$28*ISNUMBER(TRANSPOSE(Rendements!$C180:$P180)))</f>
        <v/>
      </c>
      <c r="L180" s="37">
        <f>IF(C180="","",IF(L179="",100,L179*(1+C180)))</f>
        <v/>
      </c>
      <c r="M180" s="37">
        <f>IF(D180="","",IF(M179="",100,M179*(1+D180)))</f>
        <v/>
      </c>
      <c r="N180" s="37">
        <f>IF(E180="","",IF(N179="",100,N179*(1+E180)))</f>
        <v/>
      </c>
      <c r="O180" s="37">
        <f>IF(F180="","",IF(O179="",100,O179*(1+F180)))</f>
        <v/>
      </c>
      <c r="P180" s="37">
        <f>IF(G180="","",IF(P179="",100,P179*(1+G180)))</f>
        <v/>
      </c>
    </row>
    <row r="181">
      <c r="B181" s="32">
        <f>Rendements!B181</f>
        <v/>
      </c>
      <c r="C181" s="34">
        <f>IF(SUMPRODUCT(Paramètres!$D$15:$D$28*ISNUMBER(TRANSPOSE(Rendements!$C181:$P181)))=0,"",SUMPRODUCT(Paramètres!$D$15:$D$28*ISNUMBER(TRANSPOSE(Rendements!$C181:$P181))*N(+TRANSPOSE(Rendements!$C181:$P181)))/SUMPRODUCT(Paramètres!$D$15:$D$28*ISNUMBER(TRANSPOSE(Rendements!$C181:$P181))))</f>
        <v/>
      </c>
      <c r="D181" s="34">
        <f>IF(SUMPRODUCT(Paramètres!$E$15:$E$28*ISNUMBER(TRANSPOSE(Rendements!$C181:$P181)))=0,"",SUMPRODUCT(Paramètres!$E$15:$E$28*ISNUMBER(TRANSPOSE(Rendements!$C181:$P181))*N(+TRANSPOSE(Rendements!$C181:$P181)))/SUMPRODUCT(Paramètres!$E$15:$E$28*ISNUMBER(TRANSPOSE(Rendements!$C181:$P181))))</f>
        <v/>
      </c>
      <c r="E181" s="34">
        <f>IF(SUMPRODUCT(Paramètres!$F$15:$F$28*ISNUMBER(TRANSPOSE(Rendements!$C181:$P181)))=0,"",SUMPRODUCT(Paramètres!$F$15:$F$28*ISNUMBER(TRANSPOSE(Rendements!$C181:$P181))*N(+TRANSPOSE(Rendements!$C181:$P181)))/SUMPRODUCT(Paramètres!$F$15:$F$28*ISNUMBER(TRANSPOSE(Rendements!$C181:$P181))))</f>
        <v/>
      </c>
      <c r="F181" s="34">
        <f>IF(SUMPRODUCT(Paramètres!$G$15:$G$28*ISNUMBER(TRANSPOSE(Rendements!$C181:$P181)))=0,"",SUMPRODUCT(Paramètres!$G$15:$G$28*ISNUMBER(TRANSPOSE(Rendements!$C181:$P181))*N(+TRANSPOSE(Rendements!$C181:$P181)))/SUMPRODUCT(Paramètres!$G$15:$G$28*ISNUMBER(TRANSPOSE(Rendements!$C181:$P181))))</f>
        <v/>
      </c>
      <c r="G181" s="35">
        <f>IF(OR(C181="",D181="",E181="",F181=""),"",Wc_C1*C181+Wc_C2*D181+Wc_C3*E181+Wc_C4*F181)</f>
        <v/>
      </c>
      <c r="H181" s="36">
        <f>SUMPRODUCT(Paramètres!$D$15:$D$28*ISNUMBER(TRANSPOSE(Rendements!$C181:$P181)))</f>
        <v/>
      </c>
      <c r="I181" s="36">
        <f>SUMPRODUCT(Paramètres!$E$15:$E$28*ISNUMBER(TRANSPOSE(Rendements!$C181:$P181)))</f>
        <v/>
      </c>
      <c r="J181" s="36">
        <f>SUMPRODUCT(Paramètres!$F$15:$F$28*ISNUMBER(TRANSPOSE(Rendements!$C181:$P181)))</f>
        <v/>
      </c>
      <c r="K181" s="36">
        <f>SUMPRODUCT(Paramètres!$G$15:$G$28*ISNUMBER(TRANSPOSE(Rendements!$C181:$P181)))</f>
        <v/>
      </c>
      <c r="L181" s="37">
        <f>IF(C181="","",IF(L180="",100,L180*(1+C181)))</f>
        <v/>
      </c>
      <c r="M181" s="37">
        <f>IF(D181="","",IF(M180="",100,M180*(1+D181)))</f>
        <v/>
      </c>
      <c r="N181" s="37">
        <f>IF(E181="","",IF(N180="",100,N180*(1+E181)))</f>
        <v/>
      </c>
      <c r="O181" s="37">
        <f>IF(F181="","",IF(O180="",100,O180*(1+F181)))</f>
        <v/>
      </c>
      <c r="P181" s="37">
        <f>IF(G181="","",IF(P180="",100,P180*(1+G181)))</f>
        <v/>
      </c>
    </row>
    <row r="182">
      <c r="B182" s="32">
        <f>Rendements!B182</f>
        <v/>
      </c>
      <c r="C182" s="34">
        <f>IF(SUMPRODUCT(Paramètres!$D$15:$D$28*ISNUMBER(TRANSPOSE(Rendements!$C182:$P182)))=0,"",SUMPRODUCT(Paramètres!$D$15:$D$28*ISNUMBER(TRANSPOSE(Rendements!$C182:$P182))*N(+TRANSPOSE(Rendements!$C182:$P182)))/SUMPRODUCT(Paramètres!$D$15:$D$28*ISNUMBER(TRANSPOSE(Rendements!$C182:$P182))))</f>
        <v/>
      </c>
      <c r="D182" s="34">
        <f>IF(SUMPRODUCT(Paramètres!$E$15:$E$28*ISNUMBER(TRANSPOSE(Rendements!$C182:$P182)))=0,"",SUMPRODUCT(Paramètres!$E$15:$E$28*ISNUMBER(TRANSPOSE(Rendements!$C182:$P182))*N(+TRANSPOSE(Rendements!$C182:$P182)))/SUMPRODUCT(Paramètres!$E$15:$E$28*ISNUMBER(TRANSPOSE(Rendements!$C182:$P182))))</f>
        <v/>
      </c>
      <c r="E182" s="34">
        <f>IF(SUMPRODUCT(Paramètres!$F$15:$F$28*ISNUMBER(TRANSPOSE(Rendements!$C182:$P182)))=0,"",SUMPRODUCT(Paramètres!$F$15:$F$28*ISNUMBER(TRANSPOSE(Rendements!$C182:$P182))*N(+TRANSPOSE(Rendements!$C182:$P182)))/SUMPRODUCT(Paramètres!$F$15:$F$28*ISNUMBER(TRANSPOSE(Rendements!$C182:$P182))))</f>
        <v/>
      </c>
      <c r="F182" s="34">
        <f>IF(SUMPRODUCT(Paramètres!$G$15:$G$28*ISNUMBER(TRANSPOSE(Rendements!$C182:$P182)))=0,"",SUMPRODUCT(Paramètres!$G$15:$G$28*ISNUMBER(TRANSPOSE(Rendements!$C182:$P182))*N(+TRANSPOSE(Rendements!$C182:$P182)))/SUMPRODUCT(Paramètres!$G$15:$G$28*ISNUMBER(TRANSPOSE(Rendements!$C182:$P182))))</f>
        <v/>
      </c>
      <c r="G182" s="35">
        <f>IF(OR(C182="",D182="",E182="",F182=""),"",Wc_C1*C182+Wc_C2*D182+Wc_C3*E182+Wc_C4*F182)</f>
        <v/>
      </c>
      <c r="H182" s="36">
        <f>SUMPRODUCT(Paramètres!$D$15:$D$28*ISNUMBER(TRANSPOSE(Rendements!$C182:$P182)))</f>
        <v/>
      </c>
      <c r="I182" s="36">
        <f>SUMPRODUCT(Paramètres!$E$15:$E$28*ISNUMBER(TRANSPOSE(Rendements!$C182:$P182)))</f>
        <v/>
      </c>
      <c r="J182" s="36">
        <f>SUMPRODUCT(Paramètres!$F$15:$F$28*ISNUMBER(TRANSPOSE(Rendements!$C182:$P182)))</f>
        <v/>
      </c>
      <c r="K182" s="36">
        <f>SUMPRODUCT(Paramètres!$G$15:$G$28*ISNUMBER(TRANSPOSE(Rendements!$C182:$P182)))</f>
        <v/>
      </c>
      <c r="L182" s="37">
        <f>IF(C182="","",IF(L181="",100,L181*(1+C182)))</f>
        <v/>
      </c>
      <c r="M182" s="37">
        <f>IF(D182="","",IF(M181="",100,M181*(1+D182)))</f>
        <v/>
      </c>
      <c r="N182" s="37">
        <f>IF(E182="","",IF(N181="",100,N181*(1+E182)))</f>
        <v/>
      </c>
      <c r="O182" s="37">
        <f>IF(F182="","",IF(O181="",100,O181*(1+F182)))</f>
        <v/>
      </c>
      <c r="P182" s="37">
        <f>IF(G182="","",IF(P181="",100,P181*(1+G182)))</f>
        <v/>
      </c>
    </row>
    <row r="183">
      <c r="B183" s="32">
        <f>Rendements!B183</f>
        <v/>
      </c>
      <c r="C183" s="34">
        <f>IF(SUMPRODUCT(Paramètres!$D$15:$D$28*ISNUMBER(TRANSPOSE(Rendements!$C183:$P183)))=0,"",SUMPRODUCT(Paramètres!$D$15:$D$28*ISNUMBER(TRANSPOSE(Rendements!$C183:$P183))*N(+TRANSPOSE(Rendements!$C183:$P183)))/SUMPRODUCT(Paramètres!$D$15:$D$28*ISNUMBER(TRANSPOSE(Rendements!$C183:$P183))))</f>
        <v/>
      </c>
      <c r="D183" s="34">
        <f>IF(SUMPRODUCT(Paramètres!$E$15:$E$28*ISNUMBER(TRANSPOSE(Rendements!$C183:$P183)))=0,"",SUMPRODUCT(Paramètres!$E$15:$E$28*ISNUMBER(TRANSPOSE(Rendements!$C183:$P183))*N(+TRANSPOSE(Rendements!$C183:$P183)))/SUMPRODUCT(Paramètres!$E$15:$E$28*ISNUMBER(TRANSPOSE(Rendements!$C183:$P183))))</f>
        <v/>
      </c>
      <c r="E183" s="34">
        <f>IF(SUMPRODUCT(Paramètres!$F$15:$F$28*ISNUMBER(TRANSPOSE(Rendements!$C183:$P183)))=0,"",SUMPRODUCT(Paramètres!$F$15:$F$28*ISNUMBER(TRANSPOSE(Rendements!$C183:$P183))*N(+TRANSPOSE(Rendements!$C183:$P183)))/SUMPRODUCT(Paramètres!$F$15:$F$28*ISNUMBER(TRANSPOSE(Rendements!$C183:$P183))))</f>
        <v/>
      </c>
      <c r="F183" s="34">
        <f>IF(SUMPRODUCT(Paramètres!$G$15:$G$28*ISNUMBER(TRANSPOSE(Rendements!$C183:$P183)))=0,"",SUMPRODUCT(Paramètres!$G$15:$G$28*ISNUMBER(TRANSPOSE(Rendements!$C183:$P183))*N(+TRANSPOSE(Rendements!$C183:$P183)))/SUMPRODUCT(Paramètres!$G$15:$G$28*ISNUMBER(TRANSPOSE(Rendements!$C183:$P183))))</f>
        <v/>
      </c>
      <c r="G183" s="35">
        <f>IF(OR(C183="",D183="",E183="",F183=""),"",Wc_C1*C183+Wc_C2*D183+Wc_C3*E183+Wc_C4*F183)</f>
        <v/>
      </c>
      <c r="H183" s="36">
        <f>SUMPRODUCT(Paramètres!$D$15:$D$28*ISNUMBER(TRANSPOSE(Rendements!$C183:$P183)))</f>
        <v/>
      </c>
      <c r="I183" s="36">
        <f>SUMPRODUCT(Paramètres!$E$15:$E$28*ISNUMBER(TRANSPOSE(Rendements!$C183:$P183)))</f>
        <v/>
      </c>
      <c r="J183" s="36">
        <f>SUMPRODUCT(Paramètres!$F$15:$F$28*ISNUMBER(TRANSPOSE(Rendements!$C183:$P183)))</f>
        <v/>
      </c>
      <c r="K183" s="36">
        <f>SUMPRODUCT(Paramètres!$G$15:$G$28*ISNUMBER(TRANSPOSE(Rendements!$C183:$P183)))</f>
        <v/>
      </c>
      <c r="L183" s="37">
        <f>IF(C183="","",IF(L182="",100,L182*(1+C183)))</f>
        <v/>
      </c>
      <c r="M183" s="37">
        <f>IF(D183="","",IF(M182="",100,M182*(1+D183)))</f>
        <v/>
      </c>
      <c r="N183" s="37">
        <f>IF(E183="","",IF(N182="",100,N182*(1+E183)))</f>
        <v/>
      </c>
      <c r="O183" s="37">
        <f>IF(F183="","",IF(O182="",100,O182*(1+F183)))</f>
        <v/>
      </c>
      <c r="P183" s="37">
        <f>IF(G183="","",IF(P182="",100,P182*(1+G183)))</f>
        <v/>
      </c>
    </row>
    <row r="184">
      <c r="B184" s="32">
        <f>Rendements!B184</f>
        <v/>
      </c>
      <c r="C184" s="34">
        <f>IF(SUMPRODUCT(Paramètres!$D$15:$D$28*ISNUMBER(TRANSPOSE(Rendements!$C184:$P184)))=0,"",SUMPRODUCT(Paramètres!$D$15:$D$28*ISNUMBER(TRANSPOSE(Rendements!$C184:$P184))*N(+TRANSPOSE(Rendements!$C184:$P184)))/SUMPRODUCT(Paramètres!$D$15:$D$28*ISNUMBER(TRANSPOSE(Rendements!$C184:$P184))))</f>
        <v/>
      </c>
      <c r="D184" s="34">
        <f>IF(SUMPRODUCT(Paramètres!$E$15:$E$28*ISNUMBER(TRANSPOSE(Rendements!$C184:$P184)))=0,"",SUMPRODUCT(Paramètres!$E$15:$E$28*ISNUMBER(TRANSPOSE(Rendements!$C184:$P184))*N(+TRANSPOSE(Rendements!$C184:$P184)))/SUMPRODUCT(Paramètres!$E$15:$E$28*ISNUMBER(TRANSPOSE(Rendements!$C184:$P184))))</f>
        <v/>
      </c>
      <c r="E184" s="34">
        <f>IF(SUMPRODUCT(Paramètres!$F$15:$F$28*ISNUMBER(TRANSPOSE(Rendements!$C184:$P184)))=0,"",SUMPRODUCT(Paramètres!$F$15:$F$28*ISNUMBER(TRANSPOSE(Rendements!$C184:$P184))*N(+TRANSPOSE(Rendements!$C184:$P184)))/SUMPRODUCT(Paramètres!$F$15:$F$28*ISNUMBER(TRANSPOSE(Rendements!$C184:$P184))))</f>
        <v/>
      </c>
      <c r="F184" s="34">
        <f>IF(SUMPRODUCT(Paramètres!$G$15:$G$28*ISNUMBER(TRANSPOSE(Rendements!$C184:$P184)))=0,"",SUMPRODUCT(Paramètres!$G$15:$G$28*ISNUMBER(TRANSPOSE(Rendements!$C184:$P184))*N(+TRANSPOSE(Rendements!$C184:$P184)))/SUMPRODUCT(Paramètres!$G$15:$G$28*ISNUMBER(TRANSPOSE(Rendements!$C184:$P184))))</f>
        <v/>
      </c>
      <c r="G184" s="35">
        <f>IF(OR(C184="",D184="",E184="",F184=""),"",Wc_C1*C184+Wc_C2*D184+Wc_C3*E184+Wc_C4*F184)</f>
        <v/>
      </c>
      <c r="H184" s="36">
        <f>SUMPRODUCT(Paramètres!$D$15:$D$28*ISNUMBER(TRANSPOSE(Rendements!$C184:$P184)))</f>
        <v/>
      </c>
      <c r="I184" s="36">
        <f>SUMPRODUCT(Paramètres!$E$15:$E$28*ISNUMBER(TRANSPOSE(Rendements!$C184:$P184)))</f>
        <v/>
      </c>
      <c r="J184" s="36">
        <f>SUMPRODUCT(Paramètres!$F$15:$F$28*ISNUMBER(TRANSPOSE(Rendements!$C184:$P184)))</f>
        <v/>
      </c>
      <c r="K184" s="36">
        <f>SUMPRODUCT(Paramètres!$G$15:$G$28*ISNUMBER(TRANSPOSE(Rendements!$C184:$P184)))</f>
        <v/>
      </c>
      <c r="L184" s="37">
        <f>IF(C184="","",IF(L183="",100,L183*(1+C184)))</f>
        <v/>
      </c>
      <c r="M184" s="37">
        <f>IF(D184="","",IF(M183="",100,M183*(1+D184)))</f>
        <v/>
      </c>
      <c r="N184" s="37">
        <f>IF(E184="","",IF(N183="",100,N183*(1+E184)))</f>
        <v/>
      </c>
      <c r="O184" s="37">
        <f>IF(F184="","",IF(O183="",100,O183*(1+F184)))</f>
        <v/>
      </c>
      <c r="P184" s="37">
        <f>IF(G184="","",IF(P183="",100,P183*(1+G184)))</f>
        <v/>
      </c>
    </row>
  </sheetData>
  <mergeCells count="1">
    <mergeCell ref="B3:P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AN184"/>
  <sheetViews>
    <sheetView showGridLines="0" workbookViewId="0">
      <selection activeCell="A1" sqref="A1"/>
    </sheetView>
  </sheetViews>
  <sheetFormatPr baseColWidth="8" defaultRowHeight="15"/>
  <cols>
    <col width="2" customWidth="1" min="1" max="1"/>
    <col width="1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s>
  <sheetData>
    <row r="2">
      <c r="B2" s="1" t="inlineStr">
        <is>
          <t>AIDE AU CALCUL - fenêtres glissantes et pertes maximales</t>
        </is>
      </c>
    </row>
    <row r="3" ht="42" customHeight="1">
      <c r="B3" s="2" t="inlineStr">
        <is>
          <t>Formules intermédiaires : performance sur la fenêtre paramétrée et drawdown par rapport au plus haut historique, pour chaque titre puis pour les composites.</t>
        </is>
      </c>
    </row>
    <row r="5" ht="30" customHeight="1">
      <c r="B5" s="3" t="inlineStr">
        <is>
          <t>Mois</t>
        </is>
      </c>
      <c r="C5" s="4" t="inlineStr">
        <is>
          <t>NasdaqGM:IGF fenêtre</t>
        </is>
      </c>
      <c r="D5" s="4" t="inlineStr">
        <is>
          <t>LSE:INFR fenêtre</t>
        </is>
      </c>
      <c r="E5" s="4" t="inlineStr">
        <is>
          <t>LSE:3IN fenêtre</t>
        </is>
      </c>
      <c r="F5" s="4" t="inlineStr">
        <is>
          <t>LSE:HICL fenêtre</t>
        </is>
      </c>
      <c r="G5" s="4" t="inlineStr">
        <is>
          <t>LSE:INPP fenêtre</t>
        </is>
      </c>
      <c r="H5" s="4" t="inlineStr">
        <is>
          <t>LSE:SEQI fenêtre</t>
        </is>
      </c>
      <c r="I5" s="4" t="inlineStr">
        <is>
          <t>LSE:GCP fenêtre</t>
        </is>
      </c>
      <c r="J5" s="4" t="inlineStr">
        <is>
          <t>NYSE:BIP fenêtre</t>
        </is>
      </c>
      <c r="K5" s="4" t="inlineStr">
        <is>
          <t>KOSE:A088980 fenêtre</t>
        </is>
      </c>
      <c r="L5" s="4" t="inlineStr">
        <is>
          <t>ARCA:BKLN fenêtre</t>
        </is>
      </c>
      <c r="M5" s="4" t="inlineStr">
        <is>
          <t>ARCA:HYG fenêtre</t>
        </is>
      </c>
      <c r="N5" s="4" t="inlineStr">
        <is>
          <t>LSE:IHYG fenêtre</t>
        </is>
      </c>
      <c r="O5" s="4" t="inlineStr">
        <is>
          <t>NasdaqGS:ARCC fenêtre</t>
        </is>
      </c>
      <c r="P5" s="4" t="inlineStr">
        <is>
          <t>ARCA:BIZD fenêtre</t>
        </is>
      </c>
      <c r="Q5" s="4" t="inlineStr">
        <is>
          <t>C1 fenêtre</t>
        </is>
      </c>
      <c r="R5" s="4" t="inlineStr">
        <is>
          <t>C2 fenêtre</t>
        </is>
      </c>
      <c r="S5" s="4" t="inlineStr">
        <is>
          <t>C3 fenêtre</t>
        </is>
      </c>
      <c r="T5" s="4" t="inlineStr">
        <is>
          <t>C4 fenêtre</t>
        </is>
      </c>
      <c r="U5" s="4" t="inlineStr">
        <is>
          <t>Portefeuille fenêtre</t>
        </is>
      </c>
      <c r="V5" s="4" t="inlineStr">
        <is>
          <t>NasdaqGM:IGF drawdown</t>
        </is>
      </c>
      <c r="W5" s="4" t="inlineStr">
        <is>
          <t>LSE:INFR drawdown</t>
        </is>
      </c>
      <c r="X5" s="4" t="inlineStr">
        <is>
          <t>LSE:3IN drawdown</t>
        </is>
      </c>
      <c r="Y5" s="4" t="inlineStr">
        <is>
          <t>LSE:HICL drawdown</t>
        </is>
      </c>
      <c r="Z5" s="4" t="inlineStr">
        <is>
          <t>LSE:INPP drawdown</t>
        </is>
      </c>
      <c r="AA5" s="4" t="inlineStr">
        <is>
          <t>LSE:SEQI drawdown</t>
        </is>
      </c>
      <c r="AB5" s="4" t="inlineStr">
        <is>
          <t>LSE:GCP drawdown</t>
        </is>
      </c>
      <c r="AC5" s="4" t="inlineStr">
        <is>
          <t>NYSE:BIP drawdown</t>
        </is>
      </c>
      <c r="AD5" s="4" t="inlineStr">
        <is>
          <t>KOSE:A088980 drawdown</t>
        </is>
      </c>
      <c r="AE5" s="4" t="inlineStr">
        <is>
          <t>ARCA:BKLN drawdown</t>
        </is>
      </c>
      <c r="AF5" s="4" t="inlineStr">
        <is>
          <t>ARCA:HYG drawdown</t>
        </is>
      </c>
      <c r="AG5" s="4" t="inlineStr">
        <is>
          <t>LSE:IHYG drawdown</t>
        </is>
      </c>
      <c r="AH5" s="4" t="inlineStr">
        <is>
          <t>NasdaqGS:ARCC drawdown</t>
        </is>
      </c>
      <c r="AI5" s="4" t="inlineStr">
        <is>
          <t>ARCA:BIZD drawdown</t>
        </is>
      </c>
      <c r="AJ5" s="4" t="inlineStr">
        <is>
          <t>C1 drawdown</t>
        </is>
      </c>
      <c r="AK5" s="4" t="inlineStr">
        <is>
          <t>C2 drawdown</t>
        </is>
      </c>
      <c r="AL5" s="4" t="inlineStr">
        <is>
          <t>C3 drawdown</t>
        </is>
      </c>
      <c r="AM5" s="4" t="inlineStr">
        <is>
          <t>C4 drawdown</t>
        </is>
      </c>
      <c r="AN5" s="4" t="inlineStr">
        <is>
          <t>Portefeuille drawdown</t>
        </is>
      </c>
    </row>
    <row r="6">
      <c r="B6" s="32">
        <f>'Historique ajusté'!B6</f>
        <v/>
      </c>
      <c r="C6" s="34">
        <f>""</f>
        <v/>
      </c>
      <c r="D6" s="34">
        <f>""</f>
        <v/>
      </c>
      <c r="E6" s="34">
        <f>""</f>
        <v/>
      </c>
      <c r="F6" s="34">
        <f>""</f>
        <v/>
      </c>
      <c r="G6" s="34">
        <f>""</f>
        <v/>
      </c>
      <c r="H6" s="34">
        <f>""</f>
        <v/>
      </c>
      <c r="I6" s="34">
        <f>""</f>
        <v/>
      </c>
      <c r="J6" s="34">
        <f>""</f>
        <v/>
      </c>
      <c r="K6" s="34">
        <f>""</f>
        <v/>
      </c>
      <c r="L6" s="34">
        <f>""</f>
        <v/>
      </c>
      <c r="M6" s="34">
        <f>""</f>
        <v/>
      </c>
      <c r="N6" s="34">
        <f>""</f>
        <v/>
      </c>
      <c r="O6" s="34">
        <f>""</f>
        <v/>
      </c>
      <c r="P6" s="34">
        <f>""</f>
        <v/>
      </c>
      <c r="Q6" s="34">
        <f>""</f>
        <v/>
      </c>
      <c r="R6" s="34">
        <f>""</f>
        <v/>
      </c>
      <c r="S6" s="34">
        <f>""</f>
        <v/>
      </c>
      <c r="T6" s="34">
        <f>""</f>
        <v/>
      </c>
      <c r="U6" s="34">
        <f>""</f>
        <v/>
      </c>
      <c r="V6" s="34">
        <f>IF('Historique ajusté'!C6="","",'Historique ajusté'!C6/MAX('Historique ajusté'!C$6:C6)-1)</f>
        <v/>
      </c>
      <c r="W6" s="34">
        <f>IF('Historique ajusté'!D6="","",'Historique ajusté'!D6/MAX('Historique ajusté'!D$6:D6)-1)</f>
        <v/>
      </c>
      <c r="X6" s="34">
        <f>IF('Historique ajusté'!E6="","",'Historique ajusté'!E6/MAX('Historique ajusté'!E$6:E6)-1)</f>
        <v/>
      </c>
      <c r="Y6" s="34">
        <f>IF('Historique ajusté'!F6="","",'Historique ajusté'!F6/MAX('Historique ajusté'!F$6:F6)-1)</f>
        <v/>
      </c>
      <c r="Z6" s="34">
        <f>IF('Historique ajusté'!G6="","",'Historique ajusté'!G6/MAX('Historique ajusté'!G$6:G6)-1)</f>
        <v/>
      </c>
      <c r="AA6" s="34">
        <f>IF('Historique ajusté'!H6="","",'Historique ajusté'!H6/MAX('Historique ajusté'!H$6:H6)-1)</f>
        <v/>
      </c>
      <c r="AB6" s="34">
        <f>IF('Historique ajusté'!I6="","",'Historique ajusté'!I6/MAX('Historique ajusté'!I$6:I6)-1)</f>
        <v/>
      </c>
      <c r="AC6" s="34">
        <f>IF('Historique ajusté'!J6="","",'Historique ajusté'!J6/MAX('Historique ajusté'!J$6:J6)-1)</f>
        <v/>
      </c>
      <c r="AD6" s="34">
        <f>IF('Historique ajusté'!K6="","",'Historique ajusté'!K6/MAX('Historique ajusté'!K$6:K6)-1)</f>
        <v/>
      </c>
      <c r="AE6" s="34">
        <f>IF('Historique ajusté'!L6="","",'Historique ajusté'!L6/MAX('Historique ajusté'!L$6:L6)-1)</f>
        <v/>
      </c>
      <c r="AF6" s="34">
        <f>IF('Historique ajusté'!M6="","",'Historique ajusté'!M6/MAX('Historique ajusté'!M$6:M6)-1)</f>
        <v/>
      </c>
      <c r="AG6" s="34">
        <f>IF('Historique ajusté'!N6="","",'Historique ajusté'!N6/MAX('Historique ajusté'!N$6:N6)-1)</f>
        <v/>
      </c>
      <c r="AH6" s="34">
        <f>IF('Historique ajusté'!O6="","",'Historique ajusté'!O6/MAX('Historique ajusté'!O$6:O6)-1)</f>
        <v/>
      </c>
      <c r="AI6" s="34">
        <f>IF('Historique ajusté'!P6="","",'Historique ajusté'!P6/MAX('Historique ajusté'!P$6:P6)-1)</f>
        <v/>
      </c>
      <c r="AJ6" s="34">
        <f>IF(Composites!L6="","",Composites!L6/MAX(Composites!L$6:L6)-1)</f>
        <v/>
      </c>
      <c r="AK6" s="34">
        <f>IF(Composites!M6="","",Composites!M6/MAX(Composites!M$6:M6)-1)</f>
        <v/>
      </c>
      <c r="AL6" s="34">
        <f>IF(Composites!N6="","",Composites!N6/MAX(Composites!N$6:N6)-1)</f>
        <v/>
      </c>
      <c r="AM6" s="34">
        <f>IF(Composites!O6="","",Composites!O6/MAX(Composites!O$6:O6)-1)</f>
        <v/>
      </c>
      <c r="AN6" s="34">
        <f>IF(Composites!P6="","",Composites!P6/MAX(Composites!P$6:P6)-1)</f>
        <v/>
      </c>
    </row>
    <row r="7">
      <c r="B7" s="32">
        <f>'Historique ajusté'!B7</f>
        <v/>
      </c>
      <c r="C7" s="34">
        <f>IF(OR('Historique ajusté'!C7="",ROW()-Fenetre&lt;6),"",IF(INDEX('Historique ajusté'!C:C,ROW()-Fenetre)="","",'Historique ajusté'!C7/INDEX('Historique ajusté'!C:C,ROW()-Fenetre)-1))</f>
        <v/>
      </c>
      <c r="D7" s="34">
        <f>IF(OR('Historique ajusté'!D7="",ROW()-Fenetre&lt;6),"",IF(INDEX('Historique ajusté'!D:D,ROW()-Fenetre)="","",'Historique ajusté'!D7/INDEX('Historique ajusté'!D:D,ROW()-Fenetre)-1))</f>
        <v/>
      </c>
      <c r="E7" s="34">
        <f>IF(OR('Historique ajusté'!E7="",ROW()-Fenetre&lt;6),"",IF(INDEX('Historique ajusté'!E:E,ROW()-Fenetre)="","",'Historique ajusté'!E7/INDEX('Historique ajusté'!E:E,ROW()-Fenetre)-1))</f>
        <v/>
      </c>
      <c r="F7" s="34">
        <f>IF(OR('Historique ajusté'!F7="",ROW()-Fenetre&lt;6),"",IF(INDEX('Historique ajusté'!F:F,ROW()-Fenetre)="","",'Historique ajusté'!F7/INDEX('Historique ajusté'!F:F,ROW()-Fenetre)-1))</f>
        <v/>
      </c>
      <c r="G7" s="34">
        <f>IF(OR('Historique ajusté'!G7="",ROW()-Fenetre&lt;6),"",IF(INDEX('Historique ajusté'!G:G,ROW()-Fenetre)="","",'Historique ajusté'!G7/INDEX('Historique ajusté'!G:G,ROW()-Fenetre)-1))</f>
        <v/>
      </c>
      <c r="H7" s="34">
        <f>IF(OR('Historique ajusté'!H7="",ROW()-Fenetre&lt;6),"",IF(INDEX('Historique ajusté'!H:H,ROW()-Fenetre)="","",'Historique ajusté'!H7/INDEX('Historique ajusté'!H:H,ROW()-Fenetre)-1))</f>
        <v/>
      </c>
      <c r="I7" s="34">
        <f>IF(OR('Historique ajusté'!I7="",ROW()-Fenetre&lt;6),"",IF(INDEX('Historique ajusté'!I:I,ROW()-Fenetre)="","",'Historique ajusté'!I7/INDEX('Historique ajusté'!I:I,ROW()-Fenetre)-1))</f>
        <v/>
      </c>
      <c r="J7" s="34">
        <f>IF(OR('Historique ajusté'!J7="",ROW()-Fenetre&lt;6),"",IF(INDEX('Historique ajusté'!J:J,ROW()-Fenetre)="","",'Historique ajusté'!J7/INDEX('Historique ajusté'!J:J,ROW()-Fenetre)-1))</f>
        <v/>
      </c>
      <c r="K7" s="34">
        <f>IF(OR('Historique ajusté'!K7="",ROW()-Fenetre&lt;6),"",IF(INDEX('Historique ajusté'!K:K,ROW()-Fenetre)="","",'Historique ajusté'!K7/INDEX('Historique ajusté'!K:K,ROW()-Fenetre)-1))</f>
        <v/>
      </c>
      <c r="L7" s="34">
        <f>IF(OR('Historique ajusté'!L7="",ROW()-Fenetre&lt;6),"",IF(INDEX('Historique ajusté'!L:L,ROW()-Fenetre)="","",'Historique ajusté'!L7/INDEX('Historique ajusté'!L:L,ROW()-Fenetre)-1))</f>
        <v/>
      </c>
      <c r="M7" s="34">
        <f>IF(OR('Historique ajusté'!M7="",ROW()-Fenetre&lt;6),"",IF(INDEX('Historique ajusté'!M:M,ROW()-Fenetre)="","",'Historique ajusté'!M7/INDEX('Historique ajusté'!M:M,ROW()-Fenetre)-1))</f>
        <v/>
      </c>
      <c r="N7" s="34">
        <f>IF(OR('Historique ajusté'!N7="",ROW()-Fenetre&lt;6),"",IF(INDEX('Historique ajusté'!N:N,ROW()-Fenetre)="","",'Historique ajusté'!N7/INDEX('Historique ajusté'!N:N,ROW()-Fenetre)-1))</f>
        <v/>
      </c>
      <c r="O7" s="34">
        <f>IF(OR('Historique ajusté'!O7="",ROW()-Fenetre&lt;6),"",IF(INDEX('Historique ajusté'!O:O,ROW()-Fenetre)="","",'Historique ajusté'!O7/INDEX('Historique ajusté'!O:O,ROW()-Fenetre)-1))</f>
        <v/>
      </c>
      <c r="P7" s="34">
        <f>IF(OR('Historique ajusté'!P7="",ROW()-Fenetre&lt;6),"",IF(INDEX('Historique ajusté'!P:P,ROW()-Fenetre)="","",'Historique ajusté'!P7/INDEX('Historique ajusté'!P:P,ROW()-Fenetre)-1))</f>
        <v/>
      </c>
      <c r="Q7" s="34">
        <f>IF(OR(Composites!L7="",ROW()-Fenetre&lt;6),"",IF(INDEX(Composites!L:L,ROW()-Fenetre)="","",Composites!L7/INDEX(Composites!L:L,ROW()-Fenetre)-1))</f>
        <v/>
      </c>
      <c r="R7" s="34">
        <f>IF(OR(Composites!M7="",ROW()-Fenetre&lt;6),"",IF(INDEX(Composites!M:M,ROW()-Fenetre)="","",Composites!M7/INDEX(Composites!M:M,ROW()-Fenetre)-1))</f>
        <v/>
      </c>
      <c r="S7" s="34">
        <f>IF(OR(Composites!N7="",ROW()-Fenetre&lt;6),"",IF(INDEX(Composites!N:N,ROW()-Fenetre)="","",Composites!N7/INDEX(Composites!N:N,ROW()-Fenetre)-1))</f>
        <v/>
      </c>
      <c r="T7" s="34">
        <f>IF(OR(Composites!O7="",ROW()-Fenetre&lt;6),"",IF(INDEX(Composites!O:O,ROW()-Fenetre)="","",Composites!O7/INDEX(Composites!O:O,ROW()-Fenetre)-1))</f>
        <v/>
      </c>
      <c r="U7" s="34">
        <f>IF(OR(Composites!P7="",ROW()-Fenetre&lt;6),"",IF(INDEX(Composites!P:P,ROW()-Fenetre)="","",Composites!P7/INDEX(Composites!P:P,ROW()-Fenetre)-1))</f>
        <v/>
      </c>
      <c r="V7" s="34">
        <f>IF('Historique ajusté'!C7="","",'Historique ajusté'!C7/MAX('Historique ajusté'!C$6:C7)-1)</f>
        <v/>
      </c>
      <c r="W7" s="34">
        <f>IF('Historique ajusté'!D7="","",'Historique ajusté'!D7/MAX('Historique ajusté'!D$6:D7)-1)</f>
        <v/>
      </c>
      <c r="X7" s="34">
        <f>IF('Historique ajusté'!E7="","",'Historique ajusté'!E7/MAX('Historique ajusté'!E$6:E7)-1)</f>
        <v/>
      </c>
      <c r="Y7" s="34">
        <f>IF('Historique ajusté'!F7="","",'Historique ajusté'!F7/MAX('Historique ajusté'!F$6:F7)-1)</f>
        <v/>
      </c>
      <c r="Z7" s="34">
        <f>IF('Historique ajusté'!G7="","",'Historique ajusté'!G7/MAX('Historique ajusté'!G$6:G7)-1)</f>
        <v/>
      </c>
      <c r="AA7" s="34">
        <f>IF('Historique ajusté'!H7="","",'Historique ajusté'!H7/MAX('Historique ajusté'!H$6:H7)-1)</f>
        <v/>
      </c>
      <c r="AB7" s="34">
        <f>IF('Historique ajusté'!I7="","",'Historique ajusté'!I7/MAX('Historique ajusté'!I$6:I7)-1)</f>
        <v/>
      </c>
      <c r="AC7" s="34">
        <f>IF('Historique ajusté'!J7="","",'Historique ajusté'!J7/MAX('Historique ajusté'!J$6:J7)-1)</f>
        <v/>
      </c>
      <c r="AD7" s="34">
        <f>IF('Historique ajusté'!K7="","",'Historique ajusté'!K7/MAX('Historique ajusté'!K$6:K7)-1)</f>
        <v/>
      </c>
      <c r="AE7" s="34">
        <f>IF('Historique ajusté'!L7="","",'Historique ajusté'!L7/MAX('Historique ajusté'!L$6:L7)-1)</f>
        <v/>
      </c>
      <c r="AF7" s="34">
        <f>IF('Historique ajusté'!M7="","",'Historique ajusté'!M7/MAX('Historique ajusté'!M$6:M7)-1)</f>
        <v/>
      </c>
      <c r="AG7" s="34">
        <f>IF('Historique ajusté'!N7="","",'Historique ajusté'!N7/MAX('Historique ajusté'!N$6:N7)-1)</f>
        <v/>
      </c>
      <c r="AH7" s="34">
        <f>IF('Historique ajusté'!O7="","",'Historique ajusté'!O7/MAX('Historique ajusté'!O$6:O7)-1)</f>
        <v/>
      </c>
      <c r="AI7" s="34">
        <f>IF('Historique ajusté'!P7="","",'Historique ajusté'!P7/MAX('Historique ajusté'!P$6:P7)-1)</f>
        <v/>
      </c>
      <c r="AJ7" s="34">
        <f>IF(Composites!L7="","",Composites!L7/MAX(Composites!L$6:L7)-1)</f>
        <v/>
      </c>
      <c r="AK7" s="34">
        <f>IF(Composites!M7="","",Composites!M7/MAX(Composites!M$6:M7)-1)</f>
        <v/>
      </c>
      <c r="AL7" s="34">
        <f>IF(Composites!N7="","",Composites!N7/MAX(Composites!N$6:N7)-1)</f>
        <v/>
      </c>
      <c r="AM7" s="34">
        <f>IF(Composites!O7="","",Composites!O7/MAX(Composites!O$6:O7)-1)</f>
        <v/>
      </c>
      <c r="AN7" s="34">
        <f>IF(Composites!P7="","",Composites!P7/MAX(Composites!P$6:P7)-1)</f>
        <v/>
      </c>
    </row>
    <row r="8">
      <c r="B8" s="32">
        <f>'Historique ajusté'!B8</f>
        <v/>
      </c>
      <c r="C8" s="34">
        <f>IF(OR('Historique ajusté'!C8="",ROW()-Fenetre&lt;6),"",IF(INDEX('Historique ajusté'!C:C,ROW()-Fenetre)="","",'Historique ajusté'!C8/INDEX('Historique ajusté'!C:C,ROW()-Fenetre)-1))</f>
        <v/>
      </c>
      <c r="D8" s="34">
        <f>IF(OR('Historique ajusté'!D8="",ROW()-Fenetre&lt;6),"",IF(INDEX('Historique ajusté'!D:D,ROW()-Fenetre)="","",'Historique ajusté'!D8/INDEX('Historique ajusté'!D:D,ROW()-Fenetre)-1))</f>
        <v/>
      </c>
      <c r="E8" s="34">
        <f>IF(OR('Historique ajusté'!E8="",ROW()-Fenetre&lt;6),"",IF(INDEX('Historique ajusté'!E:E,ROW()-Fenetre)="","",'Historique ajusté'!E8/INDEX('Historique ajusté'!E:E,ROW()-Fenetre)-1))</f>
        <v/>
      </c>
      <c r="F8" s="34">
        <f>IF(OR('Historique ajusté'!F8="",ROW()-Fenetre&lt;6),"",IF(INDEX('Historique ajusté'!F:F,ROW()-Fenetre)="","",'Historique ajusté'!F8/INDEX('Historique ajusté'!F:F,ROW()-Fenetre)-1))</f>
        <v/>
      </c>
      <c r="G8" s="34">
        <f>IF(OR('Historique ajusté'!G8="",ROW()-Fenetre&lt;6),"",IF(INDEX('Historique ajusté'!G:G,ROW()-Fenetre)="","",'Historique ajusté'!G8/INDEX('Historique ajusté'!G:G,ROW()-Fenetre)-1))</f>
        <v/>
      </c>
      <c r="H8" s="34">
        <f>IF(OR('Historique ajusté'!H8="",ROW()-Fenetre&lt;6),"",IF(INDEX('Historique ajusté'!H:H,ROW()-Fenetre)="","",'Historique ajusté'!H8/INDEX('Historique ajusté'!H:H,ROW()-Fenetre)-1))</f>
        <v/>
      </c>
      <c r="I8" s="34">
        <f>IF(OR('Historique ajusté'!I8="",ROW()-Fenetre&lt;6),"",IF(INDEX('Historique ajusté'!I:I,ROW()-Fenetre)="","",'Historique ajusté'!I8/INDEX('Historique ajusté'!I:I,ROW()-Fenetre)-1))</f>
        <v/>
      </c>
      <c r="J8" s="34">
        <f>IF(OR('Historique ajusté'!J8="",ROW()-Fenetre&lt;6),"",IF(INDEX('Historique ajusté'!J:J,ROW()-Fenetre)="","",'Historique ajusté'!J8/INDEX('Historique ajusté'!J:J,ROW()-Fenetre)-1))</f>
        <v/>
      </c>
      <c r="K8" s="34">
        <f>IF(OR('Historique ajusté'!K8="",ROW()-Fenetre&lt;6),"",IF(INDEX('Historique ajusté'!K:K,ROW()-Fenetre)="","",'Historique ajusté'!K8/INDEX('Historique ajusté'!K:K,ROW()-Fenetre)-1))</f>
        <v/>
      </c>
      <c r="L8" s="34">
        <f>IF(OR('Historique ajusté'!L8="",ROW()-Fenetre&lt;6),"",IF(INDEX('Historique ajusté'!L:L,ROW()-Fenetre)="","",'Historique ajusté'!L8/INDEX('Historique ajusté'!L:L,ROW()-Fenetre)-1))</f>
        <v/>
      </c>
      <c r="M8" s="34">
        <f>IF(OR('Historique ajusté'!M8="",ROW()-Fenetre&lt;6),"",IF(INDEX('Historique ajusté'!M:M,ROW()-Fenetre)="","",'Historique ajusté'!M8/INDEX('Historique ajusté'!M:M,ROW()-Fenetre)-1))</f>
        <v/>
      </c>
      <c r="N8" s="34">
        <f>IF(OR('Historique ajusté'!N8="",ROW()-Fenetre&lt;6),"",IF(INDEX('Historique ajusté'!N:N,ROW()-Fenetre)="","",'Historique ajusté'!N8/INDEX('Historique ajusté'!N:N,ROW()-Fenetre)-1))</f>
        <v/>
      </c>
      <c r="O8" s="34">
        <f>IF(OR('Historique ajusté'!O8="",ROW()-Fenetre&lt;6),"",IF(INDEX('Historique ajusté'!O:O,ROW()-Fenetre)="","",'Historique ajusté'!O8/INDEX('Historique ajusté'!O:O,ROW()-Fenetre)-1))</f>
        <v/>
      </c>
      <c r="P8" s="34">
        <f>IF(OR('Historique ajusté'!P8="",ROW()-Fenetre&lt;6),"",IF(INDEX('Historique ajusté'!P:P,ROW()-Fenetre)="","",'Historique ajusté'!P8/INDEX('Historique ajusté'!P:P,ROW()-Fenetre)-1))</f>
        <v/>
      </c>
      <c r="Q8" s="34">
        <f>IF(OR(Composites!L8="",ROW()-Fenetre&lt;6),"",IF(INDEX(Composites!L:L,ROW()-Fenetre)="","",Composites!L8/INDEX(Composites!L:L,ROW()-Fenetre)-1))</f>
        <v/>
      </c>
      <c r="R8" s="34">
        <f>IF(OR(Composites!M8="",ROW()-Fenetre&lt;6),"",IF(INDEX(Composites!M:M,ROW()-Fenetre)="","",Composites!M8/INDEX(Composites!M:M,ROW()-Fenetre)-1))</f>
        <v/>
      </c>
      <c r="S8" s="34">
        <f>IF(OR(Composites!N8="",ROW()-Fenetre&lt;6),"",IF(INDEX(Composites!N:N,ROW()-Fenetre)="","",Composites!N8/INDEX(Composites!N:N,ROW()-Fenetre)-1))</f>
        <v/>
      </c>
      <c r="T8" s="34">
        <f>IF(OR(Composites!O8="",ROW()-Fenetre&lt;6),"",IF(INDEX(Composites!O:O,ROW()-Fenetre)="","",Composites!O8/INDEX(Composites!O:O,ROW()-Fenetre)-1))</f>
        <v/>
      </c>
      <c r="U8" s="34">
        <f>IF(OR(Composites!P8="",ROW()-Fenetre&lt;6),"",IF(INDEX(Composites!P:P,ROW()-Fenetre)="","",Composites!P8/INDEX(Composites!P:P,ROW()-Fenetre)-1))</f>
        <v/>
      </c>
      <c r="V8" s="34">
        <f>IF('Historique ajusté'!C8="","",'Historique ajusté'!C8/MAX('Historique ajusté'!C$6:C8)-1)</f>
        <v/>
      </c>
      <c r="W8" s="34">
        <f>IF('Historique ajusté'!D8="","",'Historique ajusté'!D8/MAX('Historique ajusté'!D$6:D8)-1)</f>
        <v/>
      </c>
      <c r="X8" s="34">
        <f>IF('Historique ajusté'!E8="","",'Historique ajusté'!E8/MAX('Historique ajusté'!E$6:E8)-1)</f>
        <v/>
      </c>
      <c r="Y8" s="34">
        <f>IF('Historique ajusté'!F8="","",'Historique ajusté'!F8/MAX('Historique ajusté'!F$6:F8)-1)</f>
        <v/>
      </c>
      <c r="Z8" s="34">
        <f>IF('Historique ajusté'!G8="","",'Historique ajusté'!G8/MAX('Historique ajusté'!G$6:G8)-1)</f>
        <v/>
      </c>
      <c r="AA8" s="34">
        <f>IF('Historique ajusté'!H8="","",'Historique ajusté'!H8/MAX('Historique ajusté'!H$6:H8)-1)</f>
        <v/>
      </c>
      <c r="AB8" s="34">
        <f>IF('Historique ajusté'!I8="","",'Historique ajusté'!I8/MAX('Historique ajusté'!I$6:I8)-1)</f>
        <v/>
      </c>
      <c r="AC8" s="34">
        <f>IF('Historique ajusté'!J8="","",'Historique ajusté'!J8/MAX('Historique ajusté'!J$6:J8)-1)</f>
        <v/>
      </c>
      <c r="AD8" s="34">
        <f>IF('Historique ajusté'!K8="","",'Historique ajusté'!K8/MAX('Historique ajusté'!K$6:K8)-1)</f>
        <v/>
      </c>
      <c r="AE8" s="34">
        <f>IF('Historique ajusté'!L8="","",'Historique ajusté'!L8/MAX('Historique ajusté'!L$6:L8)-1)</f>
        <v/>
      </c>
      <c r="AF8" s="34">
        <f>IF('Historique ajusté'!M8="","",'Historique ajusté'!M8/MAX('Historique ajusté'!M$6:M8)-1)</f>
        <v/>
      </c>
      <c r="AG8" s="34">
        <f>IF('Historique ajusté'!N8="","",'Historique ajusté'!N8/MAX('Historique ajusté'!N$6:N8)-1)</f>
        <v/>
      </c>
      <c r="AH8" s="34">
        <f>IF('Historique ajusté'!O8="","",'Historique ajusté'!O8/MAX('Historique ajusté'!O$6:O8)-1)</f>
        <v/>
      </c>
      <c r="AI8" s="34">
        <f>IF('Historique ajusté'!P8="","",'Historique ajusté'!P8/MAX('Historique ajusté'!P$6:P8)-1)</f>
        <v/>
      </c>
      <c r="AJ8" s="34">
        <f>IF(Composites!L8="","",Composites!L8/MAX(Composites!L$6:L8)-1)</f>
        <v/>
      </c>
      <c r="AK8" s="34">
        <f>IF(Composites!M8="","",Composites!M8/MAX(Composites!M$6:M8)-1)</f>
        <v/>
      </c>
      <c r="AL8" s="34">
        <f>IF(Composites!N8="","",Composites!N8/MAX(Composites!N$6:N8)-1)</f>
        <v/>
      </c>
      <c r="AM8" s="34">
        <f>IF(Composites!O8="","",Composites!O8/MAX(Composites!O$6:O8)-1)</f>
        <v/>
      </c>
      <c r="AN8" s="34">
        <f>IF(Composites!P8="","",Composites!P8/MAX(Composites!P$6:P8)-1)</f>
        <v/>
      </c>
    </row>
    <row r="9">
      <c r="B9" s="32">
        <f>'Historique ajusté'!B9</f>
        <v/>
      </c>
      <c r="C9" s="34">
        <f>IF(OR('Historique ajusté'!C9="",ROW()-Fenetre&lt;6),"",IF(INDEX('Historique ajusté'!C:C,ROW()-Fenetre)="","",'Historique ajusté'!C9/INDEX('Historique ajusté'!C:C,ROW()-Fenetre)-1))</f>
        <v/>
      </c>
      <c r="D9" s="34">
        <f>IF(OR('Historique ajusté'!D9="",ROW()-Fenetre&lt;6),"",IF(INDEX('Historique ajusté'!D:D,ROW()-Fenetre)="","",'Historique ajusté'!D9/INDEX('Historique ajusté'!D:D,ROW()-Fenetre)-1))</f>
        <v/>
      </c>
      <c r="E9" s="34">
        <f>IF(OR('Historique ajusté'!E9="",ROW()-Fenetre&lt;6),"",IF(INDEX('Historique ajusté'!E:E,ROW()-Fenetre)="","",'Historique ajusté'!E9/INDEX('Historique ajusté'!E:E,ROW()-Fenetre)-1))</f>
        <v/>
      </c>
      <c r="F9" s="34">
        <f>IF(OR('Historique ajusté'!F9="",ROW()-Fenetre&lt;6),"",IF(INDEX('Historique ajusté'!F:F,ROW()-Fenetre)="","",'Historique ajusté'!F9/INDEX('Historique ajusté'!F:F,ROW()-Fenetre)-1))</f>
        <v/>
      </c>
      <c r="G9" s="34">
        <f>IF(OR('Historique ajusté'!G9="",ROW()-Fenetre&lt;6),"",IF(INDEX('Historique ajusté'!G:G,ROW()-Fenetre)="","",'Historique ajusté'!G9/INDEX('Historique ajusté'!G:G,ROW()-Fenetre)-1))</f>
        <v/>
      </c>
      <c r="H9" s="34">
        <f>IF(OR('Historique ajusté'!H9="",ROW()-Fenetre&lt;6),"",IF(INDEX('Historique ajusté'!H:H,ROW()-Fenetre)="","",'Historique ajusté'!H9/INDEX('Historique ajusté'!H:H,ROW()-Fenetre)-1))</f>
        <v/>
      </c>
      <c r="I9" s="34">
        <f>IF(OR('Historique ajusté'!I9="",ROW()-Fenetre&lt;6),"",IF(INDEX('Historique ajusté'!I:I,ROW()-Fenetre)="","",'Historique ajusté'!I9/INDEX('Historique ajusté'!I:I,ROW()-Fenetre)-1))</f>
        <v/>
      </c>
      <c r="J9" s="34">
        <f>IF(OR('Historique ajusté'!J9="",ROW()-Fenetre&lt;6),"",IF(INDEX('Historique ajusté'!J:J,ROW()-Fenetre)="","",'Historique ajusté'!J9/INDEX('Historique ajusté'!J:J,ROW()-Fenetre)-1))</f>
        <v/>
      </c>
      <c r="K9" s="34">
        <f>IF(OR('Historique ajusté'!K9="",ROW()-Fenetre&lt;6),"",IF(INDEX('Historique ajusté'!K:K,ROW()-Fenetre)="","",'Historique ajusté'!K9/INDEX('Historique ajusté'!K:K,ROW()-Fenetre)-1))</f>
        <v/>
      </c>
      <c r="L9" s="34">
        <f>IF(OR('Historique ajusté'!L9="",ROW()-Fenetre&lt;6),"",IF(INDEX('Historique ajusté'!L:L,ROW()-Fenetre)="","",'Historique ajusté'!L9/INDEX('Historique ajusté'!L:L,ROW()-Fenetre)-1))</f>
        <v/>
      </c>
      <c r="M9" s="34">
        <f>IF(OR('Historique ajusté'!M9="",ROW()-Fenetre&lt;6),"",IF(INDEX('Historique ajusté'!M:M,ROW()-Fenetre)="","",'Historique ajusté'!M9/INDEX('Historique ajusté'!M:M,ROW()-Fenetre)-1))</f>
        <v/>
      </c>
      <c r="N9" s="34">
        <f>IF(OR('Historique ajusté'!N9="",ROW()-Fenetre&lt;6),"",IF(INDEX('Historique ajusté'!N:N,ROW()-Fenetre)="","",'Historique ajusté'!N9/INDEX('Historique ajusté'!N:N,ROW()-Fenetre)-1))</f>
        <v/>
      </c>
      <c r="O9" s="34">
        <f>IF(OR('Historique ajusté'!O9="",ROW()-Fenetre&lt;6),"",IF(INDEX('Historique ajusté'!O:O,ROW()-Fenetre)="","",'Historique ajusté'!O9/INDEX('Historique ajusté'!O:O,ROW()-Fenetre)-1))</f>
        <v/>
      </c>
      <c r="P9" s="34">
        <f>IF(OR('Historique ajusté'!P9="",ROW()-Fenetre&lt;6),"",IF(INDEX('Historique ajusté'!P:P,ROW()-Fenetre)="","",'Historique ajusté'!P9/INDEX('Historique ajusté'!P:P,ROW()-Fenetre)-1))</f>
        <v/>
      </c>
      <c r="Q9" s="34">
        <f>IF(OR(Composites!L9="",ROW()-Fenetre&lt;6),"",IF(INDEX(Composites!L:L,ROW()-Fenetre)="","",Composites!L9/INDEX(Composites!L:L,ROW()-Fenetre)-1))</f>
        <v/>
      </c>
      <c r="R9" s="34">
        <f>IF(OR(Composites!M9="",ROW()-Fenetre&lt;6),"",IF(INDEX(Composites!M:M,ROW()-Fenetre)="","",Composites!M9/INDEX(Composites!M:M,ROW()-Fenetre)-1))</f>
        <v/>
      </c>
      <c r="S9" s="34">
        <f>IF(OR(Composites!N9="",ROW()-Fenetre&lt;6),"",IF(INDEX(Composites!N:N,ROW()-Fenetre)="","",Composites!N9/INDEX(Composites!N:N,ROW()-Fenetre)-1))</f>
        <v/>
      </c>
      <c r="T9" s="34">
        <f>IF(OR(Composites!O9="",ROW()-Fenetre&lt;6),"",IF(INDEX(Composites!O:O,ROW()-Fenetre)="","",Composites!O9/INDEX(Composites!O:O,ROW()-Fenetre)-1))</f>
        <v/>
      </c>
      <c r="U9" s="34">
        <f>IF(OR(Composites!P9="",ROW()-Fenetre&lt;6),"",IF(INDEX(Composites!P:P,ROW()-Fenetre)="","",Composites!P9/INDEX(Composites!P:P,ROW()-Fenetre)-1))</f>
        <v/>
      </c>
      <c r="V9" s="34">
        <f>IF('Historique ajusté'!C9="","",'Historique ajusté'!C9/MAX('Historique ajusté'!C$6:C9)-1)</f>
        <v/>
      </c>
      <c r="W9" s="34">
        <f>IF('Historique ajusté'!D9="","",'Historique ajusté'!D9/MAX('Historique ajusté'!D$6:D9)-1)</f>
        <v/>
      </c>
      <c r="X9" s="34">
        <f>IF('Historique ajusté'!E9="","",'Historique ajusté'!E9/MAX('Historique ajusté'!E$6:E9)-1)</f>
        <v/>
      </c>
      <c r="Y9" s="34">
        <f>IF('Historique ajusté'!F9="","",'Historique ajusté'!F9/MAX('Historique ajusté'!F$6:F9)-1)</f>
        <v/>
      </c>
      <c r="Z9" s="34">
        <f>IF('Historique ajusté'!G9="","",'Historique ajusté'!G9/MAX('Historique ajusté'!G$6:G9)-1)</f>
        <v/>
      </c>
      <c r="AA9" s="34">
        <f>IF('Historique ajusté'!H9="","",'Historique ajusté'!H9/MAX('Historique ajusté'!H$6:H9)-1)</f>
        <v/>
      </c>
      <c r="AB9" s="34">
        <f>IF('Historique ajusté'!I9="","",'Historique ajusté'!I9/MAX('Historique ajusté'!I$6:I9)-1)</f>
        <v/>
      </c>
      <c r="AC9" s="34">
        <f>IF('Historique ajusté'!J9="","",'Historique ajusté'!J9/MAX('Historique ajusté'!J$6:J9)-1)</f>
        <v/>
      </c>
      <c r="AD9" s="34">
        <f>IF('Historique ajusté'!K9="","",'Historique ajusté'!K9/MAX('Historique ajusté'!K$6:K9)-1)</f>
        <v/>
      </c>
      <c r="AE9" s="34">
        <f>IF('Historique ajusté'!L9="","",'Historique ajusté'!L9/MAX('Historique ajusté'!L$6:L9)-1)</f>
        <v/>
      </c>
      <c r="AF9" s="34">
        <f>IF('Historique ajusté'!M9="","",'Historique ajusté'!M9/MAX('Historique ajusté'!M$6:M9)-1)</f>
        <v/>
      </c>
      <c r="AG9" s="34">
        <f>IF('Historique ajusté'!N9="","",'Historique ajusté'!N9/MAX('Historique ajusté'!N$6:N9)-1)</f>
        <v/>
      </c>
      <c r="AH9" s="34">
        <f>IF('Historique ajusté'!O9="","",'Historique ajusté'!O9/MAX('Historique ajusté'!O$6:O9)-1)</f>
        <v/>
      </c>
      <c r="AI9" s="34">
        <f>IF('Historique ajusté'!P9="","",'Historique ajusté'!P9/MAX('Historique ajusté'!P$6:P9)-1)</f>
        <v/>
      </c>
      <c r="AJ9" s="34">
        <f>IF(Composites!L9="","",Composites!L9/MAX(Composites!L$6:L9)-1)</f>
        <v/>
      </c>
      <c r="AK9" s="34">
        <f>IF(Composites!M9="","",Composites!M9/MAX(Composites!M$6:M9)-1)</f>
        <v/>
      </c>
      <c r="AL9" s="34">
        <f>IF(Composites!N9="","",Composites!N9/MAX(Composites!N$6:N9)-1)</f>
        <v/>
      </c>
      <c r="AM9" s="34">
        <f>IF(Composites!O9="","",Composites!O9/MAX(Composites!O$6:O9)-1)</f>
        <v/>
      </c>
      <c r="AN9" s="34">
        <f>IF(Composites!P9="","",Composites!P9/MAX(Composites!P$6:P9)-1)</f>
        <v/>
      </c>
    </row>
    <row r="10">
      <c r="B10" s="32">
        <f>'Historique ajusté'!B10</f>
        <v/>
      </c>
      <c r="C10" s="34">
        <f>IF(OR('Historique ajusté'!C10="",ROW()-Fenetre&lt;6),"",IF(INDEX('Historique ajusté'!C:C,ROW()-Fenetre)="","",'Historique ajusté'!C10/INDEX('Historique ajusté'!C:C,ROW()-Fenetre)-1))</f>
        <v/>
      </c>
      <c r="D10" s="34">
        <f>IF(OR('Historique ajusté'!D10="",ROW()-Fenetre&lt;6),"",IF(INDEX('Historique ajusté'!D:D,ROW()-Fenetre)="","",'Historique ajusté'!D10/INDEX('Historique ajusté'!D:D,ROW()-Fenetre)-1))</f>
        <v/>
      </c>
      <c r="E10" s="34">
        <f>IF(OR('Historique ajusté'!E10="",ROW()-Fenetre&lt;6),"",IF(INDEX('Historique ajusté'!E:E,ROW()-Fenetre)="","",'Historique ajusté'!E10/INDEX('Historique ajusté'!E:E,ROW()-Fenetre)-1))</f>
        <v/>
      </c>
      <c r="F10" s="34">
        <f>IF(OR('Historique ajusté'!F10="",ROW()-Fenetre&lt;6),"",IF(INDEX('Historique ajusté'!F:F,ROW()-Fenetre)="","",'Historique ajusté'!F10/INDEX('Historique ajusté'!F:F,ROW()-Fenetre)-1))</f>
        <v/>
      </c>
      <c r="G10" s="34">
        <f>IF(OR('Historique ajusté'!G10="",ROW()-Fenetre&lt;6),"",IF(INDEX('Historique ajusté'!G:G,ROW()-Fenetre)="","",'Historique ajusté'!G10/INDEX('Historique ajusté'!G:G,ROW()-Fenetre)-1))</f>
        <v/>
      </c>
      <c r="H10" s="34">
        <f>IF(OR('Historique ajusté'!H10="",ROW()-Fenetre&lt;6),"",IF(INDEX('Historique ajusté'!H:H,ROW()-Fenetre)="","",'Historique ajusté'!H10/INDEX('Historique ajusté'!H:H,ROW()-Fenetre)-1))</f>
        <v/>
      </c>
      <c r="I10" s="34">
        <f>IF(OR('Historique ajusté'!I10="",ROW()-Fenetre&lt;6),"",IF(INDEX('Historique ajusté'!I:I,ROW()-Fenetre)="","",'Historique ajusté'!I10/INDEX('Historique ajusté'!I:I,ROW()-Fenetre)-1))</f>
        <v/>
      </c>
      <c r="J10" s="34">
        <f>IF(OR('Historique ajusté'!J10="",ROW()-Fenetre&lt;6),"",IF(INDEX('Historique ajusté'!J:J,ROW()-Fenetre)="","",'Historique ajusté'!J10/INDEX('Historique ajusté'!J:J,ROW()-Fenetre)-1))</f>
        <v/>
      </c>
      <c r="K10" s="34">
        <f>IF(OR('Historique ajusté'!K10="",ROW()-Fenetre&lt;6),"",IF(INDEX('Historique ajusté'!K:K,ROW()-Fenetre)="","",'Historique ajusté'!K10/INDEX('Historique ajusté'!K:K,ROW()-Fenetre)-1))</f>
        <v/>
      </c>
      <c r="L10" s="34">
        <f>IF(OR('Historique ajusté'!L10="",ROW()-Fenetre&lt;6),"",IF(INDEX('Historique ajusté'!L:L,ROW()-Fenetre)="","",'Historique ajusté'!L10/INDEX('Historique ajusté'!L:L,ROW()-Fenetre)-1))</f>
        <v/>
      </c>
      <c r="M10" s="34">
        <f>IF(OR('Historique ajusté'!M10="",ROW()-Fenetre&lt;6),"",IF(INDEX('Historique ajusté'!M:M,ROW()-Fenetre)="","",'Historique ajusté'!M10/INDEX('Historique ajusté'!M:M,ROW()-Fenetre)-1))</f>
        <v/>
      </c>
      <c r="N10" s="34">
        <f>IF(OR('Historique ajusté'!N10="",ROW()-Fenetre&lt;6),"",IF(INDEX('Historique ajusté'!N:N,ROW()-Fenetre)="","",'Historique ajusté'!N10/INDEX('Historique ajusté'!N:N,ROW()-Fenetre)-1))</f>
        <v/>
      </c>
      <c r="O10" s="34">
        <f>IF(OR('Historique ajusté'!O10="",ROW()-Fenetre&lt;6),"",IF(INDEX('Historique ajusté'!O:O,ROW()-Fenetre)="","",'Historique ajusté'!O10/INDEX('Historique ajusté'!O:O,ROW()-Fenetre)-1))</f>
        <v/>
      </c>
      <c r="P10" s="34">
        <f>IF(OR('Historique ajusté'!P10="",ROW()-Fenetre&lt;6),"",IF(INDEX('Historique ajusté'!P:P,ROW()-Fenetre)="","",'Historique ajusté'!P10/INDEX('Historique ajusté'!P:P,ROW()-Fenetre)-1))</f>
        <v/>
      </c>
      <c r="Q10" s="34">
        <f>IF(OR(Composites!L10="",ROW()-Fenetre&lt;6),"",IF(INDEX(Composites!L:L,ROW()-Fenetre)="","",Composites!L10/INDEX(Composites!L:L,ROW()-Fenetre)-1))</f>
        <v/>
      </c>
      <c r="R10" s="34">
        <f>IF(OR(Composites!M10="",ROW()-Fenetre&lt;6),"",IF(INDEX(Composites!M:M,ROW()-Fenetre)="","",Composites!M10/INDEX(Composites!M:M,ROW()-Fenetre)-1))</f>
        <v/>
      </c>
      <c r="S10" s="34">
        <f>IF(OR(Composites!N10="",ROW()-Fenetre&lt;6),"",IF(INDEX(Composites!N:N,ROW()-Fenetre)="","",Composites!N10/INDEX(Composites!N:N,ROW()-Fenetre)-1))</f>
        <v/>
      </c>
      <c r="T10" s="34">
        <f>IF(OR(Composites!O10="",ROW()-Fenetre&lt;6),"",IF(INDEX(Composites!O:O,ROW()-Fenetre)="","",Composites!O10/INDEX(Composites!O:O,ROW()-Fenetre)-1))</f>
        <v/>
      </c>
      <c r="U10" s="34">
        <f>IF(OR(Composites!P10="",ROW()-Fenetre&lt;6),"",IF(INDEX(Composites!P:P,ROW()-Fenetre)="","",Composites!P10/INDEX(Composites!P:P,ROW()-Fenetre)-1))</f>
        <v/>
      </c>
      <c r="V10" s="34">
        <f>IF('Historique ajusté'!C10="","",'Historique ajusté'!C10/MAX('Historique ajusté'!C$6:C10)-1)</f>
        <v/>
      </c>
      <c r="W10" s="34">
        <f>IF('Historique ajusté'!D10="","",'Historique ajusté'!D10/MAX('Historique ajusté'!D$6:D10)-1)</f>
        <v/>
      </c>
      <c r="X10" s="34">
        <f>IF('Historique ajusté'!E10="","",'Historique ajusté'!E10/MAX('Historique ajusté'!E$6:E10)-1)</f>
        <v/>
      </c>
      <c r="Y10" s="34">
        <f>IF('Historique ajusté'!F10="","",'Historique ajusté'!F10/MAX('Historique ajusté'!F$6:F10)-1)</f>
        <v/>
      </c>
      <c r="Z10" s="34">
        <f>IF('Historique ajusté'!G10="","",'Historique ajusté'!G10/MAX('Historique ajusté'!G$6:G10)-1)</f>
        <v/>
      </c>
      <c r="AA10" s="34">
        <f>IF('Historique ajusté'!H10="","",'Historique ajusté'!H10/MAX('Historique ajusté'!H$6:H10)-1)</f>
        <v/>
      </c>
      <c r="AB10" s="34">
        <f>IF('Historique ajusté'!I10="","",'Historique ajusté'!I10/MAX('Historique ajusté'!I$6:I10)-1)</f>
        <v/>
      </c>
      <c r="AC10" s="34">
        <f>IF('Historique ajusté'!J10="","",'Historique ajusté'!J10/MAX('Historique ajusté'!J$6:J10)-1)</f>
        <v/>
      </c>
      <c r="AD10" s="34">
        <f>IF('Historique ajusté'!K10="","",'Historique ajusté'!K10/MAX('Historique ajusté'!K$6:K10)-1)</f>
        <v/>
      </c>
      <c r="AE10" s="34">
        <f>IF('Historique ajusté'!L10="","",'Historique ajusté'!L10/MAX('Historique ajusté'!L$6:L10)-1)</f>
        <v/>
      </c>
      <c r="AF10" s="34">
        <f>IF('Historique ajusté'!M10="","",'Historique ajusté'!M10/MAX('Historique ajusté'!M$6:M10)-1)</f>
        <v/>
      </c>
      <c r="AG10" s="34">
        <f>IF('Historique ajusté'!N10="","",'Historique ajusté'!N10/MAX('Historique ajusté'!N$6:N10)-1)</f>
        <v/>
      </c>
      <c r="AH10" s="34">
        <f>IF('Historique ajusté'!O10="","",'Historique ajusté'!O10/MAX('Historique ajusté'!O$6:O10)-1)</f>
        <v/>
      </c>
      <c r="AI10" s="34">
        <f>IF('Historique ajusté'!P10="","",'Historique ajusté'!P10/MAX('Historique ajusté'!P$6:P10)-1)</f>
        <v/>
      </c>
      <c r="AJ10" s="34">
        <f>IF(Composites!L10="","",Composites!L10/MAX(Composites!L$6:L10)-1)</f>
        <v/>
      </c>
      <c r="AK10" s="34">
        <f>IF(Composites!M10="","",Composites!M10/MAX(Composites!M$6:M10)-1)</f>
        <v/>
      </c>
      <c r="AL10" s="34">
        <f>IF(Composites!N10="","",Composites!N10/MAX(Composites!N$6:N10)-1)</f>
        <v/>
      </c>
      <c r="AM10" s="34">
        <f>IF(Composites!O10="","",Composites!O10/MAX(Composites!O$6:O10)-1)</f>
        <v/>
      </c>
      <c r="AN10" s="34">
        <f>IF(Composites!P10="","",Composites!P10/MAX(Composites!P$6:P10)-1)</f>
        <v/>
      </c>
    </row>
    <row r="11">
      <c r="B11" s="32">
        <f>'Historique ajusté'!B11</f>
        <v/>
      </c>
      <c r="C11" s="34">
        <f>IF(OR('Historique ajusté'!C11="",ROW()-Fenetre&lt;6),"",IF(INDEX('Historique ajusté'!C:C,ROW()-Fenetre)="","",'Historique ajusté'!C11/INDEX('Historique ajusté'!C:C,ROW()-Fenetre)-1))</f>
        <v/>
      </c>
      <c r="D11" s="34">
        <f>IF(OR('Historique ajusté'!D11="",ROW()-Fenetre&lt;6),"",IF(INDEX('Historique ajusté'!D:D,ROW()-Fenetre)="","",'Historique ajusté'!D11/INDEX('Historique ajusté'!D:D,ROW()-Fenetre)-1))</f>
        <v/>
      </c>
      <c r="E11" s="34">
        <f>IF(OR('Historique ajusté'!E11="",ROW()-Fenetre&lt;6),"",IF(INDEX('Historique ajusté'!E:E,ROW()-Fenetre)="","",'Historique ajusté'!E11/INDEX('Historique ajusté'!E:E,ROW()-Fenetre)-1))</f>
        <v/>
      </c>
      <c r="F11" s="34">
        <f>IF(OR('Historique ajusté'!F11="",ROW()-Fenetre&lt;6),"",IF(INDEX('Historique ajusté'!F:F,ROW()-Fenetre)="","",'Historique ajusté'!F11/INDEX('Historique ajusté'!F:F,ROW()-Fenetre)-1))</f>
        <v/>
      </c>
      <c r="G11" s="34">
        <f>IF(OR('Historique ajusté'!G11="",ROW()-Fenetre&lt;6),"",IF(INDEX('Historique ajusté'!G:G,ROW()-Fenetre)="","",'Historique ajusté'!G11/INDEX('Historique ajusté'!G:G,ROW()-Fenetre)-1))</f>
        <v/>
      </c>
      <c r="H11" s="34">
        <f>IF(OR('Historique ajusté'!H11="",ROW()-Fenetre&lt;6),"",IF(INDEX('Historique ajusté'!H:H,ROW()-Fenetre)="","",'Historique ajusté'!H11/INDEX('Historique ajusté'!H:H,ROW()-Fenetre)-1))</f>
        <v/>
      </c>
      <c r="I11" s="34">
        <f>IF(OR('Historique ajusté'!I11="",ROW()-Fenetre&lt;6),"",IF(INDEX('Historique ajusté'!I:I,ROW()-Fenetre)="","",'Historique ajusté'!I11/INDEX('Historique ajusté'!I:I,ROW()-Fenetre)-1))</f>
        <v/>
      </c>
      <c r="J11" s="34">
        <f>IF(OR('Historique ajusté'!J11="",ROW()-Fenetre&lt;6),"",IF(INDEX('Historique ajusté'!J:J,ROW()-Fenetre)="","",'Historique ajusté'!J11/INDEX('Historique ajusté'!J:J,ROW()-Fenetre)-1))</f>
        <v/>
      </c>
      <c r="K11" s="34">
        <f>IF(OR('Historique ajusté'!K11="",ROW()-Fenetre&lt;6),"",IF(INDEX('Historique ajusté'!K:K,ROW()-Fenetre)="","",'Historique ajusté'!K11/INDEX('Historique ajusté'!K:K,ROW()-Fenetre)-1))</f>
        <v/>
      </c>
      <c r="L11" s="34">
        <f>IF(OR('Historique ajusté'!L11="",ROW()-Fenetre&lt;6),"",IF(INDEX('Historique ajusté'!L:L,ROW()-Fenetre)="","",'Historique ajusté'!L11/INDEX('Historique ajusté'!L:L,ROW()-Fenetre)-1))</f>
        <v/>
      </c>
      <c r="M11" s="34">
        <f>IF(OR('Historique ajusté'!M11="",ROW()-Fenetre&lt;6),"",IF(INDEX('Historique ajusté'!M:M,ROW()-Fenetre)="","",'Historique ajusté'!M11/INDEX('Historique ajusté'!M:M,ROW()-Fenetre)-1))</f>
        <v/>
      </c>
      <c r="N11" s="34">
        <f>IF(OR('Historique ajusté'!N11="",ROW()-Fenetre&lt;6),"",IF(INDEX('Historique ajusté'!N:N,ROW()-Fenetre)="","",'Historique ajusté'!N11/INDEX('Historique ajusté'!N:N,ROW()-Fenetre)-1))</f>
        <v/>
      </c>
      <c r="O11" s="34">
        <f>IF(OR('Historique ajusté'!O11="",ROW()-Fenetre&lt;6),"",IF(INDEX('Historique ajusté'!O:O,ROW()-Fenetre)="","",'Historique ajusté'!O11/INDEX('Historique ajusté'!O:O,ROW()-Fenetre)-1))</f>
        <v/>
      </c>
      <c r="P11" s="34">
        <f>IF(OR('Historique ajusté'!P11="",ROW()-Fenetre&lt;6),"",IF(INDEX('Historique ajusté'!P:P,ROW()-Fenetre)="","",'Historique ajusté'!P11/INDEX('Historique ajusté'!P:P,ROW()-Fenetre)-1))</f>
        <v/>
      </c>
      <c r="Q11" s="34">
        <f>IF(OR(Composites!L11="",ROW()-Fenetre&lt;6),"",IF(INDEX(Composites!L:L,ROW()-Fenetre)="","",Composites!L11/INDEX(Composites!L:L,ROW()-Fenetre)-1))</f>
        <v/>
      </c>
      <c r="R11" s="34">
        <f>IF(OR(Composites!M11="",ROW()-Fenetre&lt;6),"",IF(INDEX(Composites!M:M,ROW()-Fenetre)="","",Composites!M11/INDEX(Composites!M:M,ROW()-Fenetre)-1))</f>
        <v/>
      </c>
      <c r="S11" s="34">
        <f>IF(OR(Composites!N11="",ROW()-Fenetre&lt;6),"",IF(INDEX(Composites!N:N,ROW()-Fenetre)="","",Composites!N11/INDEX(Composites!N:N,ROW()-Fenetre)-1))</f>
        <v/>
      </c>
      <c r="T11" s="34">
        <f>IF(OR(Composites!O11="",ROW()-Fenetre&lt;6),"",IF(INDEX(Composites!O:O,ROW()-Fenetre)="","",Composites!O11/INDEX(Composites!O:O,ROW()-Fenetre)-1))</f>
        <v/>
      </c>
      <c r="U11" s="34">
        <f>IF(OR(Composites!P11="",ROW()-Fenetre&lt;6),"",IF(INDEX(Composites!P:P,ROW()-Fenetre)="","",Composites!P11/INDEX(Composites!P:P,ROW()-Fenetre)-1))</f>
        <v/>
      </c>
      <c r="V11" s="34">
        <f>IF('Historique ajusté'!C11="","",'Historique ajusté'!C11/MAX('Historique ajusté'!C$6:C11)-1)</f>
        <v/>
      </c>
      <c r="W11" s="34">
        <f>IF('Historique ajusté'!D11="","",'Historique ajusté'!D11/MAX('Historique ajusté'!D$6:D11)-1)</f>
        <v/>
      </c>
      <c r="X11" s="34">
        <f>IF('Historique ajusté'!E11="","",'Historique ajusté'!E11/MAX('Historique ajusté'!E$6:E11)-1)</f>
        <v/>
      </c>
      <c r="Y11" s="34">
        <f>IF('Historique ajusté'!F11="","",'Historique ajusté'!F11/MAX('Historique ajusté'!F$6:F11)-1)</f>
        <v/>
      </c>
      <c r="Z11" s="34">
        <f>IF('Historique ajusté'!G11="","",'Historique ajusté'!G11/MAX('Historique ajusté'!G$6:G11)-1)</f>
        <v/>
      </c>
      <c r="AA11" s="34">
        <f>IF('Historique ajusté'!H11="","",'Historique ajusté'!H11/MAX('Historique ajusté'!H$6:H11)-1)</f>
        <v/>
      </c>
      <c r="AB11" s="34">
        <f>IF('Historique ajusté'!I11="","",'Historique ajusté'!I11/MAX('Historique ajusté'!I$6:I11)-1)</f>
        <v/>
      </c>
      <c r="AC11" s="34">
        <f>IF('Historique ajusté'!J11="","",'Historique ajusté'!J11/MAX('Historique ajusté'!J$6:J11)-1)</f>
        <v/>
      </c>
      <c r="AD11" s="34">
        <f>IF('Historique ajusté'!K11="","",'Historique ajusté'!K11/MAX('Historique ajusté'!K$6:K11)-1)</f>
        <v/>
      </c>
      <c r="AE11" s="34">
        <f>IF('Historique ajusté'!L11="","",'Historique ajusté'!L11/MAX('Historique ajusté'!L$6:L11)-1)</f>
        <v/>
      </c>
      <c r="AF11" s="34">
        <f>IF('Historique ajusté'!M11="","",'Historique ajusté'!M11/MAX('Historique ajusté'!M$6:M11)-1)</f>
        <v/>
      </c>
      <c r="AG11" s="34">
        <f>IF('Historique ajusté'!N11="","",'Historique ajusté'!N11/MAX('Historique ajusté'!N$6:N11)-1)</f>
        <v/>
      </c>
      <c r="AH11" s="34">
        <f>IF('Historique ajusté'!O11="","",'Historique ajusté'!O11/MAX('Historique ajusté'!O$6:O11)-1)</f>
        <v/>
      </c>
      <c r="AI11" s="34">
        <f>IF('Historique ajusté'!P11="","",'Historique ajusté'!P11/MAX('Historique ajusté'!P$6:P11)-1)</f>
        <v/>
      </c>
      <c r="AJ11" s="34">
        <f>IF(Composites!L11="","",Composites!L11/MAX(Composites!L$6:L11)-1)</f>
        <v/>
      </c>
      <c r="AK11" s="34">
        <f>IF(Composites!M11="","",Composites!M11/MAX(Composites!M$6:M11)-1)</f>
        <v/>
      </c>
      <c r="AL11" s="34">
        <f>IF(Composites!N11="","",Composites!N11/MAX(Composites!N$6:N11)-1)</f>
        <v/>
      </c>
      <c r="AM11" s="34">
        <f>IF(Composites!O11="","",Composites!O11/MAX(Composites!O$6:O11)-1)</f>
        <v/>
      </c>
      <c r="AN11" s="34">
        <f>IF(Composites!P11="","",Composites!P11/MAX(Composites!P$6:P11)-1)</f>
        <v/>
      </c>
    </row>
    <row r="12">
      <c r="B12" s="32">
        <f>'Historique ajusté'!B12</f>
        <v/>
      </c>
      <c r="C12" s="34">
        <f>IF(OR('Historique ajusté'!C12="",ROW()-Fenetre&lt;6),"",IF(INDEX('Historique ajusté'!C:C,ROW()-Fenetre)="","",'Historique ajusté'!C12/INDEX('Historique ajusté'!C:C,ROW()-Fenetre)-1))</f>
        <v/>
      </c>
      <c r="D12" s="34">
        <f>IF(OR('Historique ajusté'!D12="",ROW()-Fenetre&lt;6),"",IF(INDEX('Historique ajusté'!D:D,ROW()-Fenetre)="","",'Historique ajusté'!D12/INDEX('Historique ajusté'!D:D,ROW()-Fenetre)-1))</f>
        <v/>
      </c>
      <c r="E12" s="34">
        <f>IF(OR('Historique ajusté'!E12="",ROW()-Fenetre&lt;6),"",IF(INDEX('Historique ajusté'!E:E,ROW()-Fenetre)="","",'Historique ajusté'!E12/INDEX('Historique ajusté'!E:E,ROW()-Fenetre)-1))</f>
        <v/>
      </c>
      <c r="F12" s="34">
        <f>IF(OR('Historique ajusté'!F12="",ROW()-Fenetre&lt;6),"",IF(INDEX('Historique ajusté'!F:F,ROW()-Fenetre)="","",'Historique ajusté'!F12/INDEX('Historique ajusté'!F:F,ROW()-Fenetre)-1))</f>
        <v/>
      </c>
      <c r="G12" s="34">
        <f>IF(OR('Historique ajusté'!G12="",ROW()-Fenetre&lt;6),"",IF(INDEX('Historique ajusté'!G:G,ROW()-Fenetre)="","",'Historique ajusté'!G12/INDEX('Historique ajusté'!G:G,ROW()-Fenetre)-1))</f>
        <v/>
      </c>
      <c r="H12" s="34">
        <f>IF(OR('Historique ajusté'!H12="",ROW()-Fenetre&lt;6),"",IF(INDEX('Historique ajusté'!H:H,ROW()-Fenetre)="","",'Historique ajusté'!H12/INDEX('Historique ajusté'!H:H,ROW()-Fenetre)-1))</f>
        <v/>
      </c>
      <c r="I12" s="34">
        <f>IF(OR('Historique ajusté'!I12="",ROW()-Fenetre&lt;6),"",IF(INDEX('Historique ajusté'!I:I,ROW()-Fenetre)="","",'Historique ajusté'!I12/INDEX('Historique ajusté'!I:I,ROW()-Fenetre)-1))</f>
        <v/>
      </c>
      <c r="J12" s="34">
        <f>IF(OR('Historique ajusté'!J12="",ROW()-Fenetre&lt;6),"",IF(INDEX('Historique ajusté'!J:J,ROW()-Fenetre)="","",'Historique ajusté'!J12/INDEX('Historique ajusté'!J:J,ROW()-Fenetre)-1))</f>
        <v/>
      </c>
      <c r="K12" s="34">
        <f>IF(OR('Historique ajusté'!K12="",ROW()-Fenetre&lt;6),"",IF(INDEX('Historique ajusté'!K:K,ROW()-Fenetre)="","",'Historique ajusté'!K12/INDEX('Historique ajusté'!K:K,ROW()-Fenetre)-1))</f>
        <v/>
      </c>
      <c r="L12" s="34">
        <f>IF(OR('Historique ajusté'!L12="",ROW()-Fenetre&lt;6),"",IF(INDEX('Historique ajusté'!L:L,ROW()-Fenetre)="","",'Historique ajusté'!L12/INDEX('Historique ajusté'!L:L,ROW()-Fenetre)-1))</f>
        <v/>
      </c>
      <c r="M12" s="34">
        <f>IF(OR('Historique ajusté'!M12="",ROW()-Fenetre&lt;6),"",IF(INDEX('Historique ajusté'!M:M,ROW()-Fenetre)="","",'Historique ajusté'!M12/INDEX('Historique ajusté'!M:M,ROW()-Fenetre)-1))</f>
        <v/>
      </c>
      <c r="N12" s="34">
        <f>IF(OR('Historique ajusté'!N12="",ROW()-Fenetre&lt;6),"",IF(INDEX('Historique ajusté'!N:N,ROW()-Fenetre)="","",'Historique ajusté'!N12/INDEX('Historique ajusté'!N:N,ROW()-Fenetre)-1))</f>
        <v/>
      </c>
      <c r="O12" s="34">
        <f>IF(OR('Historique ajusté'!O12="",ROW()-Fenetre&lt;6),"",IF(INDEX('Historique ajusté'!O:O,ROW()-Fenetre)="","",'Historique ajusté'!O12/INDEX('Historique ajusté'!O:O,ROW()-Fenetre)-1))</f>
        <v/>
      </c>
      <c r="P12" s="34">
        <f>IF(OR('Historique ajusté'!P12="",ROW()-Fenetre&lt;6),"",IF(INDEX('Historique ajusté'!P:P,ROW()-Fenetre)="","",'Historique ajusté'!P12/INDEX('Historique ajusté'!P:P,ROW()-Fenetre)-1))</f>
        <v/>
      </c>
      <c r="Q12" s="34">
        <f>IF(OR(Composites!L12="",ROW()-Fenetre&lt;6),"",IF(INDEX(Composites!L:L,ROW()-Fenetre)="","",Composites!L12/INDEX(Composites!L:L,ROW()-Fenetre)-1))</f>
        <v/>
      </c>
      <c r="R12" s="34">
        <f>IF(OR(Composites!M12="",ROW()-Fenetre&lt;6),"",IF(INDEX(Composites!M:M,ROW()-Fenetre)="","",Composites!M12/INDEX(Composites!M:M,ROW()-Fenetre)-1))</f>
        <v/>
      </c>
      <c r="S12" s="34">
        <f>IF(OR(Composites!N12="",ROW()-Fenetre&lt;6),"",IF(INDEX(Composites!N:N,ROW()-Fenetre)="","",Composites!N12/INDEX(Composites!N:N,ROW()-Fenetre)-1))</f>
        <v/>
      </c>
      <c r="T12" s="34">
        <f>IF(OR(Composites!O12="",ROW()-Fenetre&lt;6),"",IF(INDEX(Composites!O:O,ROW()-Fenetre)="","",Composites!O12/INDEX(Composites!O:O,ROW()-Fenetre)-1))</f>
        <v/>
      </c>
      <c r="U12" s="34">
        <f>IF(OR(Composites!P12="",ROW()-Fenetre&lt;6),"",IF(INDEX(Composites!P:P,ROW()-Fenetre)="","",Composites!P12/INDEX(Composites!P:P,ROW()-Fenetre)-1))</f>
        <v/>
      </c>
      <c r="V12" s="34">
        <f>IF('Historique ajusté'!C12="","",'Historique ajusté'!C12/MAX('Historique ajusté'!C$6:C12)-1)</f>
        <v/>
      </c>
      <c r="W12" s="34">
        <f>IF('Historique ajusté'!D12="","",'Historique ajusté'!D12/MAX('Historique ajusté'!D$6:D12)-1)</f>
        <v/>
      </c>
      <c r="X12" s="34">
        <f>IF('Historique ajusté'!E12="","",'Historique ajusté'!E12/MAX('Historique ajusté'!E$6:E12)-1)</f>
        <v/>
      </c>
      <c r="Y12" s="34">
        <f>IF('Historique ajusté'!F12="","",'Historique ajusté'!F12/MAX('Historique ajusté'!F$6:F12)-1)</f>
        <v/>
      </c>
      <c r="Z12" s="34">
        <f>IF('Historique ajusté'!G12="","",'Historique ajusté'!G12/MAX('Historique ajusté'!G$6:G12)-1)</f>
        <v/>
      </c>
      <c r="AA12" s="34">
        <f>IF('Historique ajusté'!H12="","",'Historique ajusté'!H12/MAX('Historique ajusté'!H$6:H12)-1)</f>
        <v/>
      </c>
      <c r="AB12" s="34">
        <f>IF('Historique ajusté'!I12="","",'Historique ajusté'!I12/MAX('Historique ajusté'!I$6:I12)-1)</f>
        <v/>
      </c>
      <c r="AC12" s="34">
        <f>IF('Historique ajusté'!J12="","",'Historique ajusté'!J12/MAX('Historique ajusté'!J$6:J12)-1)</f>
        <v/>
      </c>
      <c r="AD12" s="34">
        <f>IF('Historique ajusté'!K12="","",'Historique ajusté'!K12/MAX('Historique ajusté'!K$6:K12)-1)</f>
        <v/>
      </c>
      <c r="AE12" s="34">
        <f>IF('Historique ajusté'!L12="","",'Historique ajusté'!L12/MAX('Historique ajusté'!L$6:L12)-1)</f>
        <v/>
      </c>
      <c r="AF12" s="34">
        <f>IF('Historique ajusté'!M12="","",'Historique ajusté'!M12/MAX('Historique ajusté'!M$6:M12)-1)</f>
        <v/>
      </c>
      <c r="AG12" s="34">
        <f>IF('Historique ajusté'!N12="","",'Historique ajusté'!N12/MAX('Historique ajusté'!N$6:N12)-1)</f>
        <v/>
      </c>
      <c r="AH12" s="34">
        <f>IF('Historique ajusté'!O12="","",'Historique ajusté'!O12/MAX('Historique ajusté'!O$6:O12)-1)</f>
        <v/>
      </c>
      <c r="AI12" s="34">
        <f>IF('Historique ajusté'!P12="","",'Historique ajusté'!P12/MAX('Historique ajusté'!P$6:P12)-1)</f>
        <v/>
      </c>
      <c r="AJ12" s="34">
        <f>IF(Composites!L12="","",Composites!L12/MAX(Composites!L$6:L12)-1)</f>
        <v/>
      </c>
      <c r="AK12" s="34">
        <f>IF(Composites!M12="","",Composites!M12/MAX(Composites!M$6:M12)-1)</f>
        <v/>
      </c>
      <c r="AL12" s="34">
        <f>IF(Composites!N12="","",Composites!N12/MAX(Composites!N$6:N12)-1)</f>
        <v/>
      </c>
      <c r="AM12" s="34">
        <f>IF(Composites!O12="","",Composites!O12/MAX(Composites!O$6:O12)-1)</f>
        <v/>
      </c>
      <c r="AN12" s="34">
        <f>IF(Composites!P12="","",Composites!P12/MAX(Composites!P$6:P12)-1)</f>
        <v/>
      </c>
    </row>
    <row r="13">
      <c r="B13" s="32">
        <f>'Historique ajusté'!B13</f>
        <v/>
      </c>
      <c r="C13" s="34">
        <f>IF(OR('Historique ajusté'!C13="",ROW()-Fenetre&lt;6),"",IF(INDEX('Historique ajusté'!C:C,ROW()-Fenetre)="","",'Historique ajusté'!C13/INDEX('Historique ajusté'!C:C,ROW()-Fenetre)-1))</f>
        <v/>
      </c>
      <c r="D13" s="34">
        <f>IF(OR('Historique ajusté'!D13="",ROW()-Fenetre&lt;6),"",IF(INDEX('Historique ajusté'!D:D,ROW()-Fenetre)="","",'Historique ajusté'!D13/INDEX('Historique ajusté'!D:D,ROW()-Fenetre)-1))</f>
        <v/>
      </c>
      <c r="E13" s="34">
        <f>IF(OR('Historique ajusté'!E13="",ROW()-Fenetre&lt;6),"",IF(INDEX('Historique ajusté'!E:E,ROW()-Fenetre)="","",'Historique ajusté'!E13/INDEX('Historique ajusté'!E:E,ROW()-Fenetre)-1))</f>
        <v/>
      </c>
      <c r="F13" s="34">
        <f>IF(OR('Historique ajusté'!F13="",ROW()-Fenetre&lt;6),"",IF(INDEX('Historique ajusté'!F:F,ROW()-Fenetre)="","",'Historique ajusté'!F13/INDEX('Historique ajusté'!F:F,ROW()-Fenetre)-1))</f>
        <v/>
      </c>
      <c r="G13" s="34">
        <f>IF(OR('Historique ajusté'!G13="",ROW()-Fenetre&lt;6),"",IF(INDEX('Historique ajusté'!G:G,ROW()-Fenetre)="","",'Historique ajusté'!G13/INDEX('Historique ajusté'!G:G,ROW()-Fenetre)-1))</f>
        <v/>
      </c>
      <c r="H13" s="34">
        <f>IF(OR('Historique ajusté'!H13="",ROW()-Fenetre&lt;6),"",IF(INDEX('Historique ajusté'!H:H,ROW()-Fenetre)="","",'Historique ajusté'!H13/INDEX('Historique ajusté'!H:H,ROW()-Fenetre)-1))</f>
        <v/>
      </c>
      <c r="I13" s="34">
        <f>IF(OR('Historique ajusté'!I13="",ROW()-Fenetre&lt;6),"",IF(INDEX('Historique ajusté'!I:I,ROW()-Fenetre)="","",'Historique ajusté'!I13/INDEX('Historique ajusté'!I:I,ROW()-Fenetre)-1))</f>
        <v/>
      </c>
      <c r="J13" s="34">
        <f>IF(OR('Historique ajusté'!J13="",ROW()-Fenetre&lt;6),"",IF(INDEX('Historique ajusté'!J:J,ROW()-Fenetre)="","",'Historique ajusté'!J13/INDEX('Historique ajusté'!J:J,ROW()-Fenetre)-1))</f>
        <v/>
      </c>
      <c r="K13" s="34">
        <f>IF(OR('Historique ajusté'!K13="",ROW()-Fenetre&lt;6),"",IF(INDEX('Historique ajusté'!K:K,ROW()-Fenetre)="","",'Historique ajusté'!K13/INDEX('Historique ajusté'!K:K,ROW()-Fenetre)-1))</f>
        <v/>
      </c>
      <c r="L13" s="34">
        <f>IF(OR('Historique ajusté'!L13="",ROW()-Fenetre&lt;6),"",IF(INDEX('Historique ajusté'!L:L,ROW()-Fenetre)="","",'Historique ajusté'!L13/INDEX('Historique ajusté'!L:L,ROW()-Fenetre)-1))</f>
        <v/>
      </c>
      <c r="M13" s="34">
        <f>IF(OR('Historique ajusté'!M13="",ROW()-Fenetre&lt;6),"",IF(INDEX('Historique ajusté'!M:M,ROW()-Fenetre)="","",'Historique ajusté'!M13/INDEX('Historique ajusté'!M:M,ROW()-Fenetre)-1))</f>
        <v/>
      </c>
      <c r="N13" s="34">
        <f>IF(OR('Historique ajusté'!N13="",ROW()-Fenetre&lt;6),"",IF(INDEX('Historique ajusté'!N:N,ROW()-Fenetre)="","",'Historique ajusté'!N13/INDEX('Historique ajusté'!N:N,ROW()-Fenetre)-1))</f>
        <v/>
      </c>
      <c r="O13" s="34">
        <f>IF(OR('Historique ajusté'!O13="",ROW()-Fenetre&lt;6),"",IF(INDEX('Historique ajusté'!O:O,ROW()-Fenetre)="","",'Historique ajusté'!O13/INDEX('Historique ajusté'!O:O,ROW()-Fenetre)-1))</f>
        <v/>
      </c>
      <c r="P13" s="34">
        <f>IF(OR('Historique ajusté'!P13="",ROW()-Fenetre&lt;6),"",IF(INDEX('Historique ajusté'!P:P,ROW()-Fenetre)="","",'Historique ajusté'!P13/INDEX('Historique ajusté'!P:P,ROW()-Fenetre)-1))</f>
        <v/>
      </c>
      <c r="Q13" s="34">
        <f>IF(OR(Composites!L13="",ROW()-Fenetre&lt;6),"",IF(INDEX(Composites!L:L,ROW()-Fenetre)="","",Composites!L13/INDEX(Composites!L:L,ROW()-Fenetre)-1))</f>
        <v/>
      </c>
      <c r="R13" s="34">
        <f>IF(OR(Composites!M13="",ROW()-Fenetre&lt;6),"",IF(INDEX(Composites!M:M,ROW()-Fenetre)="","",Composites!M13/INDEX(Composites!M:M,ROW()-Fenetre)-1))</f>
        <v/>
      </c>
      <c r="S13" s="34">
        <f>IF(OR(Composites!N13="",ROW()-Fenetre&lt;6),"",IF(INDEX(Composites!N:N,ROW()-Fenetre)="","",Composites!N13/INDEX(Composites!N:N,ROW()-Fenetre)-1))</f>
        <v/>
      </c>
      <c r="T13" s="34">
        <f>IF(OR(Composites!O13="",ROW()-Fenetre&lt;6),"",IF(INDEX(Composites!O:O,ROW()-Fenetre)="","",Composites!O13/INDEX(Composites!O:O,ROW()-Fenetre)-1))</f>
        <v/>
      </c>
      <c r="U13" s="34">
        <f>IF(OR(Composites!P13="",ROW()-Fenetre&lt;6),"",IF(INDEX(Composites!P:P,ROW()-Fenetre)="","",Composites!P13/INDEX(Composites!P:P,ROW()-Fenetre)-1))</f>
        <v/>
      </c>
      <c r="V13" s="34">
        <f>IF('Historique ajusté'!C13="","",'Historique ajusté'!C13/MAX('Historique ajusté'!C$6:C13)-1)</f>
        <v/>
      </c>
      <c r="W13" s="34">
        <f>IF('Historique ajusté'!D13="","",'Historique ajusté'!D13/MAX('Historique ajusté'!D$6:D13)-1)</f>
        <v/>
      </c>
      <c r="X13" s="34">
        <f>IF('Historique ajusté'!E13="","",'Historique ajusté'!E13/MAX('Historique ajusté'!E$6:E13)-1)</f>
        <v/>
      </c>
      <c r="Y13" s="34">
        <f>IF('Historique ajusté'!F13="","",'Historique ajusté'!F13/MAX('Historique ajusté'!F$6:F13)-1)</f>
        <v/>
      </c>
      <c r="Z13" s="34">
        <f>IF('Historique ajusté'!G13="","",'Historique ajusté'!G13/MAX('Historique ajusté'!G$6:G13)-1)</f>
        <v/>
      </c>
      <c r="AA13" s="34">
        <f>IF('Historique ajusté'!H13="","",'Historique ajusté'!H13/MAX('Historique ajusté'!H$6:H13)-1)</f>
        <v/>
      </c>
      <c r="AB13" s="34">
        <f>IF('Historique ajusté'!I13="","",'Historique ajusté'!I13/MAX('Historique ajusté'!I$6:I13)-1)</f>
        <v/>
      </c>
      <c r="AC13" s="34">
        <f>IF('Historique ajusté'!J13="","",'Historique ajusté'!J13/MAX('Historique ajusté'!J$6:J13)-1)</f>
        <v/>
      </c>
      <c r="AD13" s="34">
        <f>IF('Historique ajusté'!K13="","",'Historique ajusté'!K13/MAX('Historique ajusté'!K$6:K13)-1)</f>
        <v/>
      </c>
      <c r="AE13" s="34">
        <f>IF('Historique ajusté'!L13="","",'Historique ajusté'!L13/MAX('Historique ajusté'!L$6:L13)-1)</f>
        <v/>
      </c>
      <c r="AF13" s="34">
        <f>IF('Historique ajusté'!M13="","",'Historique ajusté'!M13/MAX('Historique ajusté'!M$6:M13)-1)</f>
        <v/>
      </c>
      <c r="AG13" s="34">
        <f>IF('Historique ajusté'!N13="","",'Historique ajusté'!N13/MAX('Historique ajusté'!N$6:N13)-1)</f>
        <v/>
      </c>
      <c r="AH13" s="34">
        <f>IF('Historique ajusté'!O13="","",'Historique ajusté'!O13/MAX('Historique ajusté'!O$6:O13)-1)</f>
        <v/>
      </c>
      <c r="AI13" s="34">
        <f>IF('Historique ajusté'!P13="","",'Historique ajusté'!P13/MAX('Historique ajusté'!P$6:P13)-1)</f>
        <v/>
      </c>
      <c r="AJ13" s="34">
        <f>IF(Composites!L13="","",Composites!L13/MAX(Composites!L$6:L13)-1)</f>
        <v/>
      </c>
      <c r="AK13" s="34">
        <f>IF(Composites!M13="","",Composites!M13/MAX(Composites!M$6:M13)-1)</f>
        <v/>
      </c>
      <c r="AL13" s="34">
        <f>IF(Composites!N13="","",Composites!N13/MAX(Composites!N$6:N13)-1)</f>
        <v/>
      </c>
      <c r="AM13" s="34">
        <f>IF(Composites!O13="","",Composites!O13/MAX(Composites!O$6:O13)-1)</f>
        <v/>
      </c>
      <c r="AN13" s="34">
        <f>IF(Composites!P13="","",Composites!P13/MAX(Composites!P$6:P13)-1)</f>
        <v/>
      </c>
    </row>
    <row r="14">
      <c r="B14" s="32">
        <f>'Historique ajusté'!B14</f>
        <v/>
      </c>
      <c r="C14" s="34">
        <f>IF(OR('Historique ajusté'!C14="",ROW()-Fenetre&lt;6),"",IF(INDEX('Historique ajusté'!C:C,ROW()-Fenetre)="","",'Historique ajusté'!C14/INDEX('Historique ajusté'!C:C,ROW()-Fenetre)-1))</f>
        <v/>
      </c>
      <c r="D14" s="34">
        <f>IF(OR('Historique ajusté'!D14="",ROW()-Fenetre&lt;6),"",IF(INDEX('Historique ajusté'!D:D,ROW()-Fenetre)="","",'Historique ajusté'!D14/INDEX('Historique ajusté'!D:D,ROW()-Fenetre)-1))</f>
        <v/>
      </c>
      <c r="E14" s="34">
        <f>IF(OR('Historique ajusté'!E14="",ROW()-Fenetre&lt;6),"",IF(INDEX('Historique ajusté'!E:E,ROW()-Fenetre)="","",'Historique ajusté'!E14/INDEX('Historique ajusté'!E:E,ROW()-Fenetre)-1))</f>
        <v/>
      </c>
      <c r="F14" s="34">
        <f>IF(OR('Historique ajusté'!F14="",ROW()-Fenetre&lt;6),"",IF(INDEX('Historique ajusté'!F:F,ROW()-Fenetre)="","",'Historique ajusté'!F14/INDEX('Historique ajusté'!F:F,ROW()-Fenetre)-1))</f>
        <v/>
      </c>
      <c r="G14" s="34">
        <f>IF(OR('Historique ajusté'!G14="",ROW()-Fenetre&lt;6),"",IF(INDEX('Historique ajusté'!G:G,ROW()-Fenetre)="","",'Historique ajusté'!G14/INDEX('Historique ajusté'!G:G,ROW()-Fenetre)-1))</f>
        <v/>
      </c>
      <c r="H14" s="34">
        <f>IF(OR('Historique ajusté'!H14="",ROW()-Fenetre&lt;6),"",IF(INDEX('Historique ajusté'!H:H,ROW()-Fenetre)="","",'Historique ajusté'!H14/INDEX('Historique ajusté'!H:H,ROW()-Fenetre)-1))</f>
        <v/>
      </c>
      <c r="I14" s="34">
        <f>IF(OR('Historique ajusté'!I14="",ROW()-Fenetre&lt;6),"",IF(INDEX('Historique ajusté'!I:I,ROW()-Fenetre)="","",'Historique ajusté'!I14/INDEX('Historique ajusté'!I:I,ROW()-Fenetre)-1))</f>
        <v/>
      </c>
      <c r="J14" s="34">
        <f>IF(OR('Historique ajusté'!J14="",ROW()-Fenetre&lt;6),"",IF(INDEX('Historique ajusté'!J:J,ROW()-Fenetre)="","",'Historique ajusté'!J14/INDEX('Historique ajusté'!J:J,ROW()-Fenetre)-1))</f>
        <v/>
      </c>
      <c r="K14" s="34">
        <f>IF(OR('Historique ajusté'!K14="",ROW()-Fenetre&lt;6),"",IF(INDEX('Historique ajusté'!K:K,ROW()-Fenetre)="","",'Historique ajusté'!K14/INDEX('Historique ajusté'!K:K,ROW()-Fenetre)-1))</f>
        <v/>
      </c>
      <c r="L14" s="34">
        <f>IF(OR('Historique ajusté'!L14="",ROW()-Fenetre&lt;6),"",IF(INDEX('Historique ajusté'!L:L,ROW()-Fenetre)="","",'Historique ajusté'!L14/INDEX('Historique ajusté'!L:L,ROW()-Fenetre)-1))</f>
        <v/>
      </c>
      <c r="M14" s="34">
        <f>IF(OR('Historique ajusté'!M14="",ROW()-Fenetre&lt;6),"",IF(INDEX('Historique ajusté'!M:M,ROW()-Fenetre)="","",'Historique ajusté'!M14/INDEX('Historique ajusté'!M:M,ROW()-Fenetre)-1))</f>
        <v/>
      </c>
      <c r="N14" s="34">
        <f>IF(OR('Historique ajusté'!N14="",ROW()-Fenetre&lt;6),"",IF(INDEX('Historique ajusté'!N:N,ROW()-Fenetre)="","",'Historique ajusté'!N14/INDEX('Historique ajusté'!N:N,ROW()-Fenetre)-1))</f>
        <v/>
      </c>
      <c r="O14" s="34">
        <f>IF(OR('Historique ajusté'!O14="",ROW()-Fenetre&lt;6),"",IF(INDEX('Historique ajusté'!O:O,ROW()-Fenetre)="","",'Historique ajusté'!O14/INDEX('Historique ajusté'!O:O,ROW()-Fenetre)-1))</f>
        <v/>
      </c>
      <c r="P14" s="34">
        <f>IF(OR('Historique ajusté'!P14="",ROW()-Fenetre&lt;6),"",IF(INDEX('Historique ajusté'!P:P,ROW()-Fenetre)="","",'Historique ajusté'!P14/INDEX('Historique ajusté'!P:P,ROW()-Fenetre)-1))</f>
        <v/>
      </c>
      <c r="Q14" s="34">
        <f>IF(OR(Composites!L14="",ROW()-Fenetre&lt;6),"",IF(INDEX(Composites!L:L,ROW()-Fenetre)="","",Composites!L14/INDEX(Composites!L:L,ROW()-Fenetre)-1))</f>
        <v/>
      </c>
      <c r="R14" s="34">
        <f>IF(OR(Composites!M14="",ROW()-Fenetre&lt;6),"",IF(INDEX(Composites!M:M,ROW()-Fenetre)="","",Composites!M14/INDEX(Composites!M:M,ROW()-Fenetre)-1))</f>
        <v/>
      </c>
      <c r="S14" s="34">
        <f>IF(OR(Composites!N14="",ROW()-Fenetre&lt;6),"",IF(INDEX(Composites!N:N,ROW()-Fenetre)="","",Composites!N14/INDEX(Composites!N:N,ROW()-Fenetre)-1))</f>
        <v/>
      </c>
      <c r="T14" s="34">
        <f>IF(OR(Composites!O14="",ROW()-Fenetre&lt;6),"",IF(INDEX(Composites!O:O,ROW()-Fenetre)="","",Composites!O14/INDEX(Composites!O:O,ROW()-Fenetre)-1))</f>
        <v/>
      </c>
      <c r="U14" s="34">
        <f>IF(OR(Composites!P14="",ROW()-Fenetre&lt;6),"",IF(INDEX(Composites!P:P,ROW()-Fenetre)="","",Composites!P14/INDEX(Composites!P:P,ROW()-Fenetre)-1))</f>
        <v/>
      </c>
      <c r="V14" s="34">
        <f>IF('Historique ajusté'!C14="","",'Historique ajusté'!C14/MAX('Historique ajusté'!C$6:C14)-1)</f>
        <v/>
      </c>
      <c r="W14" s="34">
        <f>IF('Historique ajusté'!D14="","",'Historique ajusté'!D14/MAX('Historique ajusté'!D$6:D14)-1)</f>
        <v/>
      </c>
      <c r="X14" s="34">
        <f>IF('Historique ajusté'!E14="","",'Historique ajusté'!E14/MAX('Historique ajusté'!E$6:E14)-1)</f>
        <v/>
      </c>
      <c r="Y14" s="34">
        <f>IF('Historique ajusté'!F14="","",'Historique ajusté'!F14/MAX('Historique ajusté'!F$6:F14)-1)</f>
        <v/>
      </c>
      <c r="Z14" s="34">
        <f>IF('Historique ajusté'!G14="","",'Historique ajusté'!G14/MAX('Historique ajusté'!G$6:G14)-1)</f>
        <v/>
      </c>
      <c r="AA14" s="34">
        <f>IF('Historique ajusté'!H14="","",'Historique ajusté'!H14/MAX('Historique ajusté'!H$6:H14)-1)</f>
        <v/>
      </c>
      <c r="AB14" s="34">
        <f>IF('Historique ajusté'!I14="","",'Historique ajusté'!I14/MAX('Historique ajusté'!I$6:I14)-1)</f>
        <v/>
      </c>
      <c r="AC14" s="34">
        <f>IF('Historique ajusté'!J14="","",'Historique ajusté'!J14/MAX('Historique ajusté'!J$6:J14)-1)</f>
        <v/>
      </c>
      <c r="AD14" s="34">
        <f>IF('Historique ajusté'!K14="","",'Historique ajusté'!K14/MAX('Historique ajusté'!K$6:K14)-1)</f>
        <v/>
      </c>
      <c r="AE14" s="34">
        <f>IF('Historique ajusté'!L14="","",'Historique ajusté'!L14/MAX('Historique ajusté'!L$6:L14)-1)</f>
        <v/>
      </c>
      <c r="AF14" s="34">
        <f>IF('Historique ajusté'!M14="","",'Historique ajusté'!M14/MAX('Historique ajusté'!M$6:M14)-1)</f>
        <v/>
      </c>
      <c r="AG14" s="34">
        <f>IF('Historique ajusté'!N14="","",'Historique ajusté'!N14/MAX('Historique ajusté'!N$6:N14)-1)</f>
        <v/>
      </c>
      <c r="AH14" s="34">
        <f>IF('Historique ajusté'!O14="","",'Historique ajusté'!O14/MAX('Historique ajusté'!O$6:O14)-1)</f>
        <v/>
      </c>
      <c r="AI14" s="34">
        <f>IF('Historique ajusté'!P14="","",'Historique ajusté'!P14/MAX('Historique ajusté'!P$6:P14)-1)</f>
        <v/>
      </c>
      <c r="AJ14" s="34">
        <f>IF(Composites!L14="","",Composites!L14/MAX(Composites!L$6:L14)-1)</f>
        <v/>
      </c>
      <c r="AK14" s="34">
        <f>IF(Composites!M14="","",Composites!M14/MAX(Composites!M$6:M14)-1)</f>
        <v/>
      </c>
      <c r="AL14" s="34">
        <f>IF(Composites!N14="","",Composites!N14/MAX(Composites!N$6:N14)-1)</f>
        <v/>
      </c>
      <c r="AM14" s="34">
        <f>IF(Composites!O14="","",Composites!O14/MAX(Composites!O$6:O14)-1)</f>
        <v/>
      </c>
      <c r="AN14" s="34">
        <f>IF(Composites!P14="","",Composites!P14/MAX(Composites!P$6:P14)-1)</f>
        <v/>
      </c>
    </row>
    <row r="15">
      <c r="B15" s="32">
        <f>'Historique ajusté'!B15</f>
        <v/>
      </c>
      <c r="C15" s="34">
        <f>IF(OR('Historique ajusté'!C15="",ROW()-Fenetre&lt;6),"",IF(INDEX('Historique ajusté'!C:C,ROW()-Fenetre)="","",'Historique ajusté'!C15/INDEX('Historique ajusté'!C:C,ROW()-Fenetre)-1))</f>
        <v/>
      </c>
      <c r="D15" s="34">
        <f>IF(OR('Historique ajusté'!D15="",ROW()-Fenetre&lt;6),"",IF(INDEX('Historique ajusté'!D:D,ROW()-Fenetre)="","",'Historique ajusté'!D15/INDEX('Historique ajusté'!D:D,ROW()-Fenetre)-1))</f>
        <v/>
      </c>
      <c r="E15" s="34">
        <f>IF(OR('Historique ajusté'!E15="",ROW()-Fenetre&lt;6),"",IF(INDEX('Historique ajusté'!E:E,ROW()-Fenetre)="","",'Historique ajusté'!E15/INDEX('Historique ajusté'!E:E,ROW()-Fenetre)-1))</f>
        <v/>
      </c>
      <c r="F15" s="34">
        <f>IF(OR('Historique ajusté'!F15="",ROW()-Fenetre&lt;6),"",IF(INDEX('Historique ajusté'!F:F,ROW()-Fenetre)="","",'Historique ajusté'!F15/INDEX('Historique ajusté'!F:F,ROW()-Fenetre)-1))</f>
        <v/>
      </c>
      <c r="G15" s="34">
        <f>IF(OR('Historique ajusté'!G15="",ROW()-Fenetre&lt;6),"",IF(INDEX('Historique ajusté'!G:G,ROW()-Fenetre)="","",'Historique ajusté'!G15/INDEX('Historique ajusté'!G:G,ROW()-Fenetre)-1))</f>
        <v/>
      </c>
      <c r="H15" s="34">
        <f>IF(OR('Historique ajusté'!H15="",ROW()-Fenetre&lt;6),"",IF(INDEX('Historique ajusté'!H:H,ROW()-Fenetre)="","",'Historique ajusté'!H15/INDEX('Historique ajusté'!H:H,ROW()-Fenetre)-1))</f>
        <v/>
      </c>
      <c r="I15" s="34">
        <f>IF(OR('Historique ajusté'!I15="",ROW()-Fenetre&lt;6),"",IF(INDEX('Historique ajusté'!I:I,ROW()-Fenetre)="","",'Historique ajusté'!I15/INDEX('Historique ajusté'!I:I,ROW()-Fenetre)-1))</f>
        <v/>
      </c>
      <c r="J15" s="34">
        <f>IF(OR('Historique ajusté'!J15="",ROW()-Fenetre&lt;6),"",IF(INDEX('Historique ajusté'!J:J,ROW()-Fenetre)="","",'Historique ajusté'!J15/INDEX('Historique ajusté'!J:J,ROW()-Fenetre)-1))</f>
        <v/>
      </c>
      <c r="K15" s="34">
        <f>IF(OR('Historique ajusté'!K15="",ROW()-Fenetre&lt;6),"",IF(INDEX('Historique ajusté'!K:K,ROW()-Fenetre)="","",'Historique ajusté'!K15/INDEX('Historique ajusté'!K:K,ROW()-Fenetre)-1))</f>
        <v/>
      </c>
      <c r="L15" s="34">
        <f>IF(OR('Historique ajusté'!L15="",ROW()-Fenetre&lt;6),"",IF(INDEX('Historique ajusté'!L:L,ROW()-Fenetre)="","",'Historique ajusté'!L15/INDEX('Historique ajusté'!L:L,ROW()-Fenetre)-1))</f>
        <v/>
      </c>
      <c r="M15" s="34">
        <f>IF(OR('Historique ajusté'!M15="",ROW()-Fenetre&lt;6),"",IF(INDEX('Historique ajusté'!M:M,ROW()-Fenetre)="","",'Historique ajusté'!M15/INDEX('Historique ajusté'!M:M,ROW()-Fenetre)-1))</f>
        <v/>
      </c>
      <c r="N15" s="34">
        <f>IF(OR('Historique ajusté'!N15="",ROW()-Fenetre&lt;6),"",IF(INDEX('Historique ajusté'!N:N,ROW()-Fenetre)="","",'Historique ajusté'!N15/INDEX('Historique ajusté'!N:N,ROW()-Fenetre)-1))</f>
        <v/>
      </c>
      <c r="O15" s="34">
        <f>IF(OR('Historique ajusté'!O15="",ROW()-Fenetre&lt;6),"",IF(INDEX('Historique ajusté'!O:O,ROW()-Fenetre)="","",'Historique ajusté'!O15/INDEX('Historique ajusté'!O:O,ROW()-Fenetre)-1))</f>
        <v/>
      </c>
      <c r="P15" s="34">
        <f>IF(OR('Historique ajusté'!P15="",ROW()-Fenetre&lt;6),"",IF(INDEX('Historique ajusté'!P:P,ROW()-Fenetre)="","",'Historique ajusté'!P15/INDEX('Historique ajusté'!P:P,ROW()-Fenetre)-1))</f>
        <v/>
      </c>
      <c r="Q15" s="34">
        <f>IF(OR(Composites!L15="",ROW()-Fenetre&lt;6),"",IF(INDEX(Composites!L:L,ROW()-Fenetre)="","",Composites!L15/INDEX(Composites!L:L,ROW()-Fenetre)-1))</f>
        <v/>
      </c>
      <c r="R15" s="34">
        <f>IF(OR(Composites!M15="",ROW()-Fenetre&lt;6),"",IF(INDEX(Composites!M:M,ROW()-Fenetre)="","",Composites!M15/INDEX(Composites!M:M,ROW()-Fenetre)-1))</f>
        <v/>
      </c>
      <c r="S15" s="34">
        <f>IF(OR(Composites!N15="",ROW()-Fenetre&lt;6),"",IF(INDEX(Composites!N:N,ROW()-Fenetre)="","",Composites!N15/INDEX(Composites!N:N,ROW()-Fenetre)-1))</f>
        <v/>
      </c>
      <c r="T15" s="34">
        <f>IF(OR(Composites!O15="",ROW()-Fenetre&lt;6),"",IF(INDEX(Composites!O:O,ROW()-Fenetre)="","",Composites!O15/INDEX(Composites!O:O,ROW()-Fenetre)-1))</f>
        <v/>
      </c>
      <c r="U15" s="34">
        <f>IF(OR(Composites!P15="",ROW()-Fenetre&lt;6),"",IF(INDEX(Composites!P:P,ROW()-Fenetre)="","",Composites!P15/INDEX(Composites!P:P,ROW()-Fenetre)-1))</f>
        <v/>
      </c>
      <c r="V15" s="34">
        <f>IF('Historique ajusté'!C15="","",'Historique ajusté'!C15/MAX('Historique ajusté'!C$6:C15)-1)</f>
        <v/>
      </c>
      <c r="W15" s="34">
        <f>IF('Historique ajusté'!D15="","",'Historique ajusté'!D15/MAX('Historique ajusté'!D$6:D15)-1)</f>
        <v/>
      </c>
      <c r="X15" s="34">
        <f>IF('Historique ajusté'!E15="","",'Historique ajusté'!E15/MAX('Historique ajusté'!E$6:E15)-1)</f>
        <v/>
      </c>
      <c r="Y15" s="34">
        <f>IF('Historique ajusté'!F15="","",'Historique ajusté'!F15/MAX('Historique ajusté'!F$6:F15)-1)</f>
        <v/>
      </c>
      <c r="Z15" s="34">
        <f>IF('Historique ajusté'!G15="","",'Historique ajusté'!G15/MAX('Historique ajusté'!G$6:G15)-1)</f>
        <v/>
      </c>
      <c r="AA15" s="34">
        <f>IF('Historique ajusté'!H15="","",'Historique ajusté'!H15/MAX('Historique ajusté'!H$6:H15)-1)</f>
        <v/>
      </c>
      <c r="AB15" s="34">
        <f>IF('Historique ajusté'!I15="","",'Historique ajusté'!I15/MAX('Historique ajusté'!I$6:I15)-1)</f>
        <v/>
      </c>
      <c r="AC15" s="34">
        <f>IF('Historique ajusté'!J15="","",'Historique ajusté'!J15/MAX('Historique ajusté'!J$6:J15)-1)</f>
        <v/>
      </c>
      <c r="AD15" s="34">
        <f>IF('Historique ajusté'!K15="","",'Historique ajusté'!K15/MAX('Historique ajusté'!K$6:K15)-1)</f>
        <v/>
      </c>
      <c r="AE15" s="34">
        <f>IF('Historique ajusté'!L15="","",'Historique ajusté'!L15/MAX('Historique ajusté'!L$6:L15)-1)</f>
        <v/>
      </c>
      <c r="AF15" s="34">
        <f>IF('Historique ajusté'!M15="","",'Historique ajusté'!M15/MAX('Historique ajusté'!M$6:M15)-1)</f>
        <v/>
      </c>
      <c r="AG15" s="34">
        <f>IF('Historique ajusté'!N15="","",'Historique ajusté'!N15/MAX('Historique ajusté'!N$6:N15)-1)</f>
        <v/>
      </c>
      <c r="AH15" s="34">
        <f>IF('Historique ajusté'!O15="","",'Historique ajusté'!O15/MAX('Historique ajusté'!O$6:O15)-1)</f>
        <v/>
      </c>
      <c r="AI15" s="34">
        <f>IF('Historique ajusté'!P15="","",'Historique ajusté'!P15/MAX('Historique ajusté'!P$6:P15)-1)</f>
        <v/>
      </c>
      <c r="AJ15" s="34">
        <f>IF(Composites!L15="","",Composites!L15/MAX(Composites!L$6:L15)-1)</f>
        <v/>
      </c>
      <c r="AK15" s="34">
        <f>IF(Composites!M15="","",Composites!M15/MAX(Composites!M$6:M15)-1)</f>
        <v/>
      </c>
      <c r="AL15" s="34">
        <f>IF(Composites!N15="","",Composites!N15/MAX(Composites!N$6:N15)-1)</f>
        <v/>
      </c>
      <c r="AM15" s="34">
        <f>IF(Composites!O15="","",Composites!O15/MAX(Composites!O$6:O15)-1)</f>
        <v/>
      </c>
      <c r="AN15" s="34">
        <f>IF(Composites!P15="","",Composites!P15/MAX(Composites!P$6:P15)-1)</f>
        <v/>
      </c>
    </row>
    <row r="16">
      <c r="B16" s="32">
        <f>'Historique ajusté'!B16</f>
        <v/>
      </c>
      <c r="C16" s="34">
        <f>IF(OR('Historique ajusté'!C16="",ROW()-Fenetre&lt;6),"",IF(INDEX('Historique ajusté'!C:C,ROW()-Fenetre)="","",'Historique ajusté'!C16/INDEX('Historique ajusté'!C:C,ROW()-Fenetre)-1))</f>
        <v/>
      </c>
      <c r="D16" s="34">
        <f>IF(OR('Historique ajusté'!D16="",ROW()-Fenetre&lt;6),"",IF(INDEX('Historique ajusté'!D:D,ROW()-Fenetre)="","",'Historique ajusté'!D16/INDEX('Historique ajusté'!D:D,ROW()-Fenetre)-1))</f>
        <v/>
      </c>
      <c r="E16" s="34">
        <f>IF(OR('Historique ajusté'!E16="",ROW()-Fenetre&lt;6),"",IF(INDEX('Historique ajusté'!E:E,ROW()-Fenetre)="","",'Historique ajusté'!E16/INDEX('Historique ajusté'!E:E,ROW()-Fenetre)-1))</f>
        <v/>
      </c>
      <c r="F16" s="34">
        <f>IF(OR('Historique ajusté'!F16="",ROW()-Fenetre&lt;6),"",IF(INDEX('Historique ajusté'!F:F,ROW()-Fenetre)="","",'Historique ajusté'!F16/INDEX('Historique ajusté'!F:F,ROW()-Fenetre)-1))</f>
        <v/>
      </c>
      <c r="G16" s="34">
        <f>IF(OR('Historique ajusté'!G16="",ROW()-Fenetre&lt;6),"",IF(INDEX('Historique ajusté'!G:G,ROW()-Fenetre)="","",'Historique ajusté'!G16/INDEX('Historique ajusté'!G:G,ROW()-Fenetre)-1))</f>
        <v/>
      </c>
      <c r="H16" s="34">
        <f>IF(OR('Historique ajusté'!H16="",ROW()-Fenetre&lt;6),"",IF(INDEX('Historique ajusté'!H:H,ROW()-Fenetre)="","",'Historique ajusté'!H16/INDEX('Historique ajusté'!H:H,ROW()-Fenetre)-1))</f>
        <v/>
      </c>
      <c r="I16" s="34">
        <f>IF(OR('Historique ajusté'!I16="",ROW()-Fenetre&lt;6),"",IF(INDEX('Historique ajusté'!I:I,ROW()-Fenetre)="","",'Historique ajusté'!I16/INDEX('Historique ajusté'!I:I,ROW()-Fenetre)-1))</f>
        <v/>
      </c>
      <c r="J16" s="34">
        <f>IF(OR('Historique ajusté'!J16="",ROW()-Fenetre&lt;6),"",IF(INDEX('Historique ajusté'!J:J,ROW()-Fenetre)="","",'Historique ajusté'!J16/INDEX('Historique ajusté'!J:J,ROW()-Fenetre)-1))</f>
        <v/>
      </c>
      <c r="K16" s="34">
        <f>IF(OR('Historique ajusté'!K16="",ROW()-Fenetre&lt;6),"",IF(INDEX('Historique ajusté'!K:K,ROW()-Fenetre)="","",'Historique ajusté'!K16/INDEX('Historique ajusté'!K:K,ROW()-Fenetre)-1))</f>
        <v/>
      </c>
      <c r="L16" s="34">
        <f>IF(OR('Historique ajusté'!L16="",ROW()-Fenetre&lt;6),"",IF(INDEX('Historique ajusté'!L:L,ROW()-Fenetre)="","",'Historique ajusté'!L16/INDEX('Historique ajusté'!L:L,ROW()-Fenetre)-1))</f>
        <v/>
      </c>
      <c r="M16" s="34">
        <f>IF(OR('Historique ajusté'!M16="",ROW()-Fenetre&lt;6),"",IF(INDEX('Historique ajusté'!M:M,ROW()-Fenetre)="","",'Historique ajusté'!M16/INDEX('Historique ajusté'!M:M,ROW()-Fenetre)-1))</f>
        <v/>
      </c>
      <c r="N16" s="34">
        <f>IF(OR('Historique ajusté'!N16="",ROW()-Fenetre&lt;6),"",IF(INDEX('Historique ajusté'!N:N,ROW()-Fenetre)="","",'Historique ajusté'!N16/INDEX('Historique ajusté'!N:N,ROW()-Fenetre)-1))</f>
        <v/>
      </c>
      <c r="O16" s="34">
        <f>IF(OR('Historique ajusté'!O16="",ROW()-Fenetre&lt;6),"",IF(INDEX('Historique ajusté'!O:O,ROW()-Fenetre)="","",'Historique ajusté'!O16/INDEX('Historique ajusté'!O:O,ROW()-Fenetre)-1))</f>
        <v/>
      </c>
      <c r="P16" s="34">
        <f>IF(OR('Historique ajusté'!P16="",ROW()-Fenetre&lt;6),"",IF(INDEX('Historique ajusté'!P:P,ROW()-Fenetre)="","",'Historique ajusté'!P16/INDEX('Historique ajusté'!P:P,ROW()-Fenetre)-1))</f>
        <v/>
      </c>
      <c r="Q16" s="34">
        <f>IF(OR(Composites!L16="",ROW()-Fenetre&lt;6),"",IF(INDEX(Composites!L:L,ROW()-Fenetre)="","",Composites!L16/INDEX(Composites!L:L,ROW()-Fenetre)-1))</f>
        <v/>
      </c>
      <c r="R16" s="34">
        <f>IF(OR(Composites!M16="",ROW()-Fenetre&lt;6),"",IF(INDEX(Composites!M:M,ROW()-Fenetre)="","",Composites!M16/INDEX(Composites!M:M,ROW()-Fenetre)-1))</f>
        <v/>
      </c>
      <c r="S16" s="34">
        <f>IF(OR(Composites!N16="",ROW()-Fenetre&lt;6),"",IF(INDEX(Composites!N:N,ROW()-Fenetre)="","",Composites!N16/INDEX(Composites!N:N,ROW()-Fenetre)-1))</f>
        <v/>
      </c>
      <c r="T16" s="34">
        <f>IF(OR(Composites!O16="",ROW()-Fenetre&lt;6),"",IF(INDEX(Composites!O:O,ROW()-Fenetre)="","",Composites!O16/INDEX(Composites!O:O,ROW()-Fenetre)-1))</f>
        <v/>
      </c>
      <c r="U16" s="34">
        <f>IF(OR(Composites!P16="",ROW()-Fenetre&lt;6),"",IF(INDEX(Composites!P:P,ROW()-Fenetre)="","",Composites!P16/INDEX(Composites!P:P,ROW()-Fenetre)-1))</f>
        <v/>
      </c>
      <c r="V16" s="34">
        <f>IF('Historique ajusté'!C16="","",'Historique ajusté'!C16/MAX('Historique ajusté'!C$6:C16)-1)</f>
        <v/>
      </c>
      <c r="W16" s="34">
        <f>IF('Historique ajusté'!D16="","",'Historique ajusté'!D16/MAX('Historique ajusté'!D$6:D16)-1)</f>
        <v/>
      </c>
      <c r="X16" s="34">
        <f>IF('Historique ajusté'!E16="","",'Historique ajusté'!E16/MAX('Historique ajusté'!E$6:E16)-1)</f>
        <v/>
      </c>
      <c r="Y16" s="34">
        <f>IF('Historique ajusté'!F16="","",'Historique ajusté'!F16/MAX('Historique ajusté'!F$6:F16)-1)</f>
        <v/>
      </c>
      <c r="Z16" s="34">
        <f>IF('Historique ajusté'!G16="","",'Historique ajusté'!G16/MAX('Historique ajusté'!G$6:G16)-1)</f>
        <v/>
      </c>
      <c r="AA16" s="34">
        <f>IF('Historique ajusté'!H16="","",'Historique ajusté'!H16/MAX('Historique ajusté'!H$6:H16)-1)</f>
        <v/>
      </c>
      <c r="AB16" s="34">
        <f>IF('Historique ajusté'!I16="","",'Historique ajusté'!I16/MAX('Historique ajusté'!I$6:I16)-1)</f>
        <v/>
      </c>
      <c r="AC16" s="34">
        <f>IF('Historique ajusté'!J16="","",'Historique ajusté'!J16/MAX('Historique ajusté'!J$6:J16)-1)</f>
        <v/>
      </c>
      <c r="AD16" s="34">
        <f>IF('Historique ajusté'!K16="","",'Historique ajusté'!K16/MAX('Historique ajusté'!K$6:K16)-1)</f>
        <v/>
      </c>
      <c r="AE16" s="34">
        <f>IF('Historique ajusté'!L16="","",'Historique ajusté'!L16/MAX('Historique ajusté'!L$6:L16)-1)</f>
        <v/>
      </c>
      <c r="AF16" s="34">
        <f>IF('Historique ajusté'!M16="","",'Historique ajusté'!M16/MAX('Historique ajusté'!M$6:M16)-1)</f>
        <v/>
      </c>
      <c r="AG16" s="34">
        <f>IF('Historique ajusté'!N16="","",'Historique ajusté'!N16/MAX('Historique ajusté'!N$6:N16)-1)</f>
        <v/>
      </c>
      <c r="AH16" s="34">
        <f>IF('Historique ajusté'!O16="","",'Historique ajusté'!O16/MAX('Historique ajusté'!O$6:O16)-1)</f>
        <v/>
      </c>
      <c r="AI16" s="34">
        <f>IF('Historique ajusté'!P16="","",'Historique ajusté'!P16/MAX('Historique ajusté'!P$6:P16)-1)</f>
        <v/>
      </c>
      <c r="AJ16" s="34">
        <f>IF(Composites!L16="","",Composites!L16/MAX(Composites!L$6:L16)-1)</f>
        <v/>
      </c>
      <c r="AK16" s="34">
        <f>IF(Composites!M16="","",Composites!M16/MAX(Composites!M$6:M16)-1)</f>
        <v/>
      </c>
      <c r="AL16" s="34">
        <f>IF(Composites!N16="","",Composites!N16/MAX(Composites!N$6:N16)-1)</f>
        <v/>
      </c>
      <c r="AM16" s="34">
        <f>IF(Composites!O16="","",Composites!O16/MAX(Composites!O$6:O16)-1)</f>
        <v/>
      </c>
      <c r="AN16" s="34">
        <f>IF(Composites!P16="","",Composites!P16/MAX(Composites!P$6:P16)-1)</f>
        <v/>
      </c>
    </row>
    <row r="17">
      <c r="B17" s="32">
        <f>'Historique ajusté'!B17</f>
        <v/>
      </c>
      <c r="C17" s="34">
        <f>IF(OR('Historique ajusté'!C17="",ROW()-Fenetre&lt;6),"",IF(INDEX('Historique ajusté'!C:C,ROW()-Fenetre)="","",'Historique ajusté'!C17/INDEX('Historique ajusté'!C:C,ROW()-Fenetre)-1))</f>
        <v/>
      </c>
      <c r="D17" s="34">
        <f>IF(OR('Historique ajusté'!D17="",ROW()-Fenetre&lt;6),"",IF(INDEX('Historique ajusté'!D:D,ROW()-Fenetre)="","",'Historique ajusté'!D17/INDEX('Historique ajusté'!D:D,ROW()-Fenetre)-1))</f>
        <v/>
      </c>
      <c r="E17" s="34">
        <f>IF(OR('Historique ajusté'!E17="",ROW()-Fenetre&lt;6),"",IF(INDEX('Historique ajusté'!E:E,ROW()-Fenetre)="","",'Historique ajusté'!E17/INDEX('Historique ajusté'!E:E,ROW()-Fenetre)-1))</f>
        <v/>
      </c>
      <c r="F17" s="34">
        <f>IF(OR('Historique ajusté'!F17="",ROW()-Fenetre&lt;6),"",IF(INDEX('Historique ajusté'!F:F,ROW()-Fenetre)="","",'Historique ajusté'!F17/INDEX('Historique ajusté'!F:F,ROW()-Fenetre)-1))</f>
        <v/>
      </c>
      <c r="G17" s="34">
        <f>IF(OR('Historique ajusté'!G17="",ROW()-Fenetre&lt;6),"",IF(INDEX('Historique ajusté'!G:G,ROW()-Fenetre)="","",'Historique ajusté'!G17/INDEX('Historique ajusté'!G:G,ROW()-Fenetre)-1))</f>
        <v/>
      </c>
      <c r="H17" s="34">
        <f>IF(OR('Historique ajusté'!H17="",ROW()-Fenetre&lt;6),"",IF(INDEX('Historique ajusté'!H:H,ROW()-Fenetre)="","",'Historique ajusté'!H17/INDEX('Historique ajusté'!H:H,ROW()-Fenetre)-1))</f>
        <v/>
      </c>
      <c r="I17" s="34">
        <f>IF(OR('Historique ajusté'!I17="",ROW()-Fenetre&lt;6),"",IF(INDEX('Historique ajusté'!I:I,ROW()-Fenetre)="","",'Historique ajusté'!I17/INDEX('Historique ajusté'!I:I,ROW()-Fenetre)-1))</f>
        <v/>
      </c>
      <c r="J17" s="34">
        <f>IF(OR('Historique ajusté'!J17="",ROW()-Fenetre&lt;6),"",IF(INDEX('Historique ajusté'!J:J,ROW()-Fenetre)="","",'Historique ajusté'!J17/INDEX('Historique ajusté'!J:J,ROW()-Fenetre)-1))</f>
        <v/>
      </c>
      <c r="K17" s="34">
        <f>IF(OR('Historique ajusté'!K17="",ROW()-Fenetre&lt;6),"",IF(INDEX('Historique ajusté'!K:K,ROW()-Fenetre)="","",'Historique ajusté'!K17/INDEX('Historique ajusté'!K:K,ROW()-Fenetre)-1))</f>
        <v/>
      </c>
      <c r="L17" s="34">
        <f>IF(OR('Historique ajusté'!L17="",ROW()-Fenetre&lt;6),"",IF(INDEX('Historique ajusté'!L:L,ROW()-Fenetre)="","",'Historique ajusté'!L17/INDEX('Historique ajusté'!L:L,ROW()-Fenetre)-1))</f>
        <v/>
      </c>
      <c r="M17" s="34">
        <f>IF(OR('Historique ajusté'!M17="",ROW()-Fenetre&lt;6),"",IF(INDEX('Historique ajusté'!M:M,ROW()-Fenetre)="","",'Historique ajusté'!M17/INDEX('Historique ajusté'!M:M,ROW()-Fenetre)-1))</f>
        <v/>
      </c>
      <c r="N17" s="34">
        <f>IF(OR('Historique ajusté'!N17="",ROW()-Fenetre&lt;6),"",IF(INDEX('Historique ajusté'!N:N,ROW()-Fenetre)="","",'Historique ajusté'!N17/INDEX('Historique ajusté'!N:N,ROW()-Fenetre)-1))</f>
        <v/>
      </c>
      <c r="O17" s="34">
        <f>IF(OR('Historique ajusté'!O17="",ROW()-Fenetre&lt;6),"",IF(INDEX('Historique ajusté'!O:O,ROW()-Fenetre)="","",'Historique ajusté'!O17/INDEX('Historique ajusté'!O:O,ROW()-Fenetre)-1))</f>
        <v/>
      </c>
      <c r="P17" s="34">
        <f>IF(OR('Historique ajusté'!P17="",ROW()-Fenetre&lt;6),"",IF(INDEX('Historique ajusté'!P:P,ROW()-Fenetre)="","",'Historique ajusté'!P17/INDEX('Historique ajusté'!P:P,ROW()-Fenetre)-1))</f>
        <v/>
      </c>
      <c r="Q17" s="34">
        <f>IF(OR(Composites!L17="",ROW()-Fenetre&lt;6),"",IF(INDEX(Composites!L:L,ROW()-Fenetre)="","",Composites!L17/INDEX(Composites!L:L,ROW()-Fenetre)-1))</f>
        <v/>
      </c>
      <c r="R17" s="34">
        <f>IF(OR(Composites!M17="",ROW()-Fenetre&lt;6),"",IF(INDEX(Composites!M:M,ROW()-Fenetre)="","",Composites!M17/INDEX(Composites!M:M,ROW()-Fenetre)-1))</f>
        <v/>
      </c>
      <c r="S17" s="34">
        <f>IF(OR(Composites!N17="",ROW()-Fenetre&lt;6),"",IF(INDEX(Composites!N:N,ROW()-Fenetre)="","",Composites!N17/INDEX(Composites!N:N,ROW()-Fenetre)-1))</f>
        <v/>
      </c>
      <c r="T17" s="34">
        <f>IF(OR(Composites!O17="",ROW()-Fenetre&lt;6),"",IF(INDEX(Composites!O:O,ROW()-Fenetre)="","",Composites!O17/INDEX(Composites!O:O,ROW()-Fenetre)-1))</f>
        <v/>
      </c>
      <c r="U17" s="34">
        <f>IF(OR(Composites!P17="",ROW()-Fenetre&lt;6),"",IF(INDEX(Composites!P:P,ROW()-Fenetre)="","",Composites!P17/INDEX(Composites!P:P,ROW()-Fenetre)-1))</f>
        <v/>
      </c>
      <c r="V17" s="34">
        <f>IF('Historique ajusté'!C17="","",'Historique ajusté'!C17/MAX('Historique ajusté'!C$6:C17)-1)</f>
        <v/>
      </c>
      <c r="W17" s="34">
        <f>IF('Historique ajusté'!D17="","",'Historique ajusté'!D17/MAX('Historique ajusté'!D$6:D17)-1)</f>
        <v/>
      </c>
      <c r="X17" s="34">
        <f>IF('Historique ajusté'!E17="","",'Historique ajusté'!E17/MAX('Historique ajusté'!E$6:E17)-1)</f>
        <v/>
      </c>
      <c r="Y17" s="34">
        <f>IF('Historique ajusté'!F17="","",'Historique ajusté'!F17/MAX('Historique ajusté'!F$6:F17)-1)</f>
        <v/>
      </c>
      <c r="Z17" s="34">
        <f>IF('Historique ajusté'!G17="","",'Historique ajusté'!G17/MAX('Historique ajusté'!G$6:G17)-1)</f>
        <v/>
      </c>
      <c r="AA17" s="34">
        <f>IF('Historique ajusté'!H17="","",'Historique ajusté'!H17/MAX('Historique ajusté'!H$6:H17)-1)</f>
        <v/>
      </c>
      <c r="AB17" s="34">
        <f>IF('Historique ajusté'!I17="","",'Historique ajusté'!I17/MAX('Historique ajusté'!I$6:I17)-1)</f>
        <v/>
      </c>
      <c r="AC17" s="34">
        <f>IF('Historique ajusté'!J17="","",'Historique ajusté'!J17/MAX('Historique ajusté'!J$6:J17)-1)</f>
        <v/>
      </c>
      <c r="AD17" s="34">
        <f>IF('Historique ajusté'!K17="","",'Historique ajusté'!K17/MAX('Historique ajusté'!K$6:K17)-1)</f>
        <v/>
      </c>
      <c r="AE17" s="34">
        <f>IF('Historique ajusté'!L17="","",'Historique ajusté'!L17/MAX('Historique ajusté'!L$6:L17)-1)</f>
        <v/>
      </c>
      <c r="AF17" s="34">
        <f>IF('Historique ajusté'!M17="","",'Historique ajusté'!M17/MAX('Historique ajusté'!M$6:M17)-1)</f>
        <v/>
      </c>
      <c r="AG17" s="34">
        <f>IF('Historique ajusté'!N17="","",'Historique ajusté'!N17/MAX('Historique ajusté'!N$6:N17)-1)</f>
        <v/>
      </c>
      <c r="AH17" s="34">
        <f>IF('Historique ajusté'!O17="","",'Historique ajusté'!O17/MAX('Historique ajusté'!O$6:O17)-1)</f>
        <v/>
      </c>
      <c r="AI17" s="34">
        <f>IF('Historique ajusté'!P17="","",'Historique ajusté'!P17/MAX('Historique ajusté'!P$6:P17)-1)</f>
        <v/>
      </c>
      <c r="AJ17" s="34">
        <f>IF(Composites!L17="","",Composites!L17/MAX(Composites!L$6:L17)-1)</f>
        <v/>
      </c>
      <c r="AK17" s="34">
        <f>IF(Composites!M17="","",Composites!M17/MAX(Composites!M$6:M17)-1)</f>
        <v/>
      </c>
      <c r="AL17" s="34">
        <f>IF(Composites!N17="","",Composites!N17/MAX(Composites!N$6:N17)-1)</f>
        <v/>
      </c>
      <c r="AM17" s="34">
        <f>IF(Composites!O17="","",Composites!O17/MAX(Composites!O$6:O17)-1)</f>
        <v/>
      </c>
      <c r="AN17" s="34">
        <f>IF(Composites!P17="","",Composites!P17/MAX(Composites!P$6:P17)-1)</f>
        <v/>
      </c>
    </row>
    <row r="18">
      <c r="B18" s="32">
        <f>'Historique ajusté'!B18</f>
        <v/>
      </c>
      <c r="C18" s="34">
        <f>IF(OR('Historique ajusté'!C18="",ROW()-Fenetre&lt;6),"",IF(INDEX('Historique ajusté'!C:C,ROW()-Fenetre)="","",'Historique ajusté'!C18/INDEX('Historique ajusté'!C:C,ROW()-Fenetre)-1))</f>
        <v/>
      </c>
      <c r="D18" s="34">
        <f>IF(OR('Historique ajusté'!D18="",ROW()-Fenetre&lt;6),"",IF(INDEX('Historique ajusté'!D:D,ROW()-Fenetre)="","",'Historique ajusté'!D18/INDEX('Historique ajusté'!D:D,ROW()-Fenetre)-1))</f>
        <v/>
      </c>
      <c r="E18" s="34">
        <f>IF(OR('Historique ajusté'!E18="",ROW()-Fenetre&lt;6),"",IF(INDEX('Historique ajusté'!E:E,ROW()-Fenetre)="","",'Historique ajusté'!E18/INDEX('Historique ajusté'!E:E,ROW()-Fenetre)-1))</f>
        <v/>
      </c>
      <c r="F18" s="34">
        <f>IF(OR('Historique ajusté'!F18="",ROW()-Fenetre&lt;6),"",IF(INDEX('Historique ajusté'!F:F,ROW()-Fenetre)="","",'Historique ajusté'!F18/INDEX('Historique ajusté'!F:F,ROW()-Fenetre)-1))</f>
        <v/>
      </c>
      <c r="G18" s="34">
        <f>IF(OR('Historique ajusté'!G18="",ROW()-Fenetre&lt;6),"",IF(INDEX('Historique ajusté'!G:G,ROW()-Fenetre)="","",'Historique ajusté'!G18/INDEX('Historique ajusté'!G:G,ROW()-Fenetre)-1))</f>
        <v/>
      </c>
      <c r="H18" s="34">
        <f>IF(OR('Historique ajusté'!H18="",ROW()-Fenetre&lt;6),"",IF(INDEX('Historique ajusté'!H:H,ROW()-Fenetre)="","",'Historique ajusté'!H18/INDEX('Historique ajusté'!H:H,ROW()-Fenetre)-1))</f>
        <v/>
      </c>
      <c r="I18" s="34">
        <f>IF(OR('Historique ajusté'!I18="",ROW()-Fenetre&lt;6),"",IF(INDEX('Historique ajusté'!I:I,ROW()-Fenetre)="","",'Historique ajusté'!I18/INDEX('Historique ajusté'!I:I,ROW()-Fenetre)-1))</f>
        <v/>
      </c>
      <c r="J18" s="34">
        <f>IF(OR('Historique ajusté'!J18="",ROW()-Fenetre&lt;6),"",IF(INDEX('Historique ajusté'!J:J,ROW()-Fenetre)="","",'Historique ajusté'!J18/INDEX('Historique ajusté'!J:J,ROW()-Fenetre)-1))</f>
        <v/>
      </c>
      <c r="K18" s="34">
        <f>IF(OR('Historique ajusté'!K18="",ROW()-Fenetre&lt;6),"",IF(INDEX('Historique ajusté'!K:K,ROW()-Fenetre)="","",'Historique ajusté'!K18/INDEX('Historique ajusté'!K:K,ROW()-Fenetre)-1))</f>
        <v/>
      </c>
      <c r="L18" s="34">
        <f>IF(OR('Historique ajusté'!L18="",ROW()-Fenetre&lt;6),"",IF(INDEX('Historique ajusté'!L:L,ROW()-Fenetre)="","",'Historique ajusté'!L18/INDEX('Historique ajusté'!L:L,ROW()-Fenetre)-1))</f>
        <v/>
      </c>
      <c r="M18" s="34">
        <f>IF(OR('Historique ajusté'!M18="",ROW()-Fenetre&lt;6),"",IF(INDEX('Historique ajusté'!M:M,ROW()-Fenetre)="","",'Historique ajusté'!M18/INDEX('Historique ajusté'!M:M,ROW()-Fenetre)-1))</f>
        <v/>
      </c>
      <c r="N18" s="34">
        <f>IF(OR('Historique ajusté'!N18="",ROW()-Fenetre&lt;6),"",IF(INDEX('Historique ajusté'!N:N,ROW()-Fenetre)="","",'Historique ajusté'!N18/INDEX('Historique ajusté'!N:N,ROW()-Fenetre)-1))</f>
        <v/>
      </c>
      <c r="O18" s="34">
        <f>IF(OR('Historique ajusté'!O18="",ROW()-Fenetre&lt;6),"",IF(INDEX('Historique ajusté'!O:O,ROW()-Fenetre)="","",'Historique ajusté'!O18/INDEX('Historique ajusté'!O:O,ROW()-Fenetre)-1))</f>
        <v/>
      </c>
      <c r="P18" s="34">
        <f>IF(OR('Historique ajusté'!P18="",ROW()-Fenetre&lt;6),"",IF(INDEX('Historique ajusté'!P:P,ROW()-Fenetre)="","",'Historique ajusté'!P18/INDEX('Historique ajusté'!P:P,ROW()-Fenetre)-1))</f>
        <v/>
      </c>
      <c r="Q18" s="34">
        <f>IF(OR(Composites!L18="",ROW()-Fenetre&lt;6),"",IF(INDEX(Composites!L:L,ROW()-Fenetre)="","",Composites!L18/INDEX(Composites!L:L,ROW()-Fenetre)-1))</f>
        <v/>
      </c>
      <c r="R18" s="34">
        <f>IF(OR(Composites!M18="",ROW()-Fenetre&lt;6),"",IF(INDEX(Composites!M:M,ROW()-Fenetre)="","",Composites!M18/INDEX(Composites!M:M,ROW()-Fenetre)-1))</f>
        <v/>
      </c>
      <c r="S18" s="34">
        <f>IF(OR(Composites!N18="",ROW()-Fenetre&lt;6),"",IF(INDEX(Composites!N:N,ROW()-Fenetre)="","",Composites!N18/INDEX(Composites!N:N,ROW()-Fenetre)-1))</f>
        <v/>
      </c>
      <c r="T18" s="34">
        <f>IF(OR(Composites!O18="",ROW()-Fenetre&lt;6),"",IF(INDEX(Composites!O:O,ROW()-Fenetre)="","",Composites!O18/INDEX(Composites!O:O,ROW()-Fenetre)-1))</f>
        <v/>
      </c>
      <c r="U18" s="34">
        <f>IF(OR(Composites!P18="",ROW()-Fenetre&lt;6),"",IF(INDEX(Composites!P:P,ROW()-Fenetre)="","",Composites!P18/INDEX(Composites!P:P,ROW()-Fenetre)-1))</f>
        <v/>
      </c>
      <c r="V18" s="34">
        <f>IF('Historique ajusté'!C18="","",'Historique ajusté'!C18/MAX('Historique ajusté'!C$6:C18)-1)</f>
        <v/>
      </c>
      <c r="W18" s="34">
        <f>IF('Historique ajusté'!D18="","",'Historique ajusté'!D18/MAX('Historique ajusté'!D$6:D18)-1)</f>
        <v/>
      </c>
      <c r="X18" s="34">
        <f>IF('Historique ajusté'!E18="","",'Historique ajusté'!E18/MAX('Historique ajusté'!E$6:E18)-1)</f>
        <v/>
      </c>
      <c r="Y18" s="34">
        <f>IF('Historique ajusté'!F18="","",'Historique ajusté'!F18/MAX('Historique ajusté'!F$6:F18)-1)</f>
        <v/>
      </c>
      <c r="Z18" s="34">
        <f>IF('Historique ajusté'!G18="","",'Historique ajusté'!G18/MAX('Historique ajusté'!G$6:G18)-1)</f>
        <v/>
      </c>
      <c r="AA18" s="34">
        <f>IF('Historique ajusté'!H18="","",'Historique ajusté'!H18/MAX('Historique ajusté'!H$6:H18)-1)</f>
        <v/>
      </c>
      <c r="AB18" s="34">
        <f>IF('Historique ajusté'!I18="","",'Historique ajusté'!I18/MAX('Historique ajusté'!I$6:I18)-1)</f>
        <v/>
      </c>
      <c r="AC18" s="34">
        <f>IF('Historique ajusté'!J18="","",'Historique ajusté'!J18/MAX('Historique ajusté'!J$6:J18)-1)</f>
        <v/>
      </c>
      <c r="AD18" s="34">
        <f>IF('Historique ajusté'!K18="","",'Historique ajusté'!K18/MAX('Historique ajusté'!K$6:K18)-1)</f>
        <v/>
      </c>
      <c r="AE18" s="34">
        <f>IF('Historique ajusté'!L18="","",'Historique ajusté'!L18/MAX('Historique ajusté'!L$6:L18)-1)</f>
        <v/>
      </c>
      <c r="AF18" s="34">
        <f>IF('Historique ajusté'!M18="","",'Historique ajusté'!M18/MAX('Historique ajusté'!M$6:M18)-1)</f>
        <v/>
      </c>
      <c r="AG18" s="34">
        <f>IF('Historique ajusté'!N18="","",'Historique ajusté'!N18/MAX('Historique ajusté'!N$6:N18)-1)</f>
        <v/>
      </c>
      <c r="AH18" s="34">
        <f>IF('Historique ajusté'!O18="","",'Historique ajusté'!O18/MAX('Historique ajusté'!O$6:O18)-1)</f>
        <v/>
      </c>
      <c r="AI18" s="34">
        <f>IF('Historique ajusté'!P18="","",'Historique ajusté'!P18/MAX('Historique ajusté'!P$6:P18)-1)</f>
        <v/>
      </c>
      <c r="AJ18" s="34">
        <f>IF(Composites!L18="","",Composites!L18/MAX(Composites!L$6:L18)-1)</f>
        <v/>
      </c>
      <c r="AK18" s="34">
        <f>IF(Composites!M18="","",Composites!M18/MAX(Composites!M$6:M18)-1)</f>
        <v/>
      </c>
      <c r="AL18" s="34">
        <f>IF(Composites!N18="","",Composites!N18/MAX(Composites!N$6:N18)-1)</f>
        <v/>
      </c>
      <c r="AM18" s="34">
        <f>IF(Composites!O18="","",Composites!O18/MAX(Composites!O$6:O18)-1)</f>
        <v/>
      </c>
      <c r="AN18" s="34">
        <f>IF(Composites!P18="","",Composites!P18/MAX(Composites!P$6:P18)-1)</f>
        <v/>
      </c>
    </row>
    <row r="19">
      <c r="B19" s="32">
        <f>'Historique ajusté'!B19</f>
        <v/>
      </c>
      <c r="C19" s="34">
        <f>IF(OR('Historique ajusté'!C19="",ROW()-Fenetre&lt;6),"",IF(INDEX('Historique ajusté'!C:C,ROW()-Fenetre)="","",'Historique ajusté'!C19/INDEX('Historique ajusté'!C:C,ROW()-Fenetre)-1))</f>
        <v/>
      </c>
      <c r="D19" s="34">
        <f>IF(OR('Historique ajusté'!D19="",ROW()-Fenetre&lt;6),"",IF(INDEX('Historique ajusté'!D:D,ROW()-Fenetre)="","",'Historique ajusté'!D19/INDEX('Historique ajusté'!D:D,ROW()-Fenetre)-1))</f>
        <v/>
      </c>
      <c r="E19" s="34">
        <f>IF(OR('Historique ajusté'!E19="",ROW()-Fenetre&lt;6),"",IF(INDEX('Historique ajusté'!E:E,ROW()-Fenetre)="","",'Historique ajusté'!E19/INDEX('Historique ajusté'!E:E,ROW()-Fenetre)-1))</f>
        <v/>
      </c>
      <c r="F19" s="34">
        <f>IF(OR('Historique ajusté'!F19="",ROW()-Fenetre&lt;6),"",IF(INDEX('Historique ajusté'!F:F,ROW()-Fenetre)="","",'Historique ajusté'!F19/INDEX('Historique ajusté'!F:F,ROW()-Fenetre)-1))</f>
        <v/>
      </c>
      <c r="G19" s="34">
        <f>IF(OR('Historique ajusté'!G19="",ROW()-Fenetre&lt;6),"",IF(INDEX('Historique ajusté'!G:G,ROW()-Fenetre)="","",'Historique ajusté'!G19/INDEX('Historique ajusté'!G:G,ROW()-Fenetre)-1))</f>
        <v/>
      </c>
      <c r="H19" s="34">
        <f>IF(OR('Historique ajusté'!H19="",ROW()-Fenetre&lt;6),"",IF(INDEX('Historique ajusté'!H:H,ROW()-Fenetre)="","",'Historique ajusté'!H19/INDEX('Historique ajusté'!H:H,ROW()-Fenetre)-1))</f>
        <v/>
      </c>
      <c r="I19" s="34">
        <f>IF(OR('Historique ajusté'!I19="",ROW()-Fenetre&lt;6),"",IF(INDEX('Historique ajusté'!I:I,ROW()-Fenetre)="","",'Historique ajusté'!I19/INDEX('Historique ajusté'!I:I,ROW()-Fenetre)-1))</f>
        <v/>
      </c>
      <c r="J19" s="34">
        <f>IF(OR('Historique ajusté'!J19="",ROW()-Fenetre&lt;6),"",IF(INDEX('Historique ajusté'!J:J,ROW()-Fenetre)="","",'Historique ajusté'!J19/INDEX('Historique ajusté'!J:J,ROW()-Fenetre)-1))</f>
        <v/>
      </c>
      <c r="K19" s="34">
        <f>IF(OR('Historique ajusté'!K19="",ROW()-Fenetre&lt;6),"",IF(INDEX('Historique ajusté'!K:K,ROW()-Fenetre)="","",'Historique ajusté'!K19/INDEX('Historique ajusté'!K:K,ROW()-Fenetre)-1))</f>
        <v/>
      </c>
      <c r="L19" s="34">
        <f>IF(OR('Historique ajusté'!L19="",ROW()-Fenetre&lt;6),"",IF(INDEX('Historique ajusté'!L:L,ROW()-Fenetre)="","",'Historique ajusté'!L19/INDEX('Historique ajusté'!L:L,ROW()-Fenetre)-1))</f>
        <v/>
      </c>
      <c r="M19" s="34">
        <f>IF(OR('Historique ajusté'!M19="",ROW()-Fenetre&lt;6),"",IF(INDEX('Historique ajusté'!M:M,ROW()-Fenetre)="","",'Historique ajusté'!M19/INDEX('Historique ajusté'!M:M,ROW()-Fenetre)-1))</f>
        <v/>
      </c>
      <c r="N19" s="34">
        <f>IF(OR('Historique ajusté'!N19="",ROW()-Fenetre&lt;6),"",IF(INDEX('Historique ajusté'!N:N,ROW()-Fenetre)="","",'Historique ajusté'!N19/INDEX('Historique ajusté'!N:N,ROW()-Fenetre)-1))</f>
        <v/>
      </c>
      <c r="O19" s="34">
        <f>IF(OR('Historique ajusté'!O19="",ROW()-Fenetre&lt;6),"",IF(INDEX('Historique ajusté'!O:O,ROW()-Fenetre)="","",'Historique ajusté'!O19/INDEX('Historique ajusté'!O:O,ROW()-Fenetre)-1))</f>
        <v/>
      </c>
      <c r="P19" s="34">
        <f>IF(OR('Historique ajusté'!P19="",ROW()-Fenetre&lt;6),"",IF(INDEX('Historique ajusté'!P:P,ROW()-Fenetre)="","",'Historique ajusté'!P19/INDEX('Historique ajusté'!P:P,ROW()-Fenetre)-1))</f>
        <v/>
      </c>
      <c r="Q19" s="34">
        <f>IF(OR(Composites!L19="",ROW()-Fenetre&lt;6),"",IF(INDEX(Composites!L:L,ROW()-Fenetre)="","",Composites!L19/INDEX(Composites!L:L,ROW()-Fenetre)-1))</f>
        <v/>
      </c>
      <c r="R19" s="34">
        <f>IF(OR(Composites!M19="",ROW()-Fenetre&lt;6),"",IF(INDEX(Composites!M:M,ROW()-Fenetre)="","",Composites!M19/INDEX(Composites!M:M,ROW()-Fenetre)-1))</f>
        <v/>
      </c>
      <c r="S19" s="34">
        <f>IF(OR(Composites!N19="",ROW()-Fenetre&lt;6),"",IF(INDEX(Composites!N:N,ROW()-Fenetre)="","",Composites!N19/INDEX(Composites!N:N,ROW()-Fenetre)-1))</f>
        <v/>
      </c>
      <c r="T19" s="34">
        <f>IF(OR(Composites!O19="",ROW()-Fenetre&lt;6),"",IF(INDEX(Composites!O:O,ROW()-Fenetre)="","",Composites!O19/INDEX(Composites!O:O,ROW()-Fenetre)-1))</f>
        <v/>
      </c>
      <c r="U19" s="34">
        <f>IF(OR(Composites!P19="",ROW()-Fenetre&lt;6),"",IF(INDEX(Composites!P:P,ROW()-Fenetre)="","",Composites!P19/INDEX(Composites!P:P,ROW()-Fenetre)-1))</f>
        <v/>
      </c>
      <c r="V19" s="34">
        <f>IF('Historique ajusté'!C19="","",'Historique ajusté'!C19/MAX('Historique ajusté'!C$6:C19)-1)</f>
        <v/>
      </c>
      <c r="W19" s="34">
        <f>IF('Historique ajusté'!D19="","",'Historique ajusté'!D19/MAX('Historique ajusté'!D$6:D19)-1)</f>
        <v/>
      </c>
      <c r="X19" s="34">
        <f>IF('Historique ajusté'!E19="","",'Historique ajusté'!E19/MAX('Historique ajusté'!E$6:E19)-1)</f>
        <v/>
      </c>
      <c r="Y19" s="34">
        <f>IF('Historique ajusté'!F19="","",'Historique ajusté'!F19/MAX('Historique ajusté'!F$6:F19)-1)</f>
        <v/>
      </c>
      <c r="Z19" s="34">
        <f>IF('Historique ajusté'!G19="","",'Historique ajusté'!G19/MAX('Historique ajusté'!G$6:G19)-1)</f>
        <v/>
      </c>
      <c r="AA19" s="34">
        <f>IF('Historique ajusté'!H19="","",'Historique ajusté'!H19/MAX('Historique ajusté'!H$6:H19)-1)</f>
        <v/>
      </c>
      <c r="AB19" s="34">
        <f>IF('Historique ajusté'!I19="","",'Historique ajusté'!I19/MAX('Historique ajusté'!I$6:I19)-1)</f>
        <v/>
      </c>
      <c r="AC19" s="34">
        <f>IF('Historique ajusté'!J19="","",'Historique ajusté'!J19/MAX('Historique ajusté'!J$6:J19)-1)</f>
        <v/>
      </c>
      <c r="AD19" s="34">
        <f>IF('Historique ajusté'!K19="","",'Historique ajusté'!K19/MAX('Historique ajusté'!K$6:K19)-1)</f>
        <v/>
      </c>
      <c r="AE19" s="34">
        <f>IF('Historique ajusté'!L19="","",'Historique ajusté'!L19/MAX('Historique ajusté'!L$6:L19)-1)</f>
        <v/>
      </c>
      <c r="AF19" s="34">
        <f>IF('Historique ajusté'!M19="","",'Historique ajusté'!M19/MAX('Historique ajusté'!M$6:M19)-1)</f>
        <v/>
      </c>
      <c r="AG19" s="34">
        <f>IF('Historique ajusté'!N19="","",'Historique ajusté'!N19/MAX('Historique ajusté'!N$6:N19)-1)</f>
        <v/>
      </c>
      <c r="AH19" s="34">
        <f>IF('Historique ajusté'!O19="","",'Historique ajusté'!O19/MAX('Historique ajusté'!O$6:O19)-1)</f>
        <v/>
      </c>
      <c r="AI19" s="34">
        <f>IF('Historique ajusté'!P19="","",'Historique ajusté'!P19/MAX('Historique ajusté'!P$6:P19)-1)</f>
        <v/>
      </c>
      <c r="AJ19" s="34">
        <f>IF(Composites!L19="","",Composites!L19/MAX(Composites!L$6:L19)-1)</f>
        <v/>
      </c>
      <c r="AK19" s="34">
        <f>IF(Composites!M19="","",Composites!M19/MAX(Composites!M$6:M19)-1)</f>
        <v/>
      </c>
      <c r="AL19" s="34">
        <f>IF(Composites!N19="","",Composites!N19/MAX(Composites!N$6:N19)-1)</f>
        <v/>
      </c>
      <c r="AM19" s="34">
        <f>IF(Composites!O19="","",Composites!O19/MAX(Composites!O$6:O19)-1)</f>
        <v/>
      </c>
      <c r="AN19" s="34">
        <f>IF(Composites!P19="","",Composites!P19/MAX(Composites!P$6:P19)-1)</f>
        <v/>
      </c>
    </row>
    <row r="20">
      <c r="B20" s="32">
        <f>'Historique ajusté'!B20</f>
        <v/>
      </c>
      <c r="C20" s="34">
        <f>IF(OR('Historique ajusté'!C20="",ROW()-Fenetre&lt;6),"",IF(INDEX('Historique ajusté'!C:C,ROW()-Fenetre)="","",'Historique ajusté'!C20/INDEX('Historique ajusté'!C:C,ROW()-Fenetre)-1))</f>
        <v/>
      </c>
      <c r="D20" s="34">
        <f>IF(OR('Historique ajusté'!D20="",ROW()-Fenetre&lt;6),"",IF(INDEX('Historique ajusté'!D:D,ROW()-Fenetre)="","",'Historique ajusté'!D20/INDEX('Historique ajusté'!D:D,ROW()-Fenetre)-1))</f>
        <v/>
      </c>
      <c r="E20" s="34">
        <f>IF(OR('Historique ajusté'!E20="",ROW()-Fenetre&lt;6),"",IF(INDEX('Historique ajusté'!E:E,ROW()-Fenetre)="","",'Historique ajusté'!E20/INDEX('Historique ajusté'!E:E,ROW()-Fenetre)-1))</f>
        <v/>
      </c>
      <c r="F20" s="34">
        <f>IF(OR('Historique ajusté'!F20="",ROW()-Fenetre&lt;6),"",IF(INDEX('Historique ajusté'!F:F,ROW()-Fenetre)="","",'Historique ajusté'!F20/INDEX('Historique ajusté'!F:F,ROW()-Fenetre)-1))</f>
        <v/>
      </c>
      <c r="G20" s="34">
        <f>IF(OR('Historique ajusté'!G20="",ROW()-Fenetre&lt;6),"",IF(INDEX('Historique ajusté'!G:G,ROW()-Fenetre)="","",'Historique ajusté'!G20/INDEX('Historique ajusté'!G:G,ROW()-Fenetre)-1))</f>
        <v/>
      </c>
      <c r="H20" s="34">
        <f>IF(OR('Historique ajusté'!H20="",ROW()-Fenetre&lt;6),"",IF(INDEX('Historique ajusté'!H:H,ROW()-Fenetre)="","",'Historique ajusté'!H20/INDEX('Historique ajusté'!H:H,ROW()-Fenetre)-1))</f>
        <v/>
      </c>
      <c r="I20" s="34">
        <f>IF(OR('Historique ajusté'!I20="",ROW()-Fenetre&lt;6),"",IF(INDEX('Historique ajusté'!I:I,ROW()-Fenetre)="","",'Historique ajusté'!I20/INDEX('Historique ajusté'!I:I,ROW()-Fenetre)-1))</f>
        <v/>
      </c>
      <c r="J20" s="34">
        <f>IF(OR('Historique ajusté'!J20="",ROW()-Fenetre&lt;6),"",IF(INDEX('Historique ajusté'!J:J,ROW()-Fenetre)="","",'Historique ajusté'!J20/INDEX('Historique ajusté'!J:J,ROW()-Fenetre)-1))</f>
        <v/>
      </c>
      <c r="K20" s="34">
        <f>IF(OR('Historique ajusté'!K20="",ROW()-Fenetre&lt;6),"",IF(INDEX('Historique ajusté'!K:K,ROW()-Fenetre)="","",'Historique ajusté'!K20/INDEX('Historique ajusté'!K:K,ROW()-Fenetre)-1))</f>
        <v/>
      </c>
      <c r="L20" s="34">
        <f>IF(OR('Historique ajusté'!L20="",ROW()-Fenetre&lt;6),"",IF(INDEX('Historique ajusté'!L:L,ROW()-Fenetre)="","",'Historique ajusté'!L20/INDEX('Historique ajusté'!L:L,ROW()-Fenetre)-1))</f>
        <v/>
      </c>
      <c r="M20" s="34">
        <f>IF(OR('Historique ajusté'!M20="",ROW()-Fenetre&lt;6),"",IF(INDEX('Historique ajusté'!M:M,ROW()-Fenetre)="","",'Historique ajusté'!M20/INDEX('Historique ajusté'!M:M,ROW()-Fenetre)-1))</f>
        <v/>
      </c>
      <c r="N20" s="34">
        <f>IF(OR('Historique ajusté'!N20="",ROW()-Fenetre&lt;6),"",IF(INDEX('Historique ajusté'!N:N,ROW()-Fenetre)="","",'Historique ajusté'!N20/INDEX('Historique ajusté'!N:N,ROW()-Fenetre)-1))</f>
        <v/>
      </c>
      <c r="O20" s="34">
        <f>IF(OR('Historique ajusté'!O20="",ROW()-Fenetre&lt;6),"",IF(INDEX('Historique ajusté'!O:O,ROW()-Fenetre)="","",'Historique ajusté'!O20/INDEX('Historique ajusté'!O:O,ROW()-Fenetre)-1))</f>
        <v/>
      </c>
      <c r="P20" s="34">
        <f>IF(OR('Historique ajusté'!P20="",ROW()-Fenetre&lt;6),"",IF(INDEX('Historique ajusté'!P:P,ROW()-Fenetre)="","",'Historique ajusté'!P20/INDEX('Historique ajusté'!P:P,ROW()-Fenetre)-1))</f>
        <v/>
      </c>
      <c r="Q20" s="34">
        <f>IF(OR(Composites!L20="",ROW()-Fenetre&lt;6),"",IF(INDEX(Composites!L:L,ROW()-Fenetre)="","",Composites!L20/INDEX(Composites!L:L,ROW()-Fenetre)-1))</f>
        <v/>
      </c>
      <c r="R20" s="34">
        <f>IF(OR(Composites!M20="",ROW()-Fenetre&lt;6),"",IF(INDEX(Composites!M:M,ROW()-Fenetre)="","",Composites!M20/INDEX(Composites!M:M,ROW()-Fenetre)-1))</f>
        <v/>
      </c>
      <c r="S20" s="34">
        <f>IF(OR(Composites!N20="",ROW()-Fenetre&lt;6),"",IF(INDEX(Composites!N:N,ROW()-Fenetre)="","",Composites!N20/INDEX(Composites!N:N,ROW()-Fenetre)-1))</f>
        <v/>
      </c>
      <c r="T20" s="34">
        <f>IF(OR(Composites!O20="",ROW()-Fenetre&lt;6),"",IF(INDEX(Composites!O:O,ROW()-Fenetre)="","",Composites!O20/INDEX(Composites!O:O,ROW()-Fenetre)-1))</f>
        <v/>
      </c>
      <c r="U20" s="34">
        <f>IF(OR(Composites!P20="",ROW()-Fenetre&lt;6),"",IF(INDEX(Composites!P:P,ROW()-Fenetre)="","",Composites!P20/INDEX(Composites!P:P,ROW()-Fenetre)-1))</f>
        <v/>
      </c>
      <c r="V20" s="34">
        <f>IF('Historique ajusté'!C20="","",'Historique ajusté'!C20/MAX('Historique ajusté'!C$6:C20)-1)</f>
        <v/>
      </c>
      <c r="W20" s="34">
        <f>IF('Historique ajusté'!D20="","",'Historique ajusté'!D20/MAX('Historique ajusté'!D$6:D20)-1)</f>
        <v/>
      </c>
      <c r="X20" s="34">
        <f>IF('Historique ajusté'!E20="","",'Historique ajusté'!E20/MAX('Historique ajusté'!E$6:E20)-1)</f>
        <v/>
      </c>
      <c r="Y20" s="34">
        <f>IF('Historique ajusté'!F20="","",'Historique ajusté'!F20/MAX('Historique ajusté'!F$6:F20)-1)</f>
        <v/>
      </c>
      <c r="Z20" s="34">
        <f>IF('Historique ajusté'!G20="","",'Historique ajusté'!G20/MAX('Historique ajusté'!G$6:G20)-1)</f>
        <v/>
      </c>
      <c r="AA20" s="34">
        <f>IF('Historique ajusté'!H20="","",'Historique ajusté'!H20/MAX('Historique ajusté'!H$6:H20)-1)</f>
        <v/>
      </c>
      <c r="AB20" s="34">
        <f>IF('Historique ajusté'!I20="","",'Historique ajusté'!I20/MAX('Historique ajusté'!I$6:I20)-1)</f>
        <v/>
      </c>
      <c r="AC20" s="34">
        <f>IF('Historique ajusté'!J20="","",'Historique ajusté'!J20/MAX('Historique ajusté'!J$6:J20)-1)</f>
        <v/>
      </c>
      <c r="AD20" s="34">
        <f>IF('Historique ajusté'!K20="","",'Historique ajusté'!K20/MAX('Historique ajusté'!K$6:K20)-1)</f>
        <v/>
      </c>
      <c r="AE20" s="34">
        <f>IF('Historique ajusté'!L20="","",'Historique ajusté'!L20/MAX('Historique ajusté'!L$6:L20)-1)</f>
        <v/>
      </c>
      <c r="AF20" s="34">
        <f>IF('Historique ajusté'!M20="","",'Historique ajusté'!M20/MAX('Historique ajusté'!M$6:M20)-1)</f>
        <v/>
      </c>
      <c r="AG20" s="34">
        <f>IF('Historique ajusté'!N20="","",'Historique ajusté'!N20/MAX('Historique ajusté'!N$6:N20)-1)</f>
        <v/>
      </c>
      <c r="AH20" s="34">
        <f>IF('Historique ajusté'!O20="","",'Historique ajusté'!O20/MAX('Historique ajusté'!O$6:O20)-1)</f>
        <v/>
      </c>
      <c r="AI20" s="34">
        <f>IF('Historique ajusté'!P20="","",'Historique ajusté'!P20/MAX('Historique ajusté'!P$6:P20)-1)</f>
        <v/>
      </c>
      <c r="AJ20" s="34">
        <f>IF(Composites!L20="","",Composites!L20/MAX(Composites!L$6:L20)-1)</f>
        <v/>
      </c>
      <c r="AK20" s="34">
        <f>IF(Composites!M20="","",Composites!M20/MAX(Composites!M$6:M20)-1)</f>
        <v/>
      </c>
      <c r="AL20" s="34">
        <f>IF(Composites!N20="","",Composites!N20/MAX(Composites!N$6:N20)-1)</f>
        <v/>
      </c>
      <c r="AM20" s="34">
        <f>IF(Composites!O20="","",Composites!O20/MAX(Composites!O$6:O20)-1)</f>
        <v/>
      </c>
      <c r="AN20" s="34">
        <f>IF(Composites!P20="","",Composites!P20/MAX(Composites!P$6:P20)-1)</f>
        <v/>
      </c>
    </row>
    <row r="21">
      <c r="B21" s="32">
        <f>'Historique ajusté'!B21</f>
        <v/>
      </c>
      <c r="C21" s="34">
        <f>IF(OR('Historique ajusté'!C21="",ROW()-Fenetre&lt;6),"",IF(INDEX('Historique ajusté'!C:C,ROW()-Fenetre)="","",'Historique ajusté'!C21/INDEX('Historique ajusté'!C:C,ROW()-Fenetre)-1))</f>
        <v/>
      </c>
      <c r="D21" s="34">
        <f>IF(OR('Historique ajusté'!D21="",ROW()-Fenetre&lt;6),"",IF(INDEX('Historique ajusté'!D:D,ROW()-Fenetre)="","",'Historique ajusté'!D21/INDEX('Historique ajusté'!D:D,ROW()-Fenetre)-1))</f>
        <v/>
      </c>
      <c r="E21" s="34">
        <f>IF(OR('Historique ajusté'!E21="",ROW()-Fenetre&lt;6),"",IF(INDEX('Historique ajusté'!E:E,ROW()-Fenetre)="","",'Historique ajusté'!E21/INDEX('Historique ajusté'!E:E,ROW()-Fenetre)-1))</f>
        <v/>
      </c>
      <c r="F21" s="34">
        <f>IF(OR('Historique ajusté'!F21="",ROW()-Fenetre&lt;6),"",IF(INDEX('Historique ajusté'!F:F,ROW()-Fenetre)="","",'Historique ajusté'!F21/INDEX('Historique ajusté'!F:F,ROW()-Fenetre)-1))</f>
        <v/>
      </c>
      <c r="G21" s="34">
        <f>IF(OR('Historique ajusté'!G21="",ROW()-Fenetre&lt;6),"",IF(INDEX('Historique ajusté'!G:G,ROW()-Fenetre)="","",'Historique ajusté'!G21/INDEX('Historique ajusté'!G:G,ROW()-Fenetre)-1))</f>
        <v/>
      </c>
      <c r="H21" s="34">
        <f>IF(OR('Historique ajusté'!H21="",ROW()-Fenetre&lt;6),"",IF(INDEX('Historique ajusté'!H:H,ROW()-Fenetre)="","",'Historique ajusté'!H21/INDEX('Historique ajusté'!H:H,ROW()-Fenetre)-1))</f>
        <v/>
      </c>
      <c r="I21" s="34">
        <f>IF(OR('Historique ajusté'!I21="",ROW()-Fenetre&lt;6),"",IF(INDEX('Historique ajusté'!I:I,ROW()-Fenetre)="","",'Historique ajusté'!I21/INDEX('Historique ajusté'!I:I,ROW()-Fenetre)-1))</f>
        <v/>
      </c>
      <c r="J21" s="34">
        <f>IF(OR('Historique ajusté'!J21="",ROW()-Fenetre&lt;6),"",IF(INDEX('Historique ajusté'!J:J,ROW()-Fenetre)="","",'Historique ajusté'!J21/INDEX('Historique ajusté'!J:J,ROW()-Fenetre)-1))</f>
        <v/>
      </c>
      <c r="K21" s="34">
        <f>IF(OR('Historique ajusté'!K21="",ROW()-Fenetre&lt;6),"",IF(INDEX('Historique ajusté'!K:K,ROW()-Fenetre)="","",'Historique ajusté'!K21/INDEX('Historique ajusté'!K:K,ROW()-Fenetre)-1))</f>
        <v/>
      </c>
      <c r="L21" s="34">
        <f>IF(OR('Historique ajusté'!L21="",ROW()-Fenetre&lt;6),"",IF(INDEX('Historique ajusté'!L:L,ROW()-Fenetre)="","",'Historique ajusté'!L21/INDEX('Historique ajusté'!L:L,ROW()-Fenetre)-1))</f>
        <v/>
      </c>
      <c r="M21" s="34">
        <f>IF(OR('Historique ajusté'!M21="",ROW()-Fenetre&lt;6),"",IF(INDEX('Historique ajusté'!M:M,ROW()-Fenetre)="","",'Historique ajusté'!M21/INDEX('Historique ajusté'!M:M,ROW()-Fenetre)-1))</f>
        <v/>
      </c>
      <c r="N21" s="34">
        <f>IF(OR('Historique ajusté'!N21="",ROW()-Fenetre&lt;6),"",IF(INDEX('Historique ajusté'!N:N,ROW()-Fenetre)="","",'Historique ajusté'!N21/INDEX('Historique ajusté'!N:N,ROW()-Fenetre)-1))</f>
        <v/>
      </c>
      <c r="O21" s="34">
        <f>IF(OR('Historique ajusté'!O21="",ROW()-Fenetre&lt;6),"",IF(INDEX('Historique ajusté'!O:O,ROW()-Fenetre)="","",'Historique ajusté'!O21/INDEX('Historique ajusté'!O:O,ROW()-Fenetre)-1))</f>
        <v/>
      </c>
      <c r="P21" s="34">
        <f>IF(OR('Historique ajusté'!P21="",ROW()-Fenetre&lt;6),"",IF(INDEX('Historique ajusté'!P:P,ROW()-Fenetre)="","",'Historique ajusté'!P21/INDEX('Historique ajusté'!P:P,ROW()-Fenetre)-1))</f>
        <v/>
      </c>
      <c r="Q21" s="34">
        <f>IF(OR(Composites!L21="",ROW()-Fenetre&lt;6),"",IF(INDEX(Composites!L:L,ROW()-Fenetre)="","",Composites!L21/INDEX(Composites!L:L,ROW()-Fenetre)-1))</f>
        <v/>
      </c>
      <c r="R21" s="34">
        <f>IF(OR(Composites!M21="",ROW()-Fenetre&lt;6),"",IF(INDEX(Composites!M:M,ROW()-Fenetre)="","",Composites!M21/INDEX(Composites!M:M,ROW()-Fenetre)-1))</f>
        <v/>
      </c>
      <c r="S21" s="34">
        <f>IF(OR(Composites!N21="",ROW()-Fenetre&lt;6),"",IF(INDEX(Composites!N:N,ROW()-Fenetre)="","",Composites!N21/INDEX(Composites!N:N,ROW()-Fenetre)-1))</f>
        <v/>
      </c>
      <c r="T21" s="34">
        <f>IF(OR(Composites!O21="",ROW()-Fenetre&lt;6),"",IF(INDEX(Composites!O:O,ROW()-Fenetre)="","",Composites!O21/INDEX(Composites!O:O,ROW()-Fenetre)-1))</f>
        <v/>
      </c>
      <c r="U21" s="34">
        <f>IF(OR(Composites!P21="",ROW()-Fenetre&lt;6),"",IF(INDEX(Composites!P:P,ROW()-Fenetre)="","",Composites!P21/INDEX(Composites!P:P,ROW()-Fenetre)-1))</f>
        <v/>
      </c>
      <c r="V21" s="34">
        <f>IF('Historique ajusté'!C21="","",'Historique ajusté'!C21/MAX('Historique ajusté'!C$6:C21)-1)</f>
        <v/>
      </c>
      <c r="W21" s="34">
        <f>IF('Historique ajusté'!D21="","",'Historique ajusté'!D21/MAX('Historique ajusté'!D$6:D21)-1)</f>
        <v/>
      </c>
      <c r="X21" s="34">
        <f>IF('Historique ajusté'!E21="","",'Historique ajusté'!E21/MAX('Historique ajusté'!E$6:E21)-1)</f>
        <v/>
      </c>
      <c r="Y21" s="34">
        <f>IF('Historique ajusté'!F21="","",'Historique ajusté'!F21/MAX('Historique ajusté'!F$6:F21)-1)</f>
        <v/>
      </c>
      <c r="Z21" s="34">
        <f>IF('Historique ajusté'!G21="","",'Historique ajusté'!G21/MAX('Historique ajusté'!G$6:G21)-1)</f>
        <v/>
      </c>
      <c r="AA21" s="34">
        <f>IF('Historique ajusté'!H21="","",'Historique ajusté'!H21/MAX('Historique ajusté'!H$6:H21)-1)</f>
        <v/>
      </c>
      <c r="AB21" s="34">
        <f>IF('Historique ajusté'!I21="","",'Historique ajusté'!I21/MAX('Historique ajusté'!I$6:I21)-1)</f>
        <v/>
      </c>
      <c r="AC21" s="34">
        <f>IF('Historique ajusté'!J21="","",'Historique ajusté'!J21/MAX('Historique ajusté'!J$6:J21)-1)</f>
        <v/>
      </c>
      <c r="AD21" s="34">
        <f>IF('Historique ajusté'!K21="","",'Historique ajusté'!K21/MAX('Historique ajusté'!K$6:K21)-1)</f>
        <v/>
      </c>
      <c r="AE21" s="34">
        <f>IF('Historique ajusté'!L21="","",'Historique ajusté'!L21/MAX('Historique ajusté'!L$6:L21)-1)</f>
        <v/>
      </c>
      <c r="AF21" s="34">
        <f>IF('Historique ajusté'!M21="","",'Historique ajusté'!M21/MAX('Historique ajusté'!M$6:M21)-1)</f>
        <v/>
      </c>
      <c r="AG21" s="34">
        <f>IF('Historique ajusté'!N21="","",'Historique ajusté'!N21/MAX('Historique ajusté'!N$6:N21)-1)</f>
        <v/>
      </c>
      <c r="AH21" s="34">
        <f>IF('Historique ajusté'!O21="","",'Historique ajusté'!O21/MAX('Historique ajusté'!O$6:O21)-1)</f>
        <v/>
      </c>
      <c r="AI21" s="34">
        <f>IF('Historique ajusté'!P21="","",'Historique ajusté'!P21/MAX('Historique ajusté'!P$6:P21)-1)</f>
        <v/>
      </c>
      <c r="AJ21" s="34">
        <f>IF(Composites!L21="","",Composites!L21/MAX(Composites!L$6:L21)-1)</f>
        <v/>
      </c>
      <c r="AK21" s="34">
        <f>IF(Composites!M21="","",Composites!M21/MAX(Composites!M$6:M21)-1)</f>
        <v/>
      </c>
      <c r="AL21" s="34">
        <f>IF(Composites!N21="","",Composites!N21/MAX(Composites!N$6:N21)-1)</f>
        <v/>
      </c>
      <c r="AM21" s="34">
        <f>IF(Composites!O21="","",Composites!O21/MAX(Composites!O$6:O21)-1)</f>
        <v/>
      </c>
      <c r="AN21" s="34">
        <f>IF(Composites!P21="","",Composites!P21/MAX(Composites!P$6:P21)-1)</f>
        <v/>
      </c>
    </row>
    <row r="22">
      <c r="B22" s="32">
        <f>'Historique ajusté'!B22</f>
        <v/>
      </c>
      <c r="C22" s="34">
        <f>IF(OR('Historique ajusté'!C22="",ROW()-Fenetre&lt;6),"",IF(INDEX('Historique ajusté'!C:C,ROW()-Fenetre)="","",'Historique ajusté'!C22/INDEX('Historique ajusté'!C:C,ROW()-Fenetre)-1))</f>
        <v/>
      </c>
      <c r="D22" s="34">
        <f>IF(OR('Historique ajusté'!D22="",ROW()-Fenetre&lt;6),"",IF(INDEX('Historique ajusté'!D:D,ROW()-Fenetre)="","",'Historique ajusté'!D22/INDEX('Historique ajusté'!D:D,ROW()-Fenetre)-1))</f>
        <v/>
      </c>
      <c r="E22" s="34">
        <f>IF(OR('Historique ajusté'!E22="",ROW()-Fenetre&lt;6),"",IF(INDEX('Historique ajusté'!E:E,ROW()-Fenetre)="","",'Historique ajusté'!E22/INDEX('Historique ajusté'!E:E,ROW()-Fenetre)-1))</f>
        <v/>
      </c>
      <c r="F22" s="34">
        <f>IF(OR('Historique ajusté'!F22="",ROW()-Fenetre&lt;6),"",IF(INDEX('Historique ajusté'!F:F,ROW()-Fenetre)="","",'Historique ajusté'!F22/INDEX('Historique ajusté'!F:F,ROW()-Fenetre)-1))</f>
        <v/>
      </c>
      <c r="G22" s="34">
        <f>IF(OR('Historique ajusté'!G22="",ROW()-Fenetre&lt;6),"",IF(INDEX('Historique ajusté'!G:G,ROW()-Fenetre)="","",'Historique ajusté'!G22/INDEX('Historique ajusté'!G:G,ROW()-Fenetre)-1))</f>
        <v/>
      </c>
      <c r="H22" s="34">
        <f>IF(OR('Historique ajusté'!H22="",ROW()-Fenetre&lt;6),"",IF(INDEX('Historique ajusté'!H:H,ROW()-Fenetre)="","",'Historique ajusté'!H22/INDEX('Historique ajusté'!H:H,ROW()-Fenetre)-1))</f>
        <v/>
      </c>
      <c r="I22" s="34">
        <f>IF(OR('Historique ajusté'!I22="",ROW()-Fenetre&lt;6),"",IF(INDEX('Historique ajusté'!I:I,ROW()-Fenetre)="","",'Historique ajusté'!I22/INDEX('Historique ajusté'!I:I,ROW()-Fenetre)-1))</f>
        <v/>
      </c>
      <c r="J22" s="34">
        <f>IF(OR('Historique ajusté'!J22="",ROW()-Fenetre&lt;6),"",IF(INDEX('Historique ajusté'!J:J,ROW()-Fenetre)="","",'Historique ajusté'!J22/INDEX('Historique ajusté'!J:J,ROW()-Fenetre)-1))</f>
        <v/>
      </c>
      <c r="K22" s="34">
        <f>IF(OR('Historique ajusté'!K22="",ROW()-Fenetre&lt;6),"",IF(INDEX('Historique ajusté'!K:K,ROW()-Fenetre)="","",'Historique ajusté'!K22/INDEX('Historique ajusté'!K:K,ROW()-Fenetre)-1))</f>
        <v/>
      </c>
      <c r="L22" s="34">
        <f>IF(OR('Historique ajusté'!L22="",ROW()-Fenetre&lt;6),"",IF(INDEX('Historique ajusté'!L:L,ROW()-Fenetre)="","",'Historique ajusté'!L22/INDEX('Historique ajusté'!L:L,ROW()-Fenetre)-1))</f>
        <v/>
      </c>
      <c r="M22" s="34">
        <f>IF(OR('Historique ajusté'!M22="",ROW()-Fenetre&lt;6),"",IF(INDEX('Historique ajusté'!M:M,ROW()-Fenetre)="","",'Historique ajusté'!M22/INDEX('Historique ajusté'!M:M,ROW()-Fenetre)-1))</f>
        <v/>
      </c>
      <c r="N22" s="34">
        <f>IF(OR('Historique ajusté'!N22="",ROW()-Fenetre&lt;6),"",IF(INDEX('Historique ajusté'!N:N,ROW()-Fenetre)="","",'Historique ajusté'!N22/INDEX('Historique ajusté'!N:N,ROW()-Fenetre)-1))</f>
        <v/>
      </c>
      <c r="O22" s="34">
        <f>IF(OR('Historique ajusté'!O22="",ROW()-Fenetre&lt;6),"",IF(INDEX('Historique ajusté'!O:O,ROW()-Fenetre)="","",'Historique ajusté'!O22/INDEX('Historique ajusté'!O:O,ROW()-Fenetre)-1))</f>
        <v/>
      </c>
      <c r="P22" s="34">
        <f>IF(OR('Historique ajusté'!P22="",ROW()-Fenetre&lt;6),"",IF(INDEX('Historique ajusté'!P:P,ROW()-Fenetre)="","",'Historique ajusté'!P22/INDEX('Historique ajusté'!P:P,ROW()-Fenetre)-1))</f>
        <v/>
      </c>
      <c r="Q22" s="34">
        <f>IF(OR(Composites!L22="",ROW()-Fenetre&lt;6),"",IF(INDEX(Composites!L:L,ROW()-Fenetre)="","",Composites!L22/INDEX(Composites!L:L,ROW()-Fenetre)-1))</f>
        <v/>
      </c>
      <c r="R22" s="34">
        <f>IF(OR(Composites!M22="",ROW()-Fenetre&lt;6),"",IF(INDEX(Composites!M:M,ROW()-Fenetre)="","",Composites!M22/INDEX(Composites!M:M,ROW()-Fenetre)-1))</f>
        <v/>
      </c>
      <c r="S22" s="34">
        <f>IF(OR(Composites!N22="",ROW()-Fenetre&lt;6),"",IF(INDEX(Composites!N:N,ROW()-Fenetre)="","",Composites!N22/INDEX(Composites!N:N,ROW()-Fenetre)-1))</f>
        <v/>
      </c>
      <c r="T22" s="34">
        <f>IF(OR(Composites!O22="",ROW()-Fenetre&lt;6),"",IF(INDEX(Composites!O:O,ROW()-Fenetre)="","",Composites!O22/INDEX(Composites!O:O,ROW()-Fenetre)-1))</f>
        <v/>
      </c>
      <c r="U22" s="34">
        <f>IF(OR(Composites!P22="",ROW()-Fenetre&lt;6),"",IF(INDEX(Composites!P:P,ROW()-Fenetre)="","",Composites!P22/INDEX(Composites!P:P,ROW()-Fenetre)-1))</f>
        <v/>
      </c>
      <c r="V22" s="34">
        <f>IF('Historique ajusté'!C22="","",'Historique ajusté'!C22/MAX('Historique ajusté'!C$6:C22)-1)</f>
        <v/>
      </c>
      <c r="W22" s="34">
        <f>IF('Historique ajusté'!D22="","",'Historique ajusté'!D22/MAX('Historique ajusté'!D$6:D22)-1)</f>
        <v/>
      </c>
      <c r="X22" s="34">
        <f>IF('Historique ajusté'!E22="","",'Historique ajusté'!E22/MAX('Historique ajusté'!E$6:E22)-1)</f>
        <v/>
      </c>
      <c r="Y22" s="34">
        <f>IF('Historique ajusté'!F22="","",'Historique ajusté'!F22/MAX('Historique ajusté'!F$6:F22)-1)</f>
        <v/>
      </c>
      <c r="Z22" s="34">
        <f>IF('Historique ajusté'!G22="","",'Historique ajusté'!G22/MAX('Historique ajusté'!G$6:G22)-1)</f>
        <v/>
      </c>
      <c r="AA22" s="34">
        <f>IF('Historique ajusté'!H22="","",'Historique ajusté'!H22/MAX('Historique ajusté'!H$6:H22)-1)</f>
        <v/>
      </c>
      <c r="AB22" s="34">
        <f>IF('Historique ajusté'!I22="","",'Historique ajusté'!I22/MAX('Historique ajusté'!I$6:I22)-1)</f>
        <v/>
      </c>
      <c r="AC22" s="34">
        <f>IF('Historique ajusté'!J22="","",'Historique ajusté'!J22/MAX('Historique ajusté'!J$6:J22)-1)</f>
        <v/>
      </c>
      <c r="AD22" s="34">
        <f>IF('Historique ajusté'!K22="","",'Historique ajusté'!K22/MAX('Historique ajusté'!K$6:K22)-1)</f>
        <v/>
      </c>
      <c r="AE22" s="34">
        <f>IF('Historique ajusté'!L22="","",'Historique ajusté'!L22/MAX('Historique ajusté'!L$6:L22)-1)</f>
        <v/>
      </c>
      <c r="AF22" s="34">
        <f>IF('Historique ajusté'!M22="","",'Historique ajusté'!M22/MAX('Historique ajusté'!M$6:M22)-1)</f>
        <v/>
      </c>
      <c r="AG22" s="34">
        <f>IF('Historique ajusté'!N22="","",'Historique ajusté'!N22/MAX('Historique ajusté'!N$6:N22)-1)</f>
        <v/>
      </c>
      <c r="AH22" s="34">
        <f>IF('Historique ajusté'!O22="","",'Historique ajusté'!O22/MAX('Historique ajusté'!O$6:O22)-1)</f>
        <v/>
      </c>
      <c r="AI22" s="34">
        <f>IF('Historique ajusté'!P22="","",'Historique ajusté'!P22/MAX('Historique ajusté'!P$6:P22)-1)</f>
        <v/>
      </c>
      <c r="AJ22" s="34">
        <f>IF(Composites!L22="","",Composites!L22/MAX(Composites!L$6:L22)-1)</f>
        <v/>
      </c>
      <c r="AK22" s="34">
        <f>IF(Composites!M22="","",Composites!M22/MAX(Composites!M$6:M22)-1)</f>
        <v/>
      </c>
      <c r="AL22" s="34">
        <f>IF(Composites!N22="","",Composites!N22/MAX(Composites!N$6:N22)-1)</f>
        <v/>
      </c>
      <c r="AM22" s="34">
        <f>IF(Composites!O22="","",Composites!O22/MAX(Composites!O$6:O22)-1)</f>
        <v/>
      </c>
      <c r="AN22" s="34">
        <f>IF(Composites!P22="","",Composites!P22/MAX(Composites!P$6:P22)-1)</f>
        <v/>
      </c>
    </row>
    <row r="23">
      <c r="B23" s="32">
        <f>'Historique ajusté'!B23</f>
        <v/>
      </c>
      <c r="C23" s="34">
        <f>IF(OR('Historique ajusté'!C23="",ROW()-Fenetre&lt;6),"",IF(INDEX('Historique ajusté'!C:C,ROW()-Fenetre)="","",'Historique ajusté'!C23/INDEX('Historique ajusté'!C:C,ROW()-Fenetre)-1))</f>
        <v/>
      </c>
      <c r="D23" s="34">
        <f>IF(OR('Historique ajusté'!D23="",ROW()-Fenetre&lt;6),"",IF(INDEX('Historique ajusté'!D:D,ROW()-Fenetre)="","",'Historique ajusté'!D23/INDEX('Historique ajusté'!D:D,ROW()-Fenetre)-1))</f>
        <v/>
      </c>
      <c r="E23" s="34">
        <f>IF(OR('Historique ajusté'!E23="",ROW()-Fenetre&lt;6),"",IF(INDEX('Historique ajusté'!E:E,ROW()-Fenetre)="","",'Historique ajusté'!E23/INDEX('Historique ajusté'!E:E,ROW()-Fenetre)-1))</f>
        <v/>
      </c>
      <c r="F23" s="34">
        <f>IF(OR('Historique ajusté'!F23="",ROW()-Fenetre&lt;6),"",IF(INDEX('Historique ajusté'!F:F,ROW()-Fenetre)="","",'Historique ajusté'!F23/INDEX('Historique ajusté'!F:F,ROW()-Fenetre)-1))</f>
        <v/>
      </c>
      <c r="G23" s="34">
        <f>IF(OR('Historique ajusté'!G23="",ROW()-Fenetre&lt;6),"",IF(INDEX('Historique ajusté'!G:G,ROW()-Fenetre)="","",'Historique ajusté'!G23/INDEX('Historique ajusté'!G:G,ROW()-Fenetre)-1))</f>
        <v/>
      </c>
      <c r="H23" s="34">
        <f>IF(OR('Historique ajusté'!H23="",ROW()-Fenetre&lt;6),"",IF(INDEX('Historique ajusté'!H:H,ROW()-Fenetre)="","",'Historique ajusté'!H23/INDEX('Historique ajusté'!H:H,ROW()-Fenetre)-1))</f>
        <v/>
      </c>
      <c r="I23" s="34">
        <f>IF(OR('Historique ajusté'!I23="",ROW()-Fenetre&lt;6),"",IF(INDEX('Historique ajusté'!I:I,ROW()-Fenetre)="","",'Historique ajusté'!I23/INDEX('Historique ajusté'!I:I,ROW()-Fenetre)-1))</f>
        <v/>
      </c>
      <c r="J23" s="34">
        <f>IF(OR('Historique ajusté'!J23="",ROW()-Fenetre&lt;6),"",IF(INDEX('Historique ajusté'!J:J,ROW()-Fenetre)="","",'Historique ajusté'!J23/INDEX('Historique ajusté'!J:J,ROW()-Fenetre)-1))</f>
        <v/>
      </c>
      <c r="K23" s="34">
        <f>IF(OR('Historique ajusté'!K23="",ROW()-Fenetre&lt;6),"",IF(INDEX('Historique ajusté'!K:K,ROW()-Fenetre)="","",'Historique ajusté'!K23/INDEX('Historique ajusté'!K:K,ROW()-Fenetre)-1))</f>
        <v/>
      </c>
      <c r="L23" s="34">
        <f>IF(OR('Historique ajusté'!L23="",ROW()-Fenetre&lt;6),"",IF(INDEX('Historique ajusté'!L:L,ROW()-Fenetre)="","",'Historique ajusté'!L23/INDEX('Historique ajusté'!L:L,ROW()-Fenetre)-1))</f>
        <v/>
      </c>
      <c r="M23" s="34">
        <f>IF(OR('Historique ajusté'!M23="",ROW()-Fenetre&lt;6),"",IF(INDEX('Historique ajusté'!M:M,ROW()-Fenetre)="","",'Historique ajusté'!M23/INDEX('Historique ajusté'!M:M,ROW()-Fenetre)-1))</f>
        <v/>
      </c>
      <c r="N23" s="34">
        <f>IF(OR('Historique ajusté'!N23="",ROW()-Fenetre&lt;6),"",IF(INDEX('Historique ajusté'!N:N,ROW()-Fenetre)="","",'Historique ajusté'!N23/INDEX('Historique ajusté'!N:N,ROW()-Fenetre)-1))</f>
        <v/>
      </c>
      <c r="O23" s="34">
        <f>IF(OR('Historique ajusté'!O23="",ROW()-Fenetre&lt;6),"",IF(INDEX('Historique ajusté'!O:O,ROW()-Fenetre)="","",'Historique ajusté'!O23/INDEX('Historique ajusté'!O:O,ROW()-Fenetre)-1))</f>
        <v/>
      </c>
      <c r="P23" s="34">
        <f>IF(OR('Historique ajusté'!P23="",ROW()-Fenetre&lt;6),"",IF(INDEX('Historique ajusté'!P:P,ROW()-Fenetre)="","",'Historique ajusté'!P23/INDEX('Historique ajusté'!P:P,ROW()-Fenetre)-1))</f>
        <v/>
      </c>
      <c r="Q23" s="34">
        <f>IF(OR(Composites!L23="",ROW()-Fenetre&lt;6),"",IF(INDEX(Composites!L:L,ROW()-Fenetre)="","",Composites!L23/INDEX(Composites!L:L,ROW()-Fenetre)-1))</f>
        <v/>
      </c>
      <c r="R23" s="34">
        <f>IF(OR(Composites!M23="",ROW()-Fenetre&lt;6),"",IF(INDEX(Composites!M:M,ROW()-Fenetre)="","",Composites!M23/INDEX(Composites!M:M,ROW()-Fenetre)-1))</f>
        <v/>
      </c>
      <c r="S23" s="34">
        <f>IF(OR(Composites!N23="",ROW()-Fenetre&lt;6),"",IF(INDEX(Composites!N:N,ROW()-Fenetre)="","",Composites!N23/INDEX(Composites!N:N,ROW()-Fenetre)-1))</f>
        <v/>
      </c>
      <c r="T23" s="34">
        <f>IF(OR(Composites!O23="",ROW()-Fenetre&lt;6),"",IF(INDEX(Composites!O:O,ROW()-Fenetre)="","",Composites!O23/INDEX(Composites!O:O,ROW()-Fenetre)-1))</f>
        <v/>
      </c>
      <c r="U23" s="34">
        <f>IF(OR(Composites!P23="",ROW()-Fenetre&lt;6),"",IF(INDEX(Composites!P:P,ROW()-Fenetre)="","",Composites!P23/INDEX(Composites!P:P,ROW()-Fenetre)-1))</f>
        <v/>
      </c>
      <c r="V23" s="34">
        <f>IF('Historique ajusté'!C23="","",'Historique ajusté'!C23/MAX('Historique ajusté'!C$6:C23)-1)</f>
        <v/>
      </c>
      <c r="W23" s="34">
        <f>IF('Historique ajusté'!D23="","",'Historique ajusté'!D23/MAX('Historique ajusté'!D$6:D23)-1)</f>
        <v/>
      </c>
      <c r="X23" s="34">
        <f>IF('Historique ajusté'!E23="","",'Historique ajusté'!E23/MAX('Historique ajusté'!E$6:E23)-1)</f>
        <v/>
      </c>
      <c r="Y23" s="34">
        <f>IF('Historique ajusté'!F23="","",'Historique ajusté'!F23/MAX('Historique ajusté'!F$6:F23)-1)</f>
        <v/>
      </c>
      <c r="Z23" s="34">
        <f>IF('Historique ajusté'!G23="","",'Historique ajusté'!G23/MAX('Historique ajusté'!G$6:G23)-1)</f>
        <v/>
      </c>
      <c r="AA23" s="34">
        <f>IF('Historique ajusté'!H23="","",'Historique ajusté'!H23/MAX('Historique ajusté'!H$6:H23)-1)</f>
        <v/>
      </c>
      <c r="AB23" s="34">
        <f>IF('Historique ajusté'!I23="","",'Historique ajusté'!I23/MAX('Historique ajusté'!I$6:I23)-1)</f>
        <v/>
      </c>
      <c r="AC23" s="34">
        <f>IF('Historique ajusté'!J23="","",'Historique ajusté'!J23/MAX('Historique ajusté'!J$6:J23)-1)</f>
        <v/>
      </c>
      <c r="AD23" s="34">
        <f>IF('Historique ajusté'!K23="","",'Historique ajusté'!K23/MAX('Historique ajusté'!K$6:K23)-1)</f>
        <v/>
      </c>
      <c r="AE23" s="34">
        <f>IF('Historique ajusté'!L23="","",'Historique ajusté'!L23/MAX('Historique ajusté'!L$6:L23)-1)</f>
        <v/>
      </c>
      <c r="AF23" s="34">
        <f>IF('Historique ajusté'!M23="","",'Historique ajusté'!M23/MAX('Historique ajusté'!M$6:M23)-1)</f>
        <v/>
      </c>
      <c r="AG23" s="34">
        <f>IF('Historique ajusté'!N23="","",'Historique ajusté'!N23/MAX('Historique ajusté'!N$6:N23)-1)</f>
        <v/>
      </c>
      <c r="AH23" s="34">
        <f>IF('Historique ajusté'!O23="","",'Historique ajusté'!O23/MAX('Historique ajusté'!O$6:O23)-1)</f>
        <v/>
      </c>
      <c r="AI23" s="34">
        <f>IF('Historique ajusté'!P23="","",'Historique ajusté'!P23/MAX('Historique ajusté'!P$6:P23)-1)</f>
        <v/>
      </c>
      <c r="AJ23" s="34">
        <f>IF(Composites!L23="","",Composites!L23/MAX(Composites!L$6:L23)-1)</f>
        <v/>
      </c>
      <c r="AK23" s="34">
        <f>IF(Composites!M23="","",Composites!M23/MAX(Composites!M$6:M23)-1)</f>
        <v/>
      </c>
      <c r="AL23" s="34">
        <f>IF(Composites!N23="","",Composites!N23/MAX(Composites!N$6:N23)-1)</f>
        <v/>
      </c>
      <c r="AM23" s="34">
        <f>IF(Composites!O23="","",Composites!O23/MAX(Composites!O$6:O23)-1)</f>
        <v/>
      </c>
      <c r="AN23" s="34">
        <f>IF(Composites!P23="","",Composites!P23/MAX(Composites!P$6:P23)-1)</f>
        <v/>
      </c>
    </row>
    <row r="24">
      <c r="B24" s="32">
        <f>'Historique ajusté'!B24</f>
        <v/>
      </c>
      <c r="C24" s="34">
        <f>IF(OR('Historique ajusté'!C24="",ROW()-Fenetre&lt;6),"",IF(INDEX('Historique ajusté'!C:C,ROW()-Fenetre)="","",'Historique ajusté'!C24/INDEX('Historique ajusté'!C:C,ROW()-Fenetre)-1))</f>
        <v/>
      </c>
      <c r="D24" s="34">
        <f>IF(OR('Historique ajusté'!D24="",ROW()-Fenetre&lt;6),"",IF(INDEX('Historique ajusté'!D:D,ROW()-Fenetre)="","",'Historique ajusté'!D24/INDEX('Historique ajusté'!D:D,ROW()-Fenetre)-1))</f>
        <v/>
      </c>
      <c r="E24" s="34">
        <f>IF(OR('Historique ajusté'!E24="",ROW()-Fenetre&lt;6),"",IF(INDEX('Historique ajusté'!E:E,ROW()-Fenetre)="","",'Historique ajusté'!E24/INDEX('Historique ajusté'!E:E,ROW()-Fenetre)-1))</f>
        <v/>
      </c>
      <c r="F24" s="34">
        <f>IF(OR('Historique ajusté'!F24="",ROW()-Fenetre&lt;6),"",IF(INDEX('Historique ajusté'!F:F,ROW()-Fenetre)="","",'Historique ajusté'!F24/INDEX('Historique ajusté'!F:F,ROW()-Fenetre)-1))</f>
        <v/>
      </c>
      <c r="G24" s="34">
        <f>IF(OR('Historique ajusté'!G24="",ROW()-Fenetre&lt;6),"",IF(INDEX('Historique ajusté'!G:G,ROW()-Fenetre)="","",'Historique ajusté'!G24/INDEX('Historique ajusté'!G:G,ROW()-Fenetre)-1))</f>
        <v/>
      </c>
      <c r="H24" s="34">
        <f>IF(OR('Historique ajusté'!H24="",ROW()-Fenetre&lt;6),"",IF(INDEX('Historique ajusté'!H:H,ROW()-Fenetre)="","",'Historique ajusté'!H24/INDEX('Historique ajusté'!H:H,ROW()-Fenetre)-1))</f>
        <v/>
      </c>
      <c r="I24" s="34">
        <f>IF(OR('Historique ajusté'!I24="",ROW()-Fenetre&lt;6),"",IF(INDEX('Historique ajusté'!I:I,ROW()-Fenetre)="","",'Historique ajusté'!I24/INDEX('Historique ajusté'!I:I,ROW()-Fenetre)-1))</f>
        <v/>
      </c>
      <c r="J24" s="34">
        <f>IF(OR('Historique ajusté'!J24="",ROW()-Fenetre&lt;6),"",IF(INDEX('Historique ajusté'!J:J,ROW()-Fenetre)="","",'Historique ajusté'!J24/INDEX('Historique ajusté'!J:J,ROW()-Fenetre)-1))</f>
        <v/>
      </c>
      <c r="K24" s="34">
        <f>IF(OR('Historique ajusté'!K24="",ROW()-Fenetre&lt;6),"",IF(INDEX('Historique ajusté'!K:K,ROW()-Fenetre)="","",'Historique ajusté'!K24/INDEX('Historique ajusté'!K:K,ROW()-Fenetre)-1))</f>
        <v/>
      </c>
      <c r="L24" s="34">
        <f>IF(OR('Historique ajusté'!L24="",ROW()-Fenetre&lt;6),"",IF(INDEX('Historique ajusté'!L:L,ROW()-Fenetre)="","",'Historique ajusté'!L24/INDEX('Historique ajusté'!L:L,ROW()-Fenetre)-1))</f>
        <v/>
      </c>
      <c r="M24" s="34">
        <f>IF(OR('Historique ajusté'!M24="",ROW()-Fenetre&lt;6),"",IF(INDEX('Historique ajusté'!M:M,ROW()-Fenetre)="","",'Historique ajusté'!M24/INDEX('Historique ajusté'!M:M,ROW()-Fenetre)-1))</f>
        <v/>
      </c>
      <c r="N24" s="34">
        <f>IF(OR('Historique ajusté'!N24="",ROW()-Fenetre&lt;6),"",IF(INDEX('Historique ajusté'!N:N,ROW()-Fenetre)="","",'Historique ajusté'!N24/INDEX('Historique ajusté'!N:N,ROW()-Fenetre)-1))</f>
        <v/>
      </c>
      <c r="O24" s="34">
        <f>IF(OR('Historique ajusté'!O24="",ROW()-Fenetre&lt;6),"",IF(INDEX('Historique ajusté'!O:O,ROW()-Fenetre)="","",'Historique ajusté'!O24/INDEX('Historique ajusté'!O:O,ROW()-Fenetre)-1))</f>
        <v/>
      </c>
      <c r="P24" s="34">
        <f>IF(OR('Historique ajusté'!P24="",ROW()-Fenetre&lt;6),"",IF(INDEX('Historique ajusté'!P:P,ROW()-Fenetre)="","",'Historique ajusté'!P24/INDEX('Historique ajusté'!P:P,ROW()-Fenetre)-1))</f>
        <v/>
      </c>
      <c r="Q24" s="34">
        <f>IF(OR(Composites!L24="",ROW()-Fenetre&lt;6),"",IF(INDEX(Composites!L:L,ROW()-Fenetre)="","",Composites!L24/INDEX(Composites!L:L,ROW()-Fenetre)-1))</f>
        <v/>
      </c>
      <c r="R24" s="34">
        <f>IF(OR(Composites!M24="",ROW()-Fenetre&lt;6),"",IF(INDEX(Composites!M:M,ROW()-Fenetre)="","",Composites!M24/INDEX(Composites!M:M,ROW()-Fenetre)-1))</f>
        <v/>
      </c>
      <c r="S24" s="34">
        <f>IF(OR(Composites!N24="",ROW()-Fenetre&lt;6),"",IF(INDEX(Composites!N:N,ROW()-Fenetre)="","",Composites!N24/INDEX(Composites!N:N,ROW()-Fenetre)-1))</f>
        <v/>
      </c>
      <c r="T24" s="34">
        <f>IF(OR(Composites!O24="",ROW()-Fenetre&lt;6),"",IF(INDEX(Composites!O:O,ROW()-Fenetre)="","",Composites!O24/INDEX(Composites!O:O,ROW()-Fenetre)-1))</f>
        <v/>
      </c>
      <c r="U24" s="34">
        <f>IF(OR(Composites!P24="",ROW()-Fenetre&lt;6),"",IF(INDEX(Composites!P:P,ROW()-Fenetre)="","",Composites!P24/INDEX(Composites!P:P,ROW()-Fenetre)-1))</f>
        <v/>
      </c>
      <c r="V24" s="34">
        <f>IF('Historique ajusté'!C24="","",'Historique ajusté'!C24/MAX('Historique ajusté'!C$6:C24)-1)</f>
        <v/>
      </c>
      <c r="W24" s="34">
        <f>IF('Historique ajusté'!D24="","",'Historique ajusté'!D24/MAX('Historique ajusté'!D$6:D24)-1)</f>
        <v/>
      </c>
      <c r="X24" s="34">
        <f>IF('Historique ajusté'!E24="","",'Historique ajusté'!E24/MAX('Historique ajusté'!E$6:E24)-1)</f>
        <v/>
      </c>
      <c r="Y24" s="34">
        <f>IF('Historique ajusté'!F24="","",'Historique ajusté'!F24/MAX('Historique ajusté'!F$6:F24)-1)</f>
        <v/>
      </c>
      <c r="Z24" s="34">
        <f>IF('Historique ajusté'!G24="","",'Historique ajusté'!G24/MAX('Historique ajusté'!G$6:G24)-1)</f>
        <v/>
      </c>
      <c r="AA24" s="34">
        <f>IF('Historique ajusté'!H24="","",'Historique ajusté'!H24/MAX('Historique ajusté'!H$6:H24)-1)</f>
        <v/>
      </c>
      <c r="AB24" s="34">
        <f>IF('Historique ajusté'!I24="","",'Historique ajusté'!I24/MAX('Historique ajusté'!I$6:I24)-1)</f>
        <v/>
      </c>
      <c r="AC24" s="34">
        <f>IF('Historique ajusté'!J24="","",'Historique ajusté'!J24/MAX('Historique ajusté'!J$6:J24)-1)</f>
        <v/>
      </c>
      <c r="AD24" s="34">
        <f>IF('Historique ajusté'!K24="","",'Historique ajusté'!K24/MAX('Historique ajusté'!K$6:K24)-1)</f>
        <v/>
      </c>
      <c r="AE24" s="34">
        <f>IF('Historique ajusté'!L24="","",'Historique ajusté'!L24/MAX('Historique ajusté'!L$6:L24)-1)</f>
        <v/>
      </c>
      <c r="AF24" s="34">
        <f>IF('Historique ajusté'!M24="","",'Historique ajusté'!M24/MAX('Historique ajusté'!M$6:M24)-1)</f>
        <v/>
      </c>
      <c r="AG24" s="34">
        <f>IF('Historique ajusté'!N24="","",'Historique ajusté'!N24/MAX('Historique ajusté'!N$6:N24)-1)</f>
        <v/>
      </c>
      <c r="AH24" s="34">
        <f>IF('Historique ajusté'!O24="","",'Historique ajusté'!O24/MAX('Historique ajusté'!O$6:O24)-1)</f>
        <v/>
      </c>
      <c r="AI24" s="34">
        <f>IF('Historique ajusté'!P24="","",'Historique ajusté'!P24/MAX('Historique ajusté'!P$6:P24)-1)</f>
        <v/>
      </c>
      <c r="AJ24" s="34">
        <f>IF(Composites!L24="","",Composites!L24/MAX(Composites!L$6:L24)-1)</f>
        <v/>
      </c>
      <c r="AK24" s="34">
        <f>IF(Composites!M24="","",Composites!M24/MAX(Composites!M$6:M24)-1)</f>
        <v/>
      </c>
      <c r="AL24" s="34">
        <f>IF(Composites!N24="","",Composites!N24/MAX(Composites!N$6:N24)-1)</f>
        <v/>
      </c>
      <c r="AM24" s="34">
        <f>IF(Composites!O24="","",Composites!O24/MAX(Composites!O$6:O24)-1)</f>
        <v/>
      </c>
      <c r="AN24" s="34">
        <f>IF(Composites!P24="","",Composites!P24/MAX(Composites!P$6:P24)-1)</f>
        <v/>
      </c>
    </row>
    <row r="25">
      <c r="B25" s="32">
        <f>'Historique ajusté'!B25</f>
        <v/>
      </c>
      <c r="C25" s="34">
        <f>IF(OR('Historique ajusté'!C25="",ROW()-Fenetre&lt;6),"",IF(INDEX('Historique ajusté'!C:C,ROW()-Fenetre)="","",'Historique ajusté'!C25/INDEX('Historique ajusté'!C:C,ROW()-Fenetre)-1))</f>
        <v/>
      </c>
      <c r="D25" s="34">
        <f>IF(OR('Historique ajusté'!D25="",ROW()-Fenetre&lt;6),"",IF(INDEX('Historique ajusté'!D:D,ROW()-Fenetre)="","",'Historique ajusté'!D25/INDEX('Historique ajusté'!D:D,ROW()-Fenetre)-1))</f>
        <v/>
      </c>
      <c r="E25" s="34">
        <f>IF(OR('Historique ajusté'!E25="",ROW()-Fenetre&lt;6),"",IF(INDEX('Historique ajusté'!E:E,ROW()-Fenetre)="","",'Historique ajusté'!E25/INDEX('Historique ajusté'!E:E,ROW()-Fenetre)-1))</f>
        <v/>
      </c>
      <c r="F25" s="34">
        <f>IF(OR('Historique ajusté'!F25="",ROW()-Fenetre&lt;6),"",IF(INDEX('Historique ajusté'!F:F,ROW()-Fenetre)="","",'Historique ajusté'!F25/INDEX('Historique ajusté'!F:F,ROW()-Fenetre)-1))</f>
        <v/>
      </c>
      <c r="G25" s="34">
        <f>IF(OR('Historique ajusté'!G25="",ROW()-Fenetre&lt;6),"",IF(INDEX('Historique ajusté'!G:G,ROW()-Fenetre)="","",'Historique ajusté'!G25/INDEX('Historique ajusté'!G:G,ROW()-Fenetre)-1))</f>
        <v/>
      </c>
      <c r="H25" s="34">
        <f>IF(OR('Historique ajusté'!H25="",ROW()-Fenetre&lt;6),"",IF(INDEX('Historique ajusté'!H:H,ROW()-Fenetre)="","",'Historique ajusté'!H25/INDEX('Historique ajusté'!H:H,ROW()-Fenetre)-1))</f>
        <v/>
      </c>
      <c r="I25" s="34">
        <f>IF(OR('Historique ajusté'!I25="",ROW()-Fenetre&lt;6),"",IF(INDEX('Historique ajusté'!I:I,ROW()-Fenetre)="","",'Historique ajusté'!I25/INDEX('Historique ajusté'!I:I,ROW()-Fenetre)-1))</f>
        <v/>
      </c>
      <c r="J25" s="34">
        <f>IF(OR('Historique ajusté'!J25="",ROW()-Fenetre&lt;6),"",IF(INDEX('Historique ajusté'!J:J,ROW()-Fenetre)="","",'Historique ajusté'!J25/INDEX('Historique ajusté'!J:J,ROW()-Fenetre)-1))</f>
        <v/>
      </c>
      <c r="K25" s="34">
        <f>IF(OR('Historique ajusté'!K25="",ROW()-Fenetre&lt;6),"",IF(INDEX('Historique ajusté'!K:K,ROW()-Fenetre)="","",'Historique ajusté'!K25/INDEX('Historique ajusté'!K:K,ROW()-Fenetre)-1))</f>
        <v/>
      </c>
      <c r="L25" s="34">
        <f>IF(OR('Historique ajusté'!L25="",ROW()-Fenetre&lt;6),"",IF(INDEX('Historique ajusté'!L:L,ROW()-Fenetre)="","",'Historique ajusté'!L25/INDEX('Historique ajusté'!L:L,ROW()-Fenetre)-1))</f>
        <v/>
      </c>
      <c r="M25" s="34">
        <f>IF(OR('Historique ajusté'!M25="",ROW()-Fenetre&lt;6),"",IF(INDEX('Historique ajusté'!M:M,ROW()-Fenetre)="","",'Historique ajusté'!M25/INDEX('Historique ajusté'!M:M,ROW()-Fenetre)-1))</f>
        <v/>
      </c>
      <c r="N25" s="34">
        <f>IF(OR('Historique ajusté'!N25="",ROW()-Fenetre&lt;6),"",IF(INDEX('Historique ajusté'!N:N,ROW()-Fenetre)="","",'Historique ajusté'!N25/INDEX('Historique ajusté'!N:N,ROW()-Fenetre)-1))</f>
        <v/>
      </c>
      <c r="O25" s="34">
        <f>IF(OR('Historique ajusté'!O25="",ROW()-Fenetre&lt;6),"",IF(INDEX('Historique ajusté'!O:O,ROW()-Fenetre)="","",'Historique ajusté'!O25/INDEX('Historique ajusté'!O:O,ROW()-Fenetre)-1))</f>
        <v/>
      </c>
      <c r="P25" s="34">
        <f>IF(OR('Historique ajusté'!P25="",ROW()-Fenetre&lt;6),"",IF(INDEX('Historique ajusté'!P:P,ROW()-Fenetre)="","",'Historique ajusté'!P25/INDEX('Historique ajusté'!P:P,ROW()-Fenetre)-1))</f>
        <v/>
      </c>
      <c r="Q25" s="34">
        <f>IF(OR(Composites!L25="",ROW()-Fenetre&lt;6),"",IF(INDEX(Composites!L:L,ROW()-Fenetre)="","",Composites!L25/INDEX(Composites!L:L,ROW()-Fenetre)-1))</f>
        <v/>
      </c>
      <c r="R25" s="34">
        <f>IF(OR(Composites!M25="",ROW()-Fenetre&lt;6),"",IF(INDEX(Composites!M:M,ROW()-Fenetre)="","",Composites!M25/INDEX(Composites!M:M,ROW()-Fenetre)-1))</f>
        <v/>
      </c>
      <c r="S25" s="34">
        <f>IF(OR(Composites!N25="",ROW()-Fenetre&lt;6),"",IF(INDEX(Composites!N:N,ROW()-Fenetre)="","",Composites!N25/INDEX(Composites!N:N,ROW()-Fenetre)-1))</f>
        <v/>
      </c>
      <c r="T25" s="34">
        <f>IF(OR(Composites!O25="",ROW()-Fenetre&lt;6),"",IF(INDEX(Composites!O:O,ROW()-Fenetre)="","",Composites!O25/INDEX(Composites!O:O,ROW()-Fenetre)-1))</f>
        <v/>
      </c>
      <c r="U25" s="34">
        <f>IF(OR(Composites!P25="",ROW()-Fenetre&lt;6),"",IF(INDEX(Composites!P:P,ROW()-Fenetre)="","",Composites!P25/INDEX(Composites!P:P,ROW()-Fenetre)-1))</f>
        <v/>
      </c>
      <c r="V25" s="34">
        <f>IF('Historique ajusté'!C25="","",'Historique ajusté'!C25/MAX('Historique ajusté'!C$6:C25)-1)</f>
        <v/>
      </c>
      <c r="W25" s="34">
        <f>IF('Historique ajusté'!D25="","",'Historique ajusté'!D25/MAX('Historique ajusté'!D$6:D25)-1)</f>
        <v/>
      </c>
      <c r="X25" s="34">
        <f>IF('Historique ajusté'!E25="","",'Historique ajusté'!E25/MAX('Historique ajusté'!E$6:E25)-1)</f>
        <v/>
      </c>
      <c r="Y25" s="34">
        <f>IF('Historique ajusté'!F25="","",'Historique ajusté'!F25/MAX('Historique ajusté'!F$6:F25)-1)</f>
        <v/>
      </c>
      <c r="Z25" s="34">
        <f>IF('Historique ajusté'!G25="","",'Historique ajusté'!G25/MAX('Historique ajusté'!G$6:G25)-1)</f>
        <v/>
      </c>
      <c r="AA25" s="34">
        <f>IF('Historique ajusté'!H25="","",'Historique ajusté'!H25/MAX('Historique ajusté'!H$6:H25)-1)</f>
        <v/>
      </c>
      <c r="AB25" s="34">
        <f>IF('Historique ajusté'!I25="","",'Historique ajusté'!I25/MAX('Historique ajusté'!I$6:I25)-1)</f>
        <v/>
      </c>
      <c r="AC25" s="34">
        <f>IF('Historique ajusté'!J25="","",'Historique ajusté'!J25/MAX('Historique ajusté'!J$6:J25)-1)</f>
        <v/>
      </c>
      <c r="AD25" s="34">
        <f>IF('Historique ajusté'!K25="","",'Historique ajusté'!K25/MAX('Historique ajusté'!K$6:K25)-1)</f>
        <v/>
      </c>
      <c r="AE25" s="34">
        <f>IF('Historique ajusté'!L25="","",'Historique ajusté'!L25/MAX('Historique ajusté'!L$6:L25)-1)</f>
        <v/>
      </c>
      <c r="AF25" s="34">
        <f>IF('Historique ajusté'!M25="","",'Historique ajusté'!M25/MAX('Historique ajusté'!M$6:M25)-1)</f>
        <v/>
      </c>
      <c r="AG25" s="34">
        <f>IF('Historique ajusté'!N25="","",'Historique ajusté'!N25/MAX('Historique ajusté'!N$6:N25)-1)</f>
        <v/>
      </c>
      <c r="AH25" s="34">
        <f>IF('Historique ajusté'!O25="","",'Historique ajusté'!O25/MAX('Historique ajusté'!O$6:O25)-1)</f>
        <v/>
      </c>
      <c r="AI25" s="34">
        <f>IF('Historique ajusté'!P25="","",'Historique ajusté'!P25/MAX('Historique ajusté'!P$6:P25)-1)</f>
        <v/>
      </c>
      <c r="AJ25" s="34">
        <f>IF(Composites!L25="","",Composites!L25/MAX(Composites!L$6:L25)-1)</f>
        <v/>
      </c>
      <c r="AK25" s="34">
        <f>IF(Composites!M25="","",Composites!M25/MAX(Composites!M$6:M25)-1)</f>
        <v/>
      </c>
      <c r="AL25" s="34">
        <f>IF(Composites!N25="","",Composites!N25/MAX(Composites!N$6:N25)-1)</f>
        <v/>
      </c>
      <c r="AM25" s="34">
        <f>IF(Composites!O25="","",Composites!O25/MAX(Composites!O$6:O25)-1)</f>
        <v/>
      </c>
      <c r="AN25" s="34">
        <f>IF(Composites!P25="","",Composites!P25/MAX(Composites!P$6:P25)-1)</f>
        <v/>
      </c>
    </row>
    <row r="26">
      <c r="B26" s="32">
        <f>'Historique ajusté'!B26</f>
        <v/>
      </c>
      <c r="C26" s="34">
        <f>IF(OR('Historique ajusté'!C26="",ROW()-Fenetre&lt;6),"",IF(INDEX('Historique ajusté'!C:C,ROW()-Fenetre)="","",'Historique ajusté'!C26/INDEX('Historique ajusté'!C:C,ROW()-Fenetre)-1))</f>
        <v/>
      </c>
      <c r="D26" s="34">
        <f>IF(OR('Historique ajusté'!D26="",ROW()-Fenetre&lt;6),"",IF(INDEX('Historique ajusté'!D:D,ROW()-Fenetre)="","",'Historique ajusté'!D26/INDEX('Historique ajusté'!D:D,ROW()-Fenetre)-1))</f>
        <v/>
      </c>
      <c r="E26" s="34">
        <f>IF(OR('Historique ajusté'!E26="",ROW()-Fenetre&lt;6),"",IF(INDEX('Historique ajusté'!E:E,ROW()-Fenetre)="","",'Historique ajusté'!E26/INDEX('Historique ajusté'!E:E,ROW()-Fenetre)-1))</f>
        <v/>
      </c>
      <c r="F26" s="34">
        <f>IF(OR('Historique ajusté'!F26="",ROW()-Fenetre&lt;6),"",IF(INDEX('Historique ajusté'!F:F,ROW()-Fenetre)="","",'Historique ajusté'!F26/INDEX('Historique ajusté'!F:F,ROW()-Fenetre)-1))</f>
        <v/>
      </c>
      <c r="G26" s="34">
        <f>IF(OR('Historique ajusté'!G26="",ROW()-Fenetre&lt;6),"",IF(INDEX('Historique ajusté'!G:G,ROW()-Fenetre)="","",'Historique ajusté'!G26/INDEX('Historique ajusté'!G:G,ROW()-Fenetre)-1))</f>
        <v/>
      </c>
      <c r="H26" s="34">
        <f>IF(OR('Historique ajusté'!H26="",ROW()-Fenetre&lt;6),"",IF(INDEX('Historique ajusté'!H:H,ROW()-Fenetre)="","",'Historique ajusté'!H26/INDEX('Historique ajusté'!H:H,ROW()-Fenetre)-1))</f>
        <v/>
      </c>
      <c r="I26" s="34">
        <f>IF(OR('Historique ajusté'!I26="",ROW()-Fenetre&lt;6),"",IF(INDEX('Historique ajusté'!I:I,ROW()-Fenetre)="","",'Historique ajusté'!I26/INDEX('Historique ajusté'!I:I,ROW()-Fenetre)-1))</f>
        <v/>
      </c>
      <c r="J26" s="34">
        <f>IF(OR('Historique ajusté'!J26="",ROW()-Fenetre&lt;6),"",IF(INDEX('Historique ajusté'!J:J,ROW()-Fenetre)="","",'Historique ajusté'!J26/INDEX('Historique ajusté'!J:J,ROW()-Fenetre)-1))</f>
        <v/>
      </c>
      <c r="K26" s="34">
        <f>IF(OR('Historique ajusté'!K26="",ROW()-Fenetre&lt;6),"",IF(INDEX('Historique ajusté'!K:K,ROW()-Fenetre)="","",'Historique ajusté'!K26/INDEX('Historique ajusté'!K:K,ROW()-Fenetre)-1))</f>
        <v/>
      </c>
      <c r="L26" s="34">
        <f>IF(OR('Historique ajusté'!L26="",ROW()-Fenetre&lt;6),"",IF(INDEX('Historique ajusté'!L:L,ROW()-Fenetre)="","",'Historique ajusté'!L26/INDEX('Historique ajusté'!L:L,ROW()-Fenetre)-1))</f>
        <v/>
      </c>
      <c r="M26" s="34">
        <f>IF(OR('Historique ajusté'!M26="",ROW()-Fenetre&lt;6),"",IF(INDEX('Historique ajusté'!M:M,ROW()-Fenetre)="","",'Historique ajusté'!M26/INDEX('Historique ajusté'!M:M,ROW()-Fenetre)-1))</f>
        <v/>
      </c>
      <c r="N26" s="34">
        <f>IF(OR('Historique ajusté'!N26="",ROW()-Fenetre&lt;6),"",IF(INDEX('Historique ajusté'!N:N,ROW()-Fenetre)="","",'Historique ajusté'!N26/INDEX('Historique ajusté'!N:N,ROW()-Fenetre)-1))</f>
        <v/>
      </c>
      <c r="O26" s="34">
        <f>IF(OR('Historique ajusté'!O26="",ROW()-Fenetre&lt;6),"",IF(INDEX('Historique ajusté'!O:O,ROW()-Fenetre)="","",'Historique ajusté'!O26/INDEX('Historique ajusté'!O:O,ROW()-Fenetre)-1))</f>
        <v/>
      </c>
      <c r="P26" s="34">
        <f>IF(OR('Historique ajusté'!P26="",ROW()-Fenetre&lt;6),"",IF(INDEX('Historique ajusté'!P:P,ROW()-Fenetre)="","",'Historique ajusté'!P26/INDEX('Historique ajusté'!P:P,ROW()-Fenetre)-1))</f>
        <v/>
      </c>
      <c r="Q26" s="34">
        <f>IF(OR(Composites!L26="",ROW()-Fenetre&lt;6),"",IF(INDEX(Composites!L:L,ROW()-Fenetre)="","",Composites!L26/INDEX(Composites!L:L,ROW()-Fenetre)-1))</f>
        <v/>
      </c>
      <c r="R26" s="34">
        <f>IF(OR(Composites!M26="",ROW()-Fenetre&lt;6),"",IF(INDEX(Composites!M:M,ROW()-Fenetre)="","",Composites!M26/INDEX(Composites!M:M,ROW()-Fenetre)-1))</f>
        <v/>
      </c>
      <c r="S26" s="34">
        <f>IF(OR(Composites!N26="",ROW()-Fenetre&lt;6),"",IF(INDEX(Composites!N:N,ROW()-Fenetre)="","",Composites!N26/INDEX(Composites!N:N,ROW()-Fenetre)-1))</f>
        <v/>
      </c>
      <c r="T26" s="34">
        <f>IF(OR(Composites!O26="",ROW()-Fenetre&lt;6),"",IF(INDEX(Composites!O:O,ROW()-Fenetre)="","",Composites!O26/INDEX(Composites!O:O,ROW()-Fenetre)-1))</f>
        <v/>
      </c>
      <c r="U26" s="34">
        <f>IF(OR(Composites!P26="",ROW()-Fenetre&lt;6),"",IF(INDEX(Composites!P:P,ROW()-Fenetre)="","",Composites!P26/INDEX(Composites!P:P,ROW()-Fenetre)-1))</f>
        <v/>
      </c>
      <c r="V26" s="34">
        <f>IF('Historique ajusté'!C26="","",'Historique ajusté'!C26/MAX('Historique ajusté'!C$6:C26)-1)</f>
        <v/>
      </c>
      <c r="W26" s="34">
        <f>IF('Historique ajusté'!D26="","",'Historique ajusté'!D26/MAX('Historique ajusté'!D$6:D26)-1)</f>
        <v/>
      </c>
      <c r="X26" s="34">
        <f>IF('Historique ajusté'!E26="","",'Historique ajusté'!E26/MAX('Historique ajusté'!E$6:E26)-1)</f>
        <v/>
      </c>
      <c r="Y26" s="34">
        <f>IF('Historique ajusté'!F26="","",'Historique ajusté'!F26/MAX('Historique ajusté'!F$6:F26)-1)</f>
        <v/>
      </c>
      <c r="Z26" s="34">
        <f>IF('Historique ajusté'!G26="","",'Historique ajusté'!G26/MAX('Historique ajusté'!G$6:G26)-1)</f>
        <v/>
      </c>
      <c r="AA26" s="34">
        <f>IF('Historique ajusté'!H26="","",'Historique ajusté'!H26/MAX('Historique ajusté'!H$6:H26)-1)</f>
        <v/>
      </c>
      <c r="AB26" s="34">
        <f>IF('Historique ajusté'!I26="","",'Historique ajusté'!I26/MAX('Historique ajusté'!I$6:I26)-1)</f>
        <v/>
      </c>
      <c r="AC26" s="34">
        <f>IF('Historique ajusté'!J26="","",'Historique ajusté'!J26/MAX('Historique ajusté'!J$6:J26)-1)</f>
        <v/>
      </c>
      <c r="AD26" s="34">
        <f>IF('Historique ajusté'!K26="","",'Historique ajusté'!K26/MAX('Historique ajusté'!K$6:K26)-1)</f>
        <v/>
      </c>
      <c r="AE26" s="34">
        <f>IF('Historique ajusté'!L26="","",'Historique ajusté'!L26/MAX('Historique ajusté'!L$6:L26)-1)</f>
        <v/>
      </c>
      <c r="AF26" s="34">
        <f>IF('Historique ajusté'!M26="","",'Historique ajusté'!M26/MAX('Historique ajusté'!M$6:M26)-1)</f>
        <v/>
      </c>
      <c r="AG26" s="34">
        <f>IF('Historique ajusté'!N26="","",'Historique ajusté'!N26/MAX('Historique ajusté'!N$6:N26)-1)</f>
        <v/>
      </c>
      <c r="AH26" s="34">
        <f>IF('Historique ajusté'!O26="","",'Historique ajusté'!O26/MAX('Historique ajusté'!O$6:O26)-1)</f>
        <v/>
      </c>
      <c r="AI26" s="34">
        <f>IF('Historique ajusté'!P26="","",'Historique ajusté'!P26/MAX('Historique ajusté'!P$6:P26)-1)</f>
        <v/>
      </c>
      <c r="AJ26" s="34">
        <f>IF(Composites!L26="","",Composites!L26/MAX(Composites!L$6:L26)-1)</f>
        <v/>
      </c>
      <c r="AK26" s="34">
        <f>IF(Composites!M26="","",Composites!M26/MAX(Composites!M$6:M26)-1)</f>
        <v/>
      </c>
      <c r="AL26" s="34">
        <f>IF(Composites!N26="","",Composites!N26/MAX(Composites!N$6:N26)-1)</f>
        <v/>
      </c>
      <c r="AM26" s="34">
        <f>IF(Composites!O26="","",Composites!O26/MAX(Composites!O$6:O26)-1)</f>
        <v/>
      </c>
      <c r="AN26" s="34">
        <f>IF(Composites!P26="","",Composites!P26/MAX(Composites!P$6:P26)-1)</f>
        <v/>
      </c>
    </row>
    <row r="27">
      <c r="B27" s="32">
        <f>'Historique ajusté'!B27</f>
        <v/>
      </c>
      <c r="C27" s="34">
        <f>IF(OR('Historique ajusté'!C27="",ROW()-Fenetre&lt;6),"",IF(INDEX('Historique ajusté'!C:C,ROW()-Fenetre)="","",'Historique ajusté'!C27/INDEX('Historique ajusté'!C:C,ROW()-Fenetre)-1))</f>
        <v/>
      </c>
      <c r="D27" s="34">
        <f>IF(OR('Historique ajusté'!D27="",ROW()-Fenetre&lt;6),"",IF(INDEX('Historique ajusté'!D:D,ROW()-Fenetre)="","",'Historique ajusté'!D27/INDEX('Historique ajusté'!D:D,ROW()-Fenetre)-1))</f>
        <v/>
      </c>
      <c r="E27" s="34">
        <f>IF(OR('Historique ajusté'!E27="",ROW()-Fenetre&lt;6),"",IF(INDEX('Historique ajusté'!E:E,ROW()-Fenetre)="","",'Historique ajusté'!E27/INDEX('Historique ajusté'!E:E,ROW()-Fenetre)-1))</f>
        <v/>
      </c>
      <c r="F27" s="34">
        <f>IF(OR('Historique ajusté'!F27="",ROW()-Fenetre&lt;6),"",IF(INDEX('Historique ajusté'!F:F,ROW()-Fenetre)="","",'Historique ajusté'!F27/INDEX('Historique ajusté'!F:F,ROW()-Fenetre)-1))</f>
        <v/>
      </c>
      <c r="G27" s="34">
        <f>IF(OR('Historique ajusté'!G27="",ROW()-Fenetre&lt;6),"",IF(INDEX('Historique ajusté'!G:G,ROW()-Fenetre)="","",'Historique ajusté'!G27/INDEX('Historique ajusté'!G:G,ROW()-Fenetre)-1))</f>
        <v/>
      </c>
      <c r="H27" s="34">
        <f>IF(OR('Historique ajusté'!H27="",ROW()-Fenetre&lt;6),"",IF(INDEX('Historique ajusté'!H:H,ROW()-Fenetre)="","",'Historique ajusté'!H27/INDEX('Historique ajusté'!H:H,ROW()-Fenetre)-1))</f>
        <v/>
      </c>
      <c r="I27" s="34">
        <f>IF(OR('Historique ajusté'!I27="",ROW()-Fenetre&lt;6),"",IF(INDEX('Historique ajusté'!I:I,ROW()-Fenetre)="","",'Historique ajusté'!I27/INDEX('Historique ajusté'!I:I,ROW()-Fenetre)-1))</f>
        <v/>
      </c>
      <c r="J27" s="34">
        <f>IF(OR('Historique ajusté'!J27="",ROW()-Fenetre&lt;6),"",IF(INDEX('Historique ajusté'!J:J,ROW()-Fenetre)="","",'Historique ajusté'!J27/INDEX('Historique ajusté'!J:J,ROW()-Fenetre)-1))</f>
        <v/>
      </c>
      <c r="K27" s="34">
        <f>IF(OR('Historique ajusté'!K27="",ROW()-Fenetre&lt;6),"",IF(INDEX('Historique ajusté'!K:K,ROW()-Fenetre)="","",'Historique ajusté'!K27/INDEX('Historique ajusté'!K:K,ROW()-Fenetre)-1))</f>
        <v/>
      </c>
      <c r="L27" s="34">
        <f>IF(OR('Historique ajusté'!L27="",ROW()-Fenetre&lt;6),"",IF(INDEX('Historique ajusté'!L:L,ROW()-Fenetre)="","",'Historique ajusté'!L27/INDEX('Historique ajusté'!L:L,ROW()-Fenetre)-1))</f>
        <v/>
      </c>
      <c r="M27" s="34">
        <f>IF(OR('Historique ajusté'!M27="",ROW()-Fenetre&lt;6),"",IF(INDEX('Historique ajusté'!M:M,ROW()-Fenetre)="","",'Historique ajusté'!M27/INDEX('Historique ajusté'!M:M,ROW()-Fenetre)-1))</f>
        <v/>
      </c>
      <c r="N27" s="34">
        <f>IF(OR('Historique ajusté'!N27="",ROW()-Fenetre&lt;6),"",IF(INDEX('Historique ajusté'!N:N,ROW()-Fenetre)="","",'Historique ajusté'!N27/INDEX('Historique ajusté'!N:N,ROW()-Fenetre)-1))</f>
        <v/>
      </c>
      <c r="O27" s="34">
        <f>IF(OR('Historique ajusté'!O27="",ROW()-Fenetre&lt;6),"",IF(INDEX('Historique ajusté'!O:O,ROW()-Fenetre)="","",'Historique ajusté'!O27/INDEX('Historique ajusté'!O:O,ROW()-Fenetre)-1))</f>
        <v/>
      </c>
      <c r="P27" s="34">
        <f>IF(OR('Historique ajusté'!P27="",ROW()-Fenetre&lt;6),"",IF(INDEX('Historique ajusté'!P:P,ROW()-Fenetre)="","",'Historique ajusté'!P27/INDEX('Historique ajusté'!P:P,ROW()-Fenetre)-1))</f>
        <v/>
      </c>
      <c r="Q27" s="34">
        <f>IF(OR(Composites!L27="",ROW()-Fenetre&lt;6),"",IF(INDEX(Composites!L:L,ROW()-Fenetre)="","",Composites!L27/INDEX(Composites!L:L,ROW()-Fenetre)-1))</f>
        <v/>
      </c>
      <c r="R27" s="34">
        <f>IF(OR(Composites!M27="",ROW()-Fenetre&lt;6),"",IF(INDEX(Composites!M:M,ROW()-Fenetre)="","",Composites!M27/INDEX(Composites!M:M,ROW()-Fenetre)-1))</f>
        <v/>
      </c>
      <c r="S27" s="34">
        <f>IF(OR(Composites!N27="",ROW()-Fenetre&lt;6),"",IF(INDEX(Composites!N:N,ROW()-Fenetre)="","",Composites!N27/INDEX(Composites!N:N,ROW()-Fenetre)-1))</f>
        <v/>
      </c>
      <c r="T27" s="34">
        <f>IF(OR(Composites!O27="",ROW()-Fenetre&lt;6),"",IF(INDEX(Composites!O:O,ROW()-Fenetre)="","",Composites!O27/INDEX(Composites!O:O,ROW()-Fenetre)-1))</f>
        <v/>
      </c>
      <c r="U27" s="34">
        <f>IF(OR(Composites!P27="",ROW()-Fenetre&lt;6),"",IF(INDEX(Composites!P:P,ROW()-Fenetre)="","",Composites!P27/INDEX(Composites!P:P,ROW()-Fenetre)-1))</f>
        <v/>
      </c>
      <c r="V27" s="34">
        <f>IF('Historique ajusté'!C27="","",'Historique ajusté'!C27/MAX('Historique ajusté'!C$6:C27)-1)</f>
        <v/>
      </c>
      <c r="W27" s="34">
        <f>IF('Historique ajusté'!D27="","",'Historique ajusté'!D27/MAX('Historique ajusté'!D$6:D27)-1)</f>
        <v/>
      </c>
      <c r="X27" s="34">
        <f>IF('Historique ajusté'!E27="","",'Historique ajusté'!E27/MAX('Historique ajusté'!E$6:E27)-1)</f>
        <v/>
      </c>
      <c r="Y27" s="34">
        <f>IF('Historique ajusté'!F27="","",'Historique ajusté'!F27/MAX('Historique ajusté'!F$6:F27)-1)</f>
        <v/>
      </c>
      <c r="Z27" s="34">
        <f>IF('Historique ajusté'!G27="","",'Historique ajusté'!G27/MAX('Historique ajusté'!G$6:G27)-1)</f>
        <v/>
      </c>
      <c r="AA27" s="34">
        <f>IF('Historique ajusté'!H27="","",'Historique ajusté'!H27/MAX('Historique ajusté'!H$6:H27)-1)</f>
        <v/>
      </c>
      <c r="AB27" s="34">
        <f>IF('Historique ajusté'!I27="","",'Historique ajusté'!I27/MAX('Historique ajusté'!I$6:I27)-1)</f>
        <v/>
      </c>
      <c r="AC27" s="34">
        <f>IF('Historique ajusté'!J27="","",'Historique ajusté'!J27/MAX('Historique ajusté'!J$6:J27)-1)</f>
        <v/>
      </c>
      <c r="AD27" s="34">
        <f>IF('Historique ajusté'!K27="","",'Historique ajusté'!K27/MAX('Historique ajusté'!K$6:K27)-1)</f>
        <v/>
      </c>
      <c r="AE27" s="34">
        <f>IF('Historique ajusté'!L27="","",'Historique ajusté'!L27/MAX('Historique ajusté'!L$6:L27)-1)</f>
        <v/>
      </c>
      <c r="AF27" s="34">
        <f>IF('Historique ajusté'!M27="","",'Historique ajusté'!M27/MAX('Historique ajusté'!M$6:M27)-1)</f>
        <v/>
      </c>
      <c r="AG27" s="34">
        <f>IF('Historique ajusté'!N27="","",'Historique ajusté'!N27/MAX('Historique ajusté'!N$6:N27)-1)</f>
        <v/>
      </c>
      <c r="AH27" s="34">
        <f>IF('Historique ajusté'!O27="","",'Historique ajusté'!O27/MAX('Historique ajusté'!O$6:O27)-1)</f>
        <v/>
      </c>
      <c r="AI27" s="34">
        <f>IF('Historique ajusté'!P27="","",'Historique ajusté'!P27/MAX('Historique ajusté'!P$6:P27)-1)</f>
        <v/>
      </c>
      <c r="AJ27" s="34">
        <f>IF(Composites!L27="","",Composites!L27/MAX(Composites!L$6:L27)-1)</f>
        <v/>
      </c>
      <c r="AK27" s="34">
        <f>IF(Composites!M27="","",Composites!M27/MAX(Composites!M$6:M27)-1)</f>
        <v/>
      </c>
      <c r="AL27" s="34">
        <f>IF(Composites!N27="","",Composites!N27/MAX(Composites!N$6:N27)-1)</f>
        <v/>
      </c>
      <c r="AM27" s="34">
        <f>IF(Composites!O27="","",Composites!O27/MAX(Composites!O$6:O27)-1)</f>
        <v/>
      </c>
      <c r="AN27" s="34">
        <f>IF(Composites!P27="","",Composites!P27/MAX(Composites!P$6:P27)-1)</f>
        <v/>
      </c>
    </row>
    <row r="28">
      <c r="B28" s="32">
        <f>'Historique ajusté'!B28</f>
        <v/>
      </c>
      <c r="C28" s="34">
        <f>IF(OR('Historique ajusté'!C28="",ROW()-Fenetre&lt;6),"",IF(INDEX('Historique ajusté'!C:C,ROW()-Fenetre)="","",'Historique ajusté'!C28/INDEX('Historique ajusté'!C:C,ROW()-Fenetre)-1))</f>
        <v/>
      </c>
      <c r="D28" s="34">
        <f>IF(OR('Historique ajusté'!D28="",ROW()-Fenetre&lt;6),"",IF(INDEX('Historique ajusté'!D:D,ROW()-Fenetre)="","",'Historique ajusté'!D28/INDEX('Historique ajusté'!D:D,ROW()-Fenetre)-1))</f>
        <v/>
      </c>
      <c r="E28" s="34">
        <f>IF(OR('Historique ajusté'!E28="",ROW()-Fenetre&lt;6),"",IF(INDEX('Historique ajusté'!E:E,ROW()-Fenetre)="","",'Historique ajusté'!E28/INDEX('Historique ajusté'!E:E,ROW()-Fenetre)-1))</f>
        <v/>
      </c>
      <c r="F28" s="34">
        <f>IF(OR('Historique ajusté'!F28="",ROW()-Fenetre&lt;6),"",IF(INDEX('Historique ajusté'!F:F,ROW()-Fenetre)="","",'Historique ajusté'!F28/INDEX('Historique ajusté'!F:F,ROW()-Fenetre)-1))</f>
        <v/>
      </c>
      <c r="G28" s="34">
        <f>IF(OR('Historique ajusté'!G28="",ROW()-Fenetre&lt;6),"",IF(INDEX('Historique ajusté'!G:G,ROW()-Fenetre)="","",'Historique ajusté'!G28/INDEX('Historique ajusté'!G:G,ROW()-Fenetre)-1))</f>
        <v/>
      </c>
      <c r="H28" s="34">
        <f>IF(OR('Historique ajusté'!H28="",ROW()-Fenetre&lt;6),"",IF(INDEX('Historique ajusté'!H:H,ROW()-Fenetre)="","",'Historique ajusté'!H28/INDEX('Historique ajusté'!H:H,ROW()-Fenetre)-1))</f>
        <v/>
      </c>
      <c r="I28" s="34">
        <f>IF(OR('Historique ajusté'!I28="",ROW()-Fenetre&lt;6),"",IF(INDEX('Historique ajusté'!I:I,ROW()-Fenetre)="","",'Historique ajusté'!I28/INDEX('Historique ajusté'!I:I,ROW()-Fenetre)-1))</f>
        <v/>
      </c>
      <c r="J28" s="34">
        <f>IF(OR('Historique ajusté'!J28="",ROW()-Fenetre&lt;6),"",IF(INDEX('Historique ajusté'!J:J,ROW()-Fenetre)="","",'Historique ajusté'!J28/INDEX('Historique ajusté'!J:J,ROW()-Fenetre)-1))</f>
        <v/>
      </c>
      <c r="K28" s="34">
        <f>IF(OR('Historique ajusté'!K28="",ROW()-Fenetre&lt;6),"",IF(INDEX('Historique ajusté'!K:K,ROW()-Fenetre)="","",'Historique ajusté'!K28/INDEX('Historique ajusté'!K:K,ROW()-Fenetre)-1))</f>
        <v/>
      </c>
      <c r="L28" s="34">
        <f>IF(OR('Historique ajusté'!L28="",ROW()-Fenetre&lt;6),"",IF(INDEX('Historique ajusté'!L:L,ROW()-Fenetre)="","",'Historique ajusté'!L28/INDEX('Historique ajusté'!L:L,ROW()-Fenetre)-1))</f>
        <v/>
      </c>
      <c r="M28" s="34">
        <f>IF(OR('Historique ajusté'!M28="",ROW()-Fenetre&lt;6),"",IF(INDEX('Historique ajusté'!M:M,ROW()-Fenetre)="","",'Historique ajusté'!M28/INDEX('Historique ajusté'!M:M,ROW()-Fenetre)-1))</f>
        <v/>
      </c>
      <c r="N28" s="34">
        <f>IF(OR('Historique ajusté'!N28="",ROW()-Fenetre&lt;6),"",IF(INDEX('Historique ajusté'!N:N,ROW()-Fenetre)="","",'Historique ajusté'!N28/INDEX('Historique ajusté'!N:N,ROW()-Fenetre)-1))</f>
        <v/>
      </c>
      <c r="O28" s="34">
        <f>IF(OR('Historique ajusté'!O28="",ROW()-Fenetre&lt;6),"",IF(INDEX('Historique ajusté'!O:O,ROW()-Fenetre)="","",'Historique ajusté'!O28/INDEX('Historique ajusté'!O:O,ROW()-Fenetre)-1))</f>
        <v/>
      </c>
      <c r="P28" s="34">
        <f>IF(OR('Historique ajusté'!P28="",ROW()-Fenetre&lt;6),"",IF(INDEX('Historique ajusté'!P:P,ROW()-Fenetre)="","",'Historique ajusté'!P28/INDEX('Historique ajusté'!P:P,ROW()-Fenetre)-1))</f>
        <v/>
      </c>
      <c r="Q28" s="34">
        <f>IF(OR(Composites!L28="",ROW()-Fenetre&lt;6),"",IF(INDEX(Composites!L:L,ROW()-Fenetre)="","",Composites!L28/INDEX(Composites!L:L,ROW()-Fenetre)-1))</f>
        <v/>
      </c>
      <c r="R28" s="34">
        <f>IF(OR(Composites!M28="",ROW()-Fenetre&lt;6),"",IF(INDEX(Composites!M:M,ROW()-Fenetre)="","",Composites!M28/INDEX(Composites!M:M,ROW()-Fenetre)-1))</f>
        <v/>
      </c>
      <c r="S28" s="34">
        <f>IF(OR(Composites!N28="",ROW()-Fenetre&lt;6),"",IF(INDEX(Composites!N:N,ROW()-Fenetre)="","",Composites!N28/INDEX(Composites!N:N,ROW()-Fenetre)-1))</f>
        <v/>
      </c>
      <c r="T28" s="34">
        <f>IF(OR(Composites!O28="",ROW()-Fenetre&lt;6),"",IF(INDEX(Composites!O:O,ROW()-Fenetre)="","",Composites!O28/INDEX(Composites!O:O,ROW()-Fenetre)-1))</f>
        <v/>
      </c>
      <c r="U28" s="34">
        <f>IF(OR(Composites!P28="",ROW()-Fenetre&lt;6),"",IF(INDEX(Composites!P:P,ROW()-Fenetre)="","",Composites!P28/INDEX(Composites!P:P,ROW()-Fenetre)-1))</f>
        <v/>
      </c>
      <c r="V28" s="34">
        <f>IF('Historique ajusté'!C28="","",'Historique ajusté'!C28/MAX('Historique ajusté'!C$6:C28)-1)</f>
        <v/>
      </c>
      <c r="W28" s="34">
        <f>IF('Historique ajusté'!D28="","",'Historique ajusté'!D28/MAX('Historique ajusté'!D$6:D28)-1)</f>
        <v/>
      </c>
      <c r="X28" s="34">
        <f>IF('Historique ajusté'!E28="","",'Historique ajusté'!E28/MAX('Historique ajusté'!E$6:E28)-1)</f>
        <v/>
      </c>
      <c r="Y28" s="34">
        <f>IF('Historique ajusté'!F28="","",'Historique ajusté'!F28/MAX('Historique ajusté'!F$6:F28)-1)</f>
        <v/>
      </c>
      <c r="Z28" s="34">
        <f>IF('Historique ajusté'!G28="","",'Historique ajusté'!G28/MAX('Historique ajusté'!G$6:G28)-1)</f>
        <v/>
      </c>
      <c r="AA28" s="34">
        <f>IF('Historique ajusté'!H28="","",'Historique ajusté'!H28/MAX('Historique ajusté'!H$6:H28)-1)</f>
        <v/>
      </c>
      <c r="AB28" s="34">
        <f>IF('Historique ajusté'!I28="","",'Historique ajusté'!I28/MAX('Historique ajusté'!I$6:I28)-1)</f>
        <v/>
      </c>
      <c r="AC28" s="34">
        <f>IF('Historique ajusté'!J28="","",'Historique ajusté'!J28/MAX('Historique ajusté'!J$6:J28)-1)</f>
        <v/>
      </c>
      <c r="AD28" s="34">
        <f>IF('Historique ajusté'!K28="","",'Historique ajusté'!K28/MAX('Historique ajusté'!K$6:K28)-1)</f>
        <v/>
      </c>
      <c r="AE28" s="34">
        <f>IF('Historique ajusté'!L28="","",'Historique ajusté'!L28/MAX('Historique ajusté'!L$6:L28)-1)</f>
        <v/>
      </c>
      <c r="AF28" s="34">
        <f>IF('Historique ajusté'!M28="","",'Historique ajusté'!M28/MAX('Historique ajusté'!M$6:M28)-1)</f>
        <v/>
      </c>
      <c r="AG28" s="34">
        <f>IF('Historique ajusté'!N28="","",'Historique ajusté'!N28/MAX('Historique ajusté'!N$6:N28)-1)</f>
        <v/>
      </c>
      <c r="AH28" s="34">
        <f>IF('Historique ajusté'!O28="","",'Historique ajusté'!O28/MAX('Historique ajusté'!O$6:O28)-1)</f>
        <v/>
      </c>
      <c r="AI28" s="34">
        <f>IF('Historique ajusté'!P28="","",'Historique ajusté'!P28/MAX('Historique ajusté'!P$6:P28)-1)</f>
        <v/>
      </c>
      <c r="AJ28" s="34">
        <f>IF(Composites!L28="","",Composites!L28/MAX(Composites!L$6:L28)-1)</f>
        <v/>
      </c>
      <c r="AK28" s="34">
        <f>IF(Composites!M28="","",Composites!M28/MAX(Composites!M$6:M28)-1)</f>
        <v/>
      </c>
      <c r="AL28" s="34">
        <f>IF(Composites!N28="","",Composites!N28/MAX(Composites!N$6:N28)-1)</f>
        <v/>
      </c>
      <c r="AM28" s="34">
        <f>IF(Composites!O28="","",Composites!O28/MAX(Composites!O$6:O28)-1)</f>
        <v/>
      </c>
      <c r="AN28" s="34">
        <f>IF(Composites!P28="","",Composites!P28/MAX(Composites!P$6:P28)-1)</f>
        <v/>
      </c>
    </row>
    <row r="29">
      <c r="B29" s="32">
        <f>'Historique ajusté'!B29</f>
        <v/>
      </c>
      <c r="C29" s="34">
        <f>IF(OR('Historique ajusté'!C29="",ROW()-Fenetre&lt;6),"",IF(INDEX('Historique ajusté'!C:C,ROW()-Fenetre)="","",'Historique ajusté'!C29/INDEX('Historique ajusté'!C:C,ROW()-Fenetre)-1))</f>
        <v/>
      </c>
      <c r="D29" s="34">
        <f>IF(OR('Historique ajusté'!D29="",ROW()-Fenetre&lt;6),"",IF(INDEX('Historique ajusté'!D:D,ROW()-Fenetre)="","",'Historique ajusté'!D29/INDEX('Historique ajusté'!D:D,ROW()-Fenetre)-1))</f>
        <v/>
      </c>
      <c r="E29" s="34">
        <f>IF(OR('Historique ajusté'!E29="",ROW()-Fenetre&lt;6),"",IF(INDEX('Historique ajusté'!E:E,ROW()-Fenetre)="","",'Historique ajusté'!E29/INDEX('Historique ajusté'!E:E,ROW()-Fenetre)-1))</f>
        <v/>
      </c>
      <c r="F29" s="34">
        <f>IF(OR('Historique ajusté'!F29="",ROW()-Fenetre&lt;6),"",IF(INDEX('Historique ajusté'!F:F,ROW()-Fenetre)="","",'Historique ajusté'!F29/INDEX('Historique ajusté'!F:F,ROW()-Fenetre)-1))</f>
        <v/>
      </c>
      <c r="G29" s="34">
        <f>IF(OR('Historique ajusté'!G29="",ROW()-Fenetre&lt;6),"",IF(INDEX('Historique ajusté'!G:G,ROW()-Fenetre)="","",'Historique ajusté'!G29/INDEX('Historique ajusté'!G:G,ROW()-Fenetre)-1))</f>
        <v/>
      </c>
      <c r="H29" s="34">
        <f>IF(OR('Historique ajusté'!H29="",ROW()-Fenetre&lt;6),"",IF(INDEX('Historique ajusté'!H:H,ROW()-Fenetre)="","",'Historique ajusté'!H29/INDEX('Historique ajusté'!H:H,ROW()-Fenetre)-1))</f>
        <v/>
      </c>
      <c r="I29" s="34">
        <f>IF(OR('Historique ajusté'!I29="",ROW()-Fenetre&lt;6),"",IF(INDEX('Historique ajusté'!I:I,ROW()-Fenetre)="","",'Historique ajusté'!I29/INDEX('Historique ajusté'!I:I,ROW()-Fenetre)-1))</f>
        <v/>
      </c>
      <c r="J29" s="34">
        <f>IF(OR('Historique ajusté'!J29="",ROW()-Fenetre&lt;6),"",IF(INDEX('Historique ajusté'!J:J,ROW()-Fenetre)="","",'Historique ajusté'!J29/INDEX('Historique ajusté'!J:J,ROW()-Fenetre)-1))</f>
        <v/>
      </c>
      <c r="K29" s="34">
        <f>IF(OR('Historique ajusté'!K29="",ROW()-Fenetre&lt;6),"",IF(INDEX('Historique ajusté'!K:K,ROW()-Fenetre)="","",'Historique ajusté'!K29/INDEX('Historique ajusté'!K:K,ROW()-Fenetre)-1))</f>
        <v/>
      </c>
      <c r="L29" s="34">
        <f>IF(OR('Historique ajusté'!L29="",ROW()-Fenetre&lt;6),"",IF(INDEX('Historique ajusté'!L:L,ROW()-Fenetre)="","",'Historique ajusté'!L29/INDEX('Historique ajusté'!L:L,ROW()-Fenetre)-1))</f>
        <v/>
      </c>
      <c r="M29" s="34">
        <f>IF(OR('Historique ajusté'!M29="",ROW()-Fenetre&lt;6),"",IF(INDEX('Historique ajusté'!M:M,ROW()-Fenetre)="","",'Historique ajusté'!M29/INDEX('Historique ajusté'!M:M,ROW()-Fenetre)-1))</f>
        <v/>
      </c>
      <c r="N29" s="34">
        <f>IF(OR('Historique ajusté'!N29="",ROW()-Fenetre&lt;6),"",IF(INDEX('Historique ajusté'!N:N,ROW()-Fenetre)="","",'Historique ajusté'!N29/INDEX('Historique ajusté'!N:N,ROW()-Fenetre)-1))</f>
        <v/>
      </c>
      <c r="O29" s="34">
        <f>IF(OR('Historique ajusté'!O29="",ROW()-Fenetre&lt;6),"",IF(INDEX('Historique ajusté'!O:O,ROW()-Fenetre)="","",'Historique ajusté'!O29/INDEX('Historique ajusté'!O:O,ROW()-Fenetre)-1))</f>
        <v/>
      </c>
      <c r="P29" s="34">
        <f>IF(OR('Historique ajusté'!P29="",ROW()-Fenetre&lt;6),"",IF(INDEX('Historique ajusté'!P:P,ROW()-Fenetre)="","",'Historique ajusté'!P29/INDEX('Historique ajusté'!P:P,ROW()-Fenetre)-1))</f>
        <v/>
      </c>
      <c r="Q29" s="34">
        <f>IF(OR(Composites!L29="",ROW()-Fenetre&lt;6),"",IF(INDEX(Composites!L:L,ROW()-Fenetre)="","",Composites!L29/INDEX(Composites!L:L,ROW()-Fenetre)-1))</f>
        <v/>
      </c>
      <c r="R29" s="34">
        <f>IF(OR(Composites!M29="",ROW()-Fenetre&lt;6),"",IF(INDEX(Composites!M:M,ROW()-Fenetre)="","",Composites!M29/INDEX(Composites!M:M,ROW()-Fenetre)-1))</f>
        <v/>
      </c>
      <c r="S29" s="34">
        <f>IF(OR(Composites!N29="",ROW()-Fenetre&lt;6),"",IF(INDEX(Composites!N:N,ROW()-Fenetre)="","",Composites!N29/INDEX(Composites!N:N,ROW()-Fenetre)-1))</f>
        <v/>
      </c>
      <c r="T29" s="34">
        <f>IF(OR(Composites!O29="",ROW()-Fenetre&lt;6),"",IF(INDEX(Composites!O:O,ROW()-Fenetre)="","",Composites!O29/INDEX(Composites!O:O,ROW()-Fenetre)-1))</f>
        <v/>
      </c>
      <c r="U29" s="34">
        <f>IF(OR(Composites!P29="",ROW()-Fenetre&lt;6),"",IF(INDEX(Composites!P:P,ROW()-Fenetre)="","",Composites!P29/INDEX(Composites!P:P,ROW()-Fenetre)-1))</f>
        <v/>
      </c>
      <c r="V29" s="34">
        <f>IF('Historique ajusté'!C29="","",'Historique ajusté'!C29/MAX('Historique ajusté'!C$6:C29)-1)</f>
        <v/>
      </c>
      <c r="W29" s="34">
        <f>IF('Historique ajusté'!D29="","",'Historique ajusté'!D29/MAX('Historique ajusté'!D$6:D29)-1)</f>
        <v/>
      </c>
      <c r="X29" s="34">
        <f>IF('Historique ajusté'!E29="","",'Historique ajusté'!E29/MAX('Historique ajusté'!E$6:E29)-1)</f>
        <v/>
      </c>
      <c r="Y29" s="34">
        <f>IF('Historique ajusté'!F29="","",'Historique ajusté'!F29/MAX('Historique ajusté'!F$6:F29)-1)</f>
        <v/>
      </c>
      <c r="Z29" s="34">
        <f>IF('Historique ajusté'!G29="","",'Historique ajusté'!G29/MAX('Historique ajusté'!G$6:G29)-1)</f>
        <v/>
      </c>
      <c r="AA29" s="34">
        <f>IF('Historique ajusté'!H29="","",'Historique ajusté'!H29/MAX('Historique ajusté'!H$6:H29)-1)</f>
        <v/>
      </c>
      <c r="AB29" s="34">
        <f>IF('Historique ajusté'!I29="","",'Historique ajusté'!I29/MAX('Historique ajusté'!I$6:I29)-1)</f>
        <v/>
      </c>
      <c r="AC29" s="34">
        <f>IF('Historique ajusté'!J29="","",'Historique ajusté'!J29/MAX('Historique ajusté'!J$6:J29)-1)</f>
        <v/>
      </c>
      <c r="AD29" s="34">
        <f>IF('Historique ajusté'!K29="","",'Historique ajusté'!K29/MAX('Historique ajusté'!K$6:K29)-1)</f>
        <v/>
      </c>
      <c r="AE29" s="34">
        <f>IF('Historique ajusté'!L29="","",'Historique ajusté'!L29/MAX('Historique ajusté'!L$6:L29)-1)</f>
        <v/>
      </c>
      <c r="AF29" s="34">
        <f>IF('Historique ajusté'!M29="","",'Historique ajusté'!M29/MAX('Historique ajusté'!M$6:M29)-1)</f>
        <v/>
      </c>
      <c r="AG29" s="34">
        <f>IF('Historique ajusté'!N29="","",'Historique ajusté'!N29/MAX('Historique ajusté'!N$6:N29)-1)</f>
        <v/>
      </c>
      <c r="AH29" s="34">
        <f>IF('Historique ajusté'!O29="","",'Historique ajusté'!O29/MAX('Historique ajusté'!O$6:O29)-1)</f>
        <v/>
      </c>
      <c r="AI29" s="34">
        <f>IF('Historique ajusté'!P29="","",'Historique ajusté'!P29/MAX('Historique ajusté'!P$6:P29)-1)</f>
        <v/>
      </c>
      <c r="AJ29" s="34">
        <f>IF(Composites!L29="","",Composites!L29/MAX(Composites!L$6:L29)-1)</f>
        <v/>
      </c>
      <c r="AK29" s="34">
        <f>IF(Composites!M29="","",Composites!M29/MAX(Composites!M$6:M29)-1)</f>
        <v/>
      </c>
      <c r="AL29" s="34">
        <f>IF(Composites!N29="","",Composites!N29/MAX(Composites!N$6:N29)-1)</f>
        <v/>
      </c>
      <c r="AM29" s="34">
        <f>IF(Composites!O29="","",Composites!O29/MAX(Composites!O$6:O29)-1)</f>
        <v/>
      </c>
      <c r="AN29" s="34">
        <f>IF(Composites!P29="","",Composites!P29/MAX(Composites!P$6:P29)-1)</f>
        <v/>
      </c>
    </row>
    <row r="30">
      <c r="B30" s="32">
        <f>'Historique ajusté'!B30</f>
        <v/>
      </c>
      <c r="C30" s="34">
        <f>IF(OR('Historique ajusté'!C30="",ROW()-Fenetre&lt;6),"",IF(INDEX('Historique ajusté'!C:C,ROW()-Fenetre)="","",'Historique ajusté'!C30/INDEX('Historique ajusté'!C:C,ROW()-Fenetre)-1))</f>
        <v/>
      </c>
      <c r="D30" s="34">
        <f>IF(OR('Historique ajusté'!D30="",ROW()-Fenetre&lt;6),"",IF(INDEX('Historique ajusté'!D:D,ROW()-Fenetre)="","",'Historique ajusté'!D30/INDEX('Historique ajusté'!D:D,ROW()-Fenetre)-1))</f>
        <v/>
      </c>
      <c r="E30" s="34">
        <f>IF(OR('Historique ajusté'!E30="",ROW()-Fenetre&lt;6),"",IF(INDEX('Historique ajusté'!E:E,ROW()-Fenetre)="","",'Historique ajusté'!E30/INDEX('Historique ajusté'!E:E,ROW()-Fenetre)-1))</f>
        <v/>
      </c>
      <c r="F30" s="34">
        <f>IF(OR('Historique ajusté'!F30="",ROW()-Fenetre&lt;6),"",IF(INDEX('Historique ajusté'!F:F,ROW()-Fenetre)="","",'Historique ajusté'!F30/INDEX('Historique ajusté'!F:F,ROW()-Fenetre)-1))</f>
        <v/>
      </c>
      <c r="G30" s="34">
        <f>IF(OR('Historique ajusté'!G30="",ROW()-Fenetre&lt;6),"",IF(INDEX('Historique ajusté'!G:G,ROW()-Fenetre)="","",'Historique ajusté'!G30/INDEX('Historique ajusté'!G:G,ROW()-Fenetre)-1))</f>
        <v/>
      </c>
      <c r="H30" s="34">
        <f>IF(OR('Historique ajusté'!H30="",ROW()-Fenetre&lt;6),"",IF(INDEX('Historique ajusté'!H:H,ROW()-Fenetre)="","",'Historique ajusté'!H30/INDEX('Historique ajusté'!H:H,ROW()-Fenetre)-1))</f>
        <v/>
      </c>
      <c r="I30" s="34">
        <f>IF(OR('Historique ajusté'!I30="",ROW()-Fenetre&lt;6),"",IF(INDEX('Historique ajusté'!I:I,ROW()-Fenetre)="","",'Historique ajusté'!I30/INDEX('Historique ajusté'!I:I,ROW()-Fenetre)-1))</f>
        <v/>
      </c>
      <c r="J30" s="34">
        <f>IF(OR('Historique ajusté'!J30="",ROW()-Fenetre&lt;6),"",IF(INDEX('Historique ajusté'!J:J,ROW()-Fenetre)="","",'Historique ajusté'!J30/INDEX('Historique ajusté'!J:J,ROW()-Fenetre)-1))</f>
        <v/>
      </c>
      <c r="K30" s="34">
        <f>IF(OR('Historique ajusté'!K30="",ROW()-Fenetre&lt;6),"",IF(INDEX('Historique ajusté'!K:K,ROW()-Fenetre)="","",'Historique ajusté'!K30/INDEX('Historique ajusté'!K:K,ROW()-Fenetre)-1))</f>
        <v/>
      </c>
      <c r="L30" s="34">
        <f>IF(OR('Historique ajusté'!L30="",ROW()-Fenetre&lt;6),"",IF(INDEX('Historique ajusté'!L:L,ROW()-Fenetre)="","",'Historique ajusté'!L30/INDEX('Historique ajusté'!L:L,ROW()-Fenetre)-1))</f>
        <v/>
      </c>
      <c r="M30" s="34">
        <f>IF(OR('Historique ajusté'!M30="",ROW()-Fenetre&lt;6),"",IF(INDEX('Historique ajusté'!M:M,ROW()-Fenetre)="","",'Historique ajusté'!M30/INDEX('Historique ajusté'!M:M,ROW()-Fenetre)-1))</f>
        <v/>
      </c>
      <c r="N30" s="34">
        <f>IF(OR('Historique ajusté'!N30="",ROW()-Fenetre&lt;6),"",IF(INDEX('Historique ajusté'!N:N,ROW()-Fenetre)="","",'Historique ajusté'!N30/INDEX('Historique ajusté'!N:N,ROW()-Fenetre)-1))</f>
        <v/>
      </c>
      <c r="O30" s="34">
        <f>IF(OR('Historique ajusté'!O30="",ROW()-Fenetre&lt;6),"",IF(INDEX('Historique ajusté'!O:O,ROW()-Fenetre)="","",'Historique ajusté'!O30/INDEX('Historique ajusté'!O:O,ROW()-Fenetre)-1))</f>
        <v/>
      </c>
      <c r="P30" s="34">
        <f>IF(OR('Historique ajusté'!P30="",ROW()-Fenetre&lt;6),"",IF(INDEX('Historique ajusté'!P:P,ROW()-Fenetre)="","",'Historique ajusté'!P30/INDEX('Historique ajusté'!P:P,ROW()-Fenetre)-1))</f>
        <v/>
      </c>
      <c r="Q30" s="34">
        <f>IF(OR(Composites!L30="",ROW()-Fenetre&lt;6),"",IF(INDEX(Composites!L:L,ROW()-Fenetre)="","",Composites!L30/INDEX(Composites!L:L,ROW()-Fenetre)-1))</f>
        <v/>
      </c>
      <c r="R30" s="34">
        <f>IF(OR(Composites!M30="",ROW()-Fenetre&lt;6),"",IF(INDEX(Composites!M:M,ROW()-Fenetre)="","",Composites!M30/INDEX(Composites!M:M,ROW()-Fenetre)-1))</f>
        <v/>
      </c>
      <c r="S30" s="34">
        <f>IF(OR(Composites!N30="",ROW()-Fenetre&lt;6),"",IF(INDEX(Composites!N:N,ROW()-Fenetre)="","",Composites!N30/INDEX(Composites!N:N,ROW()-Fenetre)-1))</f>
        <v/>
      </c>
      <c r="T30" s="34">
        <f>IF(OR(Composites!O30="",ROW()-Fenetre&lt;6),"",IF(INDEX(Composites!O:O,ROW()-Fenetre)="","",Composites!O30/INDEX(Composites!O:O,ROW()-Fenetre)-1))</f>
        <v/>
      </c>
      <c r="U30" s="34">
        <f>IF(OR(Composites!P30="",ROW()-Fenetre&lt;6),"",IF(INDEX(Composites!P:P,ROW()-Fenetre)="","",Composites!P30/INDEX(Composites!P:P,ROW()-Fenetre)-1))</f>
        <v/>
      </c>
      <c r="V30" s="34">
        <f>IF('Historique ajusté'!C30="","",'Historique ajusté'!C30/MAX('Historique ajusté'!C$6:C30)-1)</f>
        <v/>
      </c>
      <c r="W30" s="34">
        <f>IF('Historique ajusté'!D30="","",'Historique ajusté'!D30/MAX('Historique ajusté'!D$6:D30)-1)</f>
        <v/>
      </c>
      <c r="X30" s="34">
        <f>IF('Historique ajusté'!E30="","",'Historique ajusté'!E30/MAX('Historique ajusté'!E$6:E30)-1)</f>
        <v/>
      </c>
      <c r="Y30" s="34">
        <f>IF('Historique ajusté'!F30="","",'Historique ajusté'!F30/MAX('Historique ajusté'!F$6:F30)-1)</f>
        <v/>
      </c>
      <c r="Z30" s="34">
        <f>IF('Historique ajusté'!G30="","",'Historique ajusté'!G30/MAX('Historique ajusté'!G$6:G30)-1)</f>
        <v/>
      </c>
      <c r="AA30" s="34">
        <f>IF('Historique ajusté'!H30="","",'Historique ajusté'!H30/MAX('Historique ajusté'!H$6:H30)-1)</f>
        <v/>
      </c>
      <c r="AB30" s="34">
        <f>IF('Historique ajusté'!I30="","",'Historique ajusté'!I30/MAX('Historique ajusté'!I$6:I30)-1)</f>
        <v/>
      </c>
      <c r="AC30" s="34">
        <f>IF('Historique ajusté'!J30="","",'Historique ajusté'!J30/MAX('Historique ajusté'!J$6:J30)-1)</f>
        <v/>
      </c>
      <c r="AD30" s="34">
        <f>IF('Historique ajusté'!K30="","",'Historique ajusté'!K30/MAX('Historique ajusté'!K$6:K30)-1)</f>
        <v/>
      </c>
      <c r="AE30" s="34">
        <f>IF('Historique ajusté'!L30="","",'Historique ajusté'!L30/MAX('Historique ajusté'!L$6:L30)-1)</f>
        <v/>
      </c>
      <c r="AF30" s="34">
        <f>IF('Historique ajusté'!M30="","",'Historique ajusté'!M30/MAX('Historique ajusté'!M$6:M30)-1)</f>
        <v/>
      </c>
      <c r="AG30" s="34">
        <f>IF('Historique ajusté'!N30="","",'Historique ajusté'!N30/MAX('Historique ajusté'!N$6:N30)-1)</f>
        <v/>
      </c>
      <c r="AH30" s="34">
        <f>IF('Historique ajusté'!O30="","",'Historique ajusté'!O30/MAX('Historique ajusté'!O$6:O30)-1)</f>
        <v/>
      </c>
      <c r="AI30" s="34">
        <f>IF('Historique ajusté'!P30="","",'Historique ajusté'!P30/MAX('Historique ajusté'!P$6:P30)-1)</f>
        <v/>
      </c>
      <c r="AJ30" s="34">
        <f>IF(Composites!L30="","",Composites!L30/MAX(Composites!L$6:L30)-1)</f>
        <v/>
      </c>
      <c r="AK30" s="34">
        <f>IF(Composites!M30="","",Composites!M30/MAX(Composites!M$6:M30)-1)</f>
        <v/>
      </c>
      <c r="AL30" s="34">
        <f>IF(Composites!N30="","",Composites!N30/MAX(Composites!N$6:N30)-1)</f>
        <v/>
      </c>
      <c r="AM30" s="34">
        <f>IF(Composites!O30="","",Composites!O30/MAX(Composites!O$6:O30)-1)</f>
        <v/>
      </c>
      <c r="AN30" s="34">
        <f>IF(Composites!P30="","",Composites!P30/MAX(Composites!P$6:P30)-1)</f>
        <v/>
      </c>
    </row>
    <row r="31">
      <c r="B31" s="32">
        <f>'Historique ajusté'!B31</f>
        <v/>
      </c>
      <c r="C31" s="34">
        <f>IF(OR('Historique ajusté'!C31="",ROW()-Fenetre&lt;6),"",IF(INDEX('Historique ajusté'!C:C,ROW()-Fenetre)="","",'Historique ajusté'!C31/INDEX('Historique ajusté'!C:C,ROW()-Fenetre)-1))</f>
        <v/>
      </c>
      <c r="D31" s="34">
        <f>IF(OR('Historique ajusté'!D31="",ROW()-Fenetre&lt;6),"",IF(INDEX('Historique ajusté'!D:D,ROW()-Fenetre)="","",'Historique ajusté'!D31/INDEX('Historique ajusté'!D:D,ROW()-Fenetre)-1))</f>
        <v/>
      </c>
      <c r="E31" s="34">
        <f>IF(OR('Historique ajusté'!E31="",ROW()-Fenetre&lt;6),"",IF(INDEX('Historique ajusté'!E:E,ROW()-Fenetre)="","",'Historique ajusté'!E31/INDEX('Historique ajusté'!E:E,ROW()-Fenetre)-1))</f>
        <v/>
      </c>
      <c r="F31" s="34">
        <f>IF(OR('Historique ajusté'!F31="",ROW()-Fenetre&lt;6),"",IF(INDEX('Historique ajusté'!F:F,ROW()-Fenetre)="","",'Historique ajusté'!F31/INDEX('Historique ajusté'!F:F,ROW()-Fenetre)-1))</f>
        <v/>
      </c>
      <c r="G31" s="34">
        <f>IF(OR('Historique ajusté'!G31="",ROW()-Fenetre&lt;6),"",IF(INDEX('Historique ajusté'!G:G,ROW()-Fenetre)="","",'Historique ajusté'!G31/INDEX('Historique ajusté'!G:G,ROW()-Fenetre)-1))</f>
        <v/>
      </c>
      <c r="H31" s="34">
        <f>IF(OR('Historique ajusté'!H31="",ROW()-Fenetre&lt;6),"",IF(INDEX('Historique ajusté'!H:H,ROW()-Fenetre)="","",'Historique ajusté'!H31/INDEX('Historique ajusté'!H:H,ROW()-Fenetre)-1))</f>
        <v/>
      </c>
      <c r="I31" s="34">
        <f>IF(OR('Historique ajusté'!I31="",ROW()-Fenetre&lt;6),"",IF(INDEX('Historique ajusté'!I:I,ROW()-Fenetre)="","",'Historique ajusté'!I31/INDEX('Historique ajusté'!I:I,ROW()-Fenetre)-1))</f>
        <v/>
      </c>
      <c r="J31" s="34">
        <f>IF(OR('Historique ajusté'!J31="",ROW()-Fenetre&lt;6),"",IF(INDEX('Historique ajusté'!J:J,ROW()-Fenetre)="","",'Historique ajusté'!J31/INDEX('Historique ajusté'!J:J,ROW()-Fenetre)-1))</f>
        <v/>
      </c>
      <c r="K31" s="34">
        <f>IF(OR('Historique ajusté'!K31="",ROW()-Fenetre&lt;6),"",IF(INDEX('Historique ajusté'!K:K,ROW()-Fenetre)="","",'Historique ajusté'!K31/INDEX('Historique ajusté'!K:K,ROW()-Fenetre)-1))</f>
        <v/>
      </c>
      <c r="L31" s="34">
        <f>IF(OR('Historique ajusté'!L31="",ROW()-Fenetre&lt;6),"",IF(INDEX('Historique ajusté'!L:L,ROW()-Fenetre)="","",'Historique ajusté'!L31/INDEX('Historique ajusté'!L:L,ROW()-Fenetre)-1))</f>
        <v/>
      </c>
      <c r="M31" s="34">
        <f>IF(OR('Historique ajusté'!M31="",ROW()-Fenetre&lt;6),"",IF(INDEX('Historique ajusté'!M:M,ROW()-Fenetre)="","",'Historique ajusté'!M31/INDEX('Historique ajusté'!M:M,ROW()-Fenetre)-1))</f>
        <v/>
      </c>
      <c r="N31" s="34">
        <f>IF(OR('Historique ajusté'!N31="",ROW()-Fenetre&lt;6),"",IF(INDEX('Historique ajusté'!N:N,ROW()-Fenetre)="","",'Historique ajusté'!N31/INDEX('Historique ajusté'!N:N,ROW()-Fenetre)-1))</f>
        <v/>
      </c>
      <c r="O31" s="34">
        <f>IF(OR('Historique ajusté'!O31="",ROW()-Fenetre&lt;6),"",IF(INDEX('Historique ajusté'!O:O,ROW()-Fenetre)="","",'Historique ajusté'!O31/INDEX('Historique ajusté'!O:O,ROW()-Fenetre)-1))</f>
        <v/>
      </c>
      <c r="P31" s="34">
        <f>IF(OR('Historique ajusté'!P31="",ROW()-Fenetre&lt;6),"",IF(INDEX('Historique ajusté'!P:P,ROW()-Fenetre)="","",'Historique ajusté'!P31/INDEX('Historique ajusté'!P:P,ROW()-Fenetre)-1))</f>
        <v/>
      </c>
      <c r="Q31" s="34">
        <f>IF(OR(Composites!L31="",ROW()-Fenetre&lt;6),"",IF(INDEX(Composites!L:L,ROW()-Fenetre)="","",Composites!L31/INDEX(Composites!L:L,ROW()-Fenetre)-1))</f>
        <v/>
      </c>
      <c r="R31" s="34">
        <f>IF(OR(Composites!M31="",ROW()-Fenetre&lt;6),"",IF(INDEX(Composites!M:M,ROW()-Fenetre)="","",Composites!M31/INDEX(Composites!M:M,ROW()-Fenetre)-1))</f>
        <v/>
      </c>
      <c r="S31" s="34">
        <f>IF(OR(Composites!N31="",ROW()-Fenetre&lt;6),"",IF(INDEX(Composites!N:N,ROW()-Fenetre)="","",Composites!N31/INDEX(Composites!N:N,ROW()-Fenetre)-1))</f>
        <v/>
      </c>
      <c r="T31" s="34">
        <f>IF(OR(Composites!O31="",ROW()-Fenetre&lt;6),"",IF(INDEX(Composites!O:O,ROW()-Fenetre)="","",Composites!O31/INDEX(Composites!O:O,ROW()-Fenetre)-1))</f>
        <v/>
      </c>
      <c r="U31" s="34">
        <f>IF(OR(Composites!P31="",ROW()-Fenetre&lt;6),"",IF(INDEX(Composites!P:P,ROW()-Fenetre)="","",Composites!P31/INDEX(Composites!P:P,ROW()-Fenetre)-1))</f>
        <v/>
      </c>
      <c r="V31" s="34">
        <f>IF('Historique ajusté'!C31="","",'Historique ajusté'!C31/MAX('Historique ajusté'!C$6:C31)-1)</f>
        <v/>
      </c>
      <c r="W31" s="34">
        <f>IF('Historique ajusté'!D31="","",'Historique ajusté'!D31/MAX('Historique ajusté'!D$6:D31)-1)</f>
        <v/>
      </c>
      <c r="X31" s="34">
        <f>IF('Historique ajusté'!E31="","",'Historique ajusté'!E31/MAX('Historique ajusté'!E$6:E31)-1)</f>
        <v/>
      </c>
      <c r="Y31" s="34">
        <f>IF('Historique ajusté'!F31="","",'Historique ajusté'!F31/MAX('Historique ajusté'!F$6:F31)-1)</f>
        <v/>
      </c>
      <c r="Z31" s="34">
        <f>IF('Historique ajusté'!G31="","",'Historique ajusté'!G31/MAX('Historique ajusté'!G$6:G31)-1)</f>
        <v/>
      </c>
      <c r="AA31" s="34">
        <f>IF('Historique ajusté'!H31="","",'Historique ajusté'!H31/MAX('Historique ajusté'!H$6:H31)-1)</f>
        <v/>
      </c>
      <c r="AB31" s="34">
        <f>IF('Historique ajusté'!I31="","",'Historique ajusté'!I31/MAX('Historique ajusté'!I$6:I31)-1)</f>
        <v/>
      </c>
      <c r="AC31" s="34">
        <f>IF('Historique ajusté'!J31="","",'Historique ajusté'!J31/MAX('Historique ajusté'!J$6:J31)-1)</f>
        <v/>
      </c>
      <c r="AD31" s="34">
        <f>IF('Historique ajusté'!K31="","",'Historique ajusté'!K31/MAX('Historique ajusté'!K$6:K31)-1)</f>
        <v/>
      </c>
      <c r="AE31" s="34">
        <f>IF('Historique ajusté'!L31="","",'Historique ajusté'!L31/MAX('Historique ajusté'!L$6:L31)-1)</f>
        <v/>
      </c>
      <c r="AF31" s="34">
        <f>IF('Historique ajusté'!M31="","",'Historique ajusté'!M31/MAX('Historique ajusté'!M$6:M31)-1)</f>
        <v/>
      </c>
      <c r="AG31" s="34">
        <f>IF('Historique ajusté'!N31="","",'Historique ajusté'!N31/MAX('Historique ajusté'!N$6:N31)-1)</f>
        <v/>
      </c>
      <c r="AH31" s="34">
        <f>IF('Historique ajusté'!O31="","",'Historique ajusté'!O31/MAX('Historique ajusté'!O$6:O31)-1)</f>
        <v/>
      </c>
      <c r="AI31" s="34">
        <f>IF('Historique ajusté'!P31="","",'Historique ajusté'!P31/MAX('Historique ajusté'!P$6:P31)-1)</f>
        <v/>
      </c>
      <c r="AJ31" s="34">
        <f>IF(Composites!L31="","",Composites!L31/MAX(Composites!L$6:L31)-1)</f>
        <v/>
      </c>
      <c r="AK31" s="34">
        <f>IF(Composites!M31="","",Composites!M31/MAX(Composites!M$6:M31)-1)</f>
        <v/>
      </c>
      <c r="AL31" s="34">
        <f>IF(Composites!N31="","",Composites!N31/MAX(Composites!N$6:N31)-1)</f>
        <v/>
      </c>
      <c r="AM31" s="34">
        <f>IF(Composites!O31="","",Composites!O31/MAX(Composites!O$6:O31)-1)</f>
        <v/>
      </c>
      <c r="AN31" s="34">
        <f>IF(Composites!P31="","",Composites!P31/MAX(Composites!P$6:P31)-1)</f>
        <v/>
      </c>
    </row>
    <row r="32">
      <c r="B32" s="32">
        <f>'Historique ajusté'!B32</f>
        <v/>
      </c>
      <c r="C32" s="34">
        <f>IF(OR('Historique ajusté'!C32="",ROW()-Fenetre&lt;6),"",IF(INDEX('Historique ajusté'!C:C,ROW()-Fenetre)="","",'Historique ajusté'!C32/INDEX('Historique ajusté'!C:C,ROW()-Fenetre)-1))</f>
        <v/>
      </c>
      <c r="D32" s="34">
        <f>IF(OR('Historique ajusté'!D32="",ROW()-Fenetre&lt;6),"",IF(INDEX('Historique ajusté'!D:D,ROW()-Fenetre)="","",'Historique ajusté'!D32/INDEX('Historique ajusté'!D:D,ROW()-Fenetre)-1))</f>
        <v/>
      </c>
      <c r="E32" s="34">
        <f>IF(OR('Historique ajusté'!E32="",ROW()-Fenetre&lt;6),"",IF(INDEX('Historique ajusté'!E:E,ROW()-Fenetre)="","",'Historique ajusté'!E32/INDEX('Historique ajusté'!E:E,ROW()-Fenetre)-1))</f>
        <v/>
      </c>
      <c r="F32" s="34">
        <f>IF(OR('Historique ajusté'!F32="",ROW()-Fenetre&lt;6),"",IF(INDEX('Historique ajusté'!F:F,ROW()-Fenetre)="","",'Historique ajusté'!F32/INDEX('Historique ajusté'!F:F,ROW()-Fenetre)-1))</f>
        <v/>
      </c>
      <c r="G32" s="34">
        <f>IF(OR('Historique ajusté'!G32="",ROW()-Fenetre&lt;6),"",IF(INDEX('Historique ajusté'!G:G,ROW()-Fenetre)="","",'Historique ajusté'!G32/INDEX('Historique ajusté'!G:G,ROW()-Fenetre)-1))</f>
        <v/>
      </c>
      <c r="H32" s="34">
        <f>IF(OR('Historique ajusté'!H32="",ROW()-Fenetre&lt;6),"",IF(INDEX('Historique ajusté'!H:H,ROW()-Fenetre)="","",'Historique ajusté'!H32/INDEX('Historique ajusté'!H:H,ROW()-Fenetre)-1))</f>
        <v/>
      </c>
      <c r="I32" s="34">
        <f>IF(OR('Historique ajusté'!I32="",ROW()-Fenetre&lt;6),"",IF(INDEX('Historique ajusté'!I:I,ROW()-Fenetre)="","",'Historique ajusté'!I32/INDEX('Historique ajusté'!I:I,ROW()-Fenetre)-1))</f>
        <v/>
      </c>
      <c r="J32" s="34">
        <f>IF(OR('Historique ajusté'!J32="",ROW()-Fenetre&lt;6),"",IF(INDEX('Historique ajusté'!J:J,ROW()-Fenetre)="","",'Historique ajusté'!J32/INDEX('Historique ajusté'!J:J,ROW()-Fenetre)-1))</f>
        <v/>
      </c>
      <c r="K32" s="34">
        <f>IF(OR('Historique ajusté'!K32="",ROW()-Fenetre&lt;6),"",IF(INDEX('Historique ajusté'!K:K,ROW()-Fenetre)="","",'Historique ajusté'!K32/INDEX('Historique ajusté'!K:K,ROW()-Fenetre)-1))</f>
        <v/>
      </c>
      <c r="L32" s="34">
        <f>IF(OR('Historique ajusté'!L32="",ROW()-Fenetre&lt;6),"",IF(INDEX('Historique ajusté'!L:L,ROW()-Fenetre)="","",'Historique ajusté'!L32/INDEX('Historique ajusté'!L:L,ROW()-Fenetre)-1))</f>
        <v/>
      </c>
      <c r="M32" s="34">
        <f>IF(OR('Historique ajusté'!M32="",ROW()-Fenetre&lt;6),"",IF(INDEX('Historique ajusté'!M:M,ROW()-Fenetre)="","",'Historique ajusté'!M32/INDEX('Historique ajusté'!M:M,ROW()-Fenetre)-1))</f>
        <v/>
      </c>
      <c r="N32" s="34">
        <f>IF(OR('Historique ajusté'!N32="",ROW()-Fenetre&lt;6),"",IF(INDEX('Historique ajusté'!N:N,ROW()-Fenetre)="","",'Historique ajusté'!N32/INDEX('Historique ajusté'!N:N,ROW()-Fenetre)-1))</f>
        <v/>
      </c>
      <c r="O32" s="34">
        <f>IF(OR('Historique ajusté'!O32="",ROW()-Fenetre&lt;6),"",IF(INDEX('Historique ajusté'!O:O,ROW()-Fenetre)="","",'Historique ajusté'!O32/INDEX('Historique ajusté'!O:O,ROW()-Fenetre)-1))</f>
        <v/>
      </c>
      <c r="P32" s="34">
        <f>IF(OR('Historique ajusté'!P32="",ROW()-Fenetre&lt;6),"",IF(INDEX('Historique ajusté'!P:P,ROW()-Fenetre)="","",'Historique ajusté'!P32/INDEX('Historique ajusté'!P:P,ROW()-Fenetre)-1))</f>
        <v/>
      </c>
      <c r="Q32" s="34">
        <f>IF(OR(Composites!L32="",ROW()-Fenetre&lt;6),"",IF(INDEX(Composites!L:L,ROW()-Fenetre)="","",Composites!L32/INDEX(Composites!L:L,ROW()-Fenetre)-1))</f>
        <v/>
      </c>
      <c r="R32" s="34">
        <f>IF(OR(Composites!M32="",ROW()-Fenetre&lt;6),"",IF(INDEX(Composites!M:M,ROW()-Fenetre)="","",Composites!M32/INDEX(Composites!M:M,ROW()-Fenetre)-1))</f>
        <v/>
      </c>
      <c r="S32" s="34">
        <f>IF(OR(Composites!N32="",ROW()-Fenetre&lt;6),"",IF(INDEX(Composites!N:N,ROW()-Fenetre)="","",Composites!N32/INDEX(Composites!N:N,ROW()-Fenetre)-1))</f>
        <v/>
      </c>
      <c r="T32" s="34">
        <f>IF(OR(Composites!O32="",ROW()-Fenetre&lt;6),"",IF(INDEX(Composites!O:O,ROW()-Fenetre)="","",Composites!O32/INDEX(Composites!O:O,ROW()-Fenetre)-1))</f>
        <v/>
      </c>
      <c r="U32" s="34">
        <f>IF(OR(Composites!P32="",ROW()-Fenetre&lt;6),"",IF(INDEX(Composites!P:P,ROW()-Fenetre)="","",Composites!P32/INDEX(Composites!P:P,ROW()-Fenetre)-1))</f>
        <v/>
      </c>
      <c r="V32" s="34">
        <f>IF('Historique ajusté'!C32="","",'Historique ajusté'!C32/MAX('Historique ajusté'!C$6:C32)-1)</f>
        <v/>
      </c>
      <c r="W32" s="34">
        <f>IF('Historique ajusté'!D32="","",'Historique ajusté'!D32/MAX('Historique ajusté'!D$6:D32)-1)</f>
        <v/>
      </c>
      <c r="X32" s="34">
        <f>IF('Historique ajusté'!E32="","",'Historique ajusté'!E32/MAX('Historique ajusté'!E$6:E32)-1)</f>
        <v/>
      </c>
      <c r="Y32" s="34">
        <f>IF('Historique ajusté'!F32="","",'Historique ajusté'!F32/MAX('Historique ajusté'!F$6:F32)-1)</f>
        <v/>
      </c>
      <c r="Z32" s="34">
        <f>IF('Historique ajusté'!G32="","",'Historique ajusté'!G32/MAX('Historique ajusté'!G$6:G32)-1)</f>
        <v/>
      </c>
      <c r="AA32" s="34">
        <f>IF('Historique ajusté'!H32="","",'Historique ajusté'!H32/MAX('Historique ajusté'!H$6:H32)-1)</f>
        <v/>
      </c>
      <c r="AB32" s="34">
        <f>IF('Historique ajusté'!I32="","",'Historique ajusté'!I32/MAX('Historique ajusté'!I$6:I32)-1)</f>
        <v/>
      </c>
      <c r="AC32" s="34">
        <f>IF('Historique ajusté'!J32="","",'Historique ajusté'!J32/MAX('Historique ajusté'!J$6:J32)-1)</f>
        <v/>
      </c>
      <c r="AD32" s="34">
        <f>IF('Historique ajusté'!K32="","",'Historique ajusté'!K32/MAX('Historique ajusté'!K$6:K32)-1)</f>
        <v/>
      </c>
      <c r="AE32" s="34">
        <f>IF('Historique ajusté'!L32="","",'Historique ajusté'!L32/MAX('Historique ajusté'!L$6:L32)-1)</f>
        <v/>
      </c>
      <c r="AF32" s="34">
        <f>IF('Historique ajusté'!M32="","",'Historique ajusté'!M32/MAX('Historique ajusté'!M$6:M32)-1)</f>
        <v/>
      </c>
      <c r="AG32" s="34">
        <f>IF('Historique ajusté'!N32="","",'Historique ajusté'!N32/MAX('Historique ajusté'!N$6:N32)-1)</f>
        <v/>
      </c>
      <c r="AH32" s="34">
        <f>IF('Historique ajusté'!O32="","",'Historique ajusté'!O32/MAX('Historique ajusté'!O$6:O32)-1)</f>
        <v/>
      </c>
      <c r="AI32" s="34">
        <f>IF('Historique ajusté'!P32="","",'Historique ajusté'!P32/MAX('Historique ajusté'!P$6:P32)-1)</f>
        <v/>
      </c>
      <c r="AJ32" s="34">
        <f>IF(Composites!L32="","",Composites!L32/MAX(Composites!L$6:L32)-1)</f>
        <v/>
      </c>
      <c r="AK32" s="34">
        <f>IF(Composites!M32="","",Composites!M32/MAX(Composites!M$6:M32)-1)</f>
        <v/>
      </c>
      <c r="AL32" s="34">
        <f>IF(Composites!N32="","",Composites!N32/MAX(Composites!N$6:N32)-1)</f>
        <v/>
      </c>
      <c r="AM32" s="34">
        <f>IF(Composites!O32="","",Composites!O32/MAX(Composites!O$6:O32)-1)</f>
        <v/>
      </c>
      <c r="AN32" s="34">
        <f>IF(Composites!P32="","",Composites!P32/MAX(Composites!P$6:P32)-1)</f>
        <v/>
      </c>
    </row>
    <row r="33">
      <c r="B33" s="32">
        <f>'Historique ajusté'!B33</f>
        <v/>
      </c>
      <c r="C33" s="34">
        <f>IF(OR('Historique ajusté'!C33="",ROW()-Fenetre&lt;6),"",IF(INDEX('Historique ajusté'!C:C,ROW()-Fenetre)="","",'Historique ajusté'!C33/INDEX('Historique ajusté'!C:C,ROW()-Fenetre)-1))</f>
        <v/>
      </c>
      <c r="D33" s="34">
        <f>IF(OR('Historique ajusté'!D33="",ROW()-Fenetre&lt;6),"",IF(INDEX('Historique ajusté'!D:D,ROW()-Fenetre)="","",'Historique ajusté'!D33/INDEX('Historique ajusté'!D:D,ROW()-Fenetre)-1))</f>
        <v/>
      </c>
      <c r="E33" s="34">
        <f>IF(OR('Historique ajusté'!E33="",ROW()-Fenetre&lt;6),"",IF(INDEX('Historique ajusté'!E:E,ROW()-Fenetre)="","",'Historique ajusté'!E33/INDEX('Historique ajusté'!E:E,ROW()-Fenetre)-1))</f>
        <v/>
      </c>
      <c r="F33" s="34">
        <f>IF(OR('Historique ajusté'!F33="",ROW()-Fenetre&lt;6),"",IF(INDEX('Historique ajusté'!F:F,ROW()-Fenetre)="","",'Historique ajusté'!F33/INDEX('Historique ajusté'!F:F,ROW()-Fenetre)-1))</f>
        <v/>
      </c>
      <c r="G33" s="34">
        <f>IF(OR('Historique ajusté'!G33="",ROW()-Fenetre&lt;6),"",IF(INDEX('Historique ajusté'!G:G,ROW()-Fenetre)="","",'Historique ajusté'!G33/INDEX('Historique ajusté'!G:G,ROW()-Fenetre)-1))</f>
        <v/>
      </c>
      <c r="H33" s="34">
        <f>IF(OR('Historique ajusté'!H33="",ROW()-Fenetre&lt;6),"",IF(INDEX('Historique ajusté'!H:H,ROW()-Fenetre)="","",'Historique ajusté'!H33/INDEX('Historique ajusté'!H:H,ROW()-Fenetre)-1))</f>
        <v/>
      </c>
      <c r="I33" s="34">
        <f>IF(OR('Historique ajusté'!I33="",ROW()-Fenetre&lt;6),"",IF(INDEX('Historique ajusté'!I:I,ROW()-Fenetre)="","",'Historique ajusté'!I33/INDEX('Historique ajusté'!I:I,ROW()-Fenetre)-1))</f>
        <v/>
      </c>
      <c r="J33" s="34">
        <f>IF(OR('Historique ajusté'!J33="",ROW()-Fenetre&lt;6),"",IF(INDEX('Historique ajusté'!J:J,ROW()-Fenetre)="","",'Historique ajusté'!J33/INDEX('Historique ajusté'!J:J,ROW()-Fenetre)-1))</f>
        <v/>
      </c>
      <c r="K33" s="34">
        <f>IF(OR('Historique ajusté'!K33="",ROW()-Fenetre&lt;6),"",IF(INDEX('Historique ajusté'!K:K,ROW()-Fenetre)="","",'Historique ajusté'!K33/INDEX('Historique ajusté'!K:K,ROW()-Fenetre)-1))</f>
        <v/>
      </c>
      <c r="L33" s="34">
        <f>IF(OR('Historique ajusté'!L33="",ROW()-Fenetre&lt;6),"",IF(INDEX('Historique ajusté'!L:L,ROW()-Fenetre)="","",'Historique ajusté'!L33/INDEX('Historique ajusté'!L:L,ROW()-Fenetre)-1))</f>
        <v/>
      </c>
      <c r="M33" s="34">
        <f>IF(OR('Historique ajusté'!M33="",ROW()-Fenetre&lt;6),"",IF(INDEX('Historique ajusté'!M:M,ROW()-Fenetre)="","",'Historique ajusté'!M33/INDEX('Historique ajusté'!M:M,ROW()-Fenetre)-1))</f>
        <v/>
      </c>
      <c r="N33" s="34">
        <f>IF(OR('Historique ajusté'!N33="",ROW()-Fenetre&lt;6),"",IF(INDEX('Historique ajusté'!N:N,ROW()-Fenetre)="","",'Historique ajusté'!N33/INDEX('Historique ajusté'!N:N,ROW()-Fenetre)-1))</f>
        <v/>
      </c>
      <c r="O33" s="34">
        <f>IF(OR('Historique ajusté'!O33="",ROW()-Fenetre&lt;6),"",IF(INDEX('Historique ajusté'!O:O,ROW()-Fenetre)="","",'Historique ajusté'!O33/INDEX('Historique ajusté'!O:O,ROW()-Fenetre)-1))</f>
        <v/>
      </c>
      <c r="P33" s="34">
        <f>IF(OR('Historique ajusté'!P33="",ROW()-Fenetre&lt;6),"",IF(INDEX('Historique ajusté'!P:P,ROW()-Fenetre)="","",'Historique ajusté'!P33/INDEX('Historique ajusté'!P:P,ROW()-Fenetre)-1))</f>
        <v/>
      </c>
      <c r="Q33" s="34">
        <f>IF(OR(Composites!L33="",ROW()-Fenetre&lt;6),"",IF(INDEX(Composites!L:L,ROW()-Fenetre)="","",Composites!L33/INDEX(Composites!L:L,ROW()-Fenetre)-1))</f>
        <v/>
      </c>
      <c r="R33" s="34">
        <f>IF(OR(Composites!M33="",ROW()-Fenetre&lt;6),"",IF(INDEX(Composites!M:M,ROW()-Fenetre)="","",Composites!M33/INDEX(Composites!M:M,ROW()-Fenetre)-1))</f>
        <v/>
      </c>
      <c r="S33" s="34">
        <f>IF(OR(Composites!N33="",ROW()-Fenetre&lt;6),"",IF(INDEX(Composites!N:N,ROW()-Fenetre)="","",Composites!N33/INDEX(Composites!N:N,ROW()-Fenetre)-1))</f>
        <v/>
      </c>
      <c r="T33" s="34">
        <f>IF(OR(Composites!O33="",ROW()-Fenetre&lt;6),"",IF(INDEX(Composites!O:O,ROW()-Fenetre)="","",Composites!O33/INDEX(Composites!O:O,ROW()-Fenetre)-1))</f>
        <v/>
      </c>
      <c r="U33" s="34">
        <f>IF(OR(Composites!P33="",ROW()-Fenetre&lt;6),"",IF(INDEX(Composites!P:P,ROW()-Fenetre)="","",Composites!P33/INDEX(Composites!P:P,ROW()-Fenetre)-1))</f>
        <v/>
      </c>
      <c r="V33" s="34">
        <f>IF('Historique ajusté'!C33="","",'Historique ajusté'!C33/MAX('Historique ajusté'!C$6:C33)-1)</f>
        <v/>
      </c>
      <c r="W33" s="34">
        <f>IF('Historique ajusté'!D33="","",'Historique ajusté'!D33/MAX('Historique ajusté'!D$6:D33)-1)</f>
        <v/>
      </c>
      <c r="X33" s="34">
        <f>IF('Historique ajusté'!E33="","",'Historique ajusté'!E33/MAX('Historique ajusté'!E$6:E33)-1)</f>
        <v/>
      </c>
      <c r="Y33" s="34">
        <f>IF('Historique ajusté'!F33="","",'Historique ajusté'!F33/MAX('Historique ajusté'!F$6:F33)-1)</f>
        <v/>
      </c>
      <c r="Z33" s="34">
        <f>IF('Historique ajusté'!G33="","",'Historique ajusté'!G33/MAX('Historique ajusté'!G$6:G33)-1)</f>
        <v/>
      </c>
      <c r="AA33" s="34">
        <f>IF('Historique ajusté'!H33="","",'Historique ajusté'!H33/MAX('Historique ajusté'!H$6:H33)-1)</f>
        <v/>
      </c>
      <c r="AB33" s="34">
        <f>IF('Historique ajusté'!I33="","",'Historique ajusté'!I33/MAX('Historique ajusté'!I$6:I33)-1)</f>
        <v/>
      </c>
      <c r="AC33" s="34">
        <f>IF('Historique ajusté'!J33="","",'Historique ajusté'!J33/MAX('Historique ajusté'!J$6:J33)-1)</f>
        <v/>
      </c>
      <c r="AD33" s="34">
        <f>IF('Historique ajusté'!K33="","",'Historique ajusté'!K33/MAX('Historique ajusté'!K$6:K33)-1)</f>
        <v/>
      </c>
      <c r="AE33" s="34">
        <f>IF('Historique ajusté'!L33="","",'Historique ajusté'!L33/MAX('Historique ajusté'!L$6:L33)-1)</f>
        <v/>
      </c>
      <c r="AF33" s="34">
        <f>IF('Historique ajusté'!M33="","",'Historique ajusté'!M33/MAX('Historique ajusté'!M$6:M33)-1)</f>
        <v/>
      </c>
      <c r="AG33" s="34">
        <f>IF('Historique ajusté'!N33="","",'Historique ajusté'!N33/MAX('Historique ajusté'!N$6:N33)-1)</f>
        <v/>
      </c>
      <c r="AH33" s="34">
        <f>IF('Historique ajusté'!O33="","",'Historique ajusté'!O33/MAX('Historique ajusté'!O$6:O33)-1)</f>
        <v/>
      </c>
      <c r="AI33" s="34">
        <f>IF('Historique ajusté'!P33="","",'Historique ajusté'!P33/MAX('Historique ajusté'!P$6:P33)-1)</f>
        <v/>
      </c>
      <c r="AJ33" s="34">
        <f>IF(Composites!L33="","",Composites!L33/MAX(Composites!L$6:L33)-1)</f>
        <v/>
      </c>
      <c r="AK33" s="34">
        <f>IF(Composites!M33="","",Composites!M33/MAX(Composites!M$6:M33)-1)</f>
        <v/>
      </c>
      <c r="AL33" s="34">
        <f>IF(Composites!N33="","",Composites!N33/MAX(Composites!N$6:N33)-1)</f>
        <v/>
      </c>
      <c r="AM33" s="34">
        <f>IF(Composites!O33="","",Composites!O33/MAX(Composites!O$6:O33)-1)</f>
        <v/>
      </c>
      <c r="AN33" s="34">
        <f>IF(Composites!P33="","",Composites!P33/MAX(Composites!P$6:P33)-1)</f>
        <v/>
      </c>
    </row>
    <row r="34">
      <c r="B34" s="32">
        <f>'Historique ajusté'!B34</f>
        <v/>
      </c>
      <c r="C34" s="34">
        <f>IF(OR('Historique ajusté'!C34="",ROW()-Fenetre&lt;6),"",IF(INDEX('Historique ajusté'!C:C,ROW()-Fenetre)="","",'Historique ajusté'!C34/INDEX('Historique ajusté'!C:C,ROW()-Fenetre)-1))</f>
        <v/>
      </c>
      <c r="D34" s="34">
        <f>IF(OR('Historique ajusté'!D34="",ROW()-Fenetre&lt;6),"",IF(INDEX('Historique ajusté'!D:D,ROW()-Fenetre)="","",'Historique ajusté'!D34/INDEX('Historique ajusté'!D:D,ROW()-Fenetre)-1))</f>
        <v/>
      </c>
      <c r="E34" s="34">
        <f>IF(OR('Historique ajusté'!E34="",ROW()-Fenetre&lt;6),"",IF(INDEX('Historique ajusté'!E:E,ROW()-Fenetre)="","",'Historique ajusté'!E34/INDEX('Historique ajusté'!E:E,ROW()-Fenetre)-1))</f>
        <v/>
      </c>
      <c r="F34" s="34">
        <f>IF(OR('Historique ajusté'!F34="",ROW()-Fenetre&lt;6),"",IF(INDEX('Historique ajusté'!F:F,ROW()-Fenetre)="","",'Historique ajusté'!F34/INDEX('Historique ajusté'!F:F,ROW()-Fenetre)-1))</f>
        <v/>
      </c>
      <c r="G34" s="34">
        <f>IF(OR('Historique ajusté'!G34="",ROW()-Fenetre&lt;6),"",IF(INDEX('Historique ajusté'!G:G,ROW()-Fenetre)="","",'Historique ajusté'!G34/INDEX('Historique ajusté'!G:G,ROW()-Fenetre)-1))</f>
        <v/>
      </c>
      <c r="H34" s="34">
        <f>IF(OR('Historique ajusté'!H34="",ROW()-Fenetre&lt;6),"",IF(INDEX('Historique ajusté'!H:H,ROW()-Fenetre)="","",'Historique ajusté'!H34/INDEX('Historique ajusté'!H:H,ROW()-Fenetre)-1))</f>
        <v/>
      </c>
      <c r="I34" s="34">
        <f>IF(OR('Historique ajusté'!I34="",ROW()-Fenetre&lt;6),"",IF(INDEX('Historique ajusté'!I:I,ROW()-Fenetre)="","",'Historique ajusté'!I34/INDEX('Historique ajusté'!I:I,ROW()-Fenetre)-1))</f>
        <v/>
      </c>
      <c r="J34" s="34">
        <f>IF(OR('Historique ajusté'!J34="",ROW()-Fenetre&lt;6),"",IF(INDEX('Historique ajusté'!J:J,ROW()-Fenetre)="","",'Historique ajusté'!J34/INDEX('Historique ajusté'!J:J,ROW()-Fenetre)-1))</f>
        <v/>
      </c>
      <c r="K34" s="34">
        <f>IF(OR('Historique ajusté'!K34="",ROW()-Fenetre&lt;6),"",IF(INDEX('Historique ajusté'!K:K,ROW()-Fenetre)="","",'Historique ajusté'!K34/INDEX('Historique ajusté'!K:K,ROW()-Fenetre)-1))</f>
        <v/>
      </c>
      <c r="L34" s="34">
        <f>IF(OR('Historique ajusté'!L34="",ROW()-Fenetre&lt;6),"",IF(INDEX('Historique ajusté'!L:L,ROW()-Fenetre)="","",'Historique ajusté'!L34/INDEX('Historique ajusté'!L:L,ROW()-Fenetre)-1))</f>
        <v/>
      </c>
      <c r="M34" s="34">
        <f>IF(OR('Historique ajusté'!M34="",ROW()-Fenetre&lt;6),"",IF(INDEX('Historique ajusté'!M:M,ROW()-Fenetre)="","",'Historique ajusté'!M34/INDEX('Historique ajusté'!M:M,ROW()-Fenetre)-1))</f>
        <v/>
      </c>
      <c r="N34" s="34">
        <f>IF(OR('Historique ajusté'!N34="",ROW()-Fenetre&lt;6),"",IF(INDEX('Historique ajusté'!N:N,ROW()-Fenetre)="","",'Historique ajusté'!N34/INDEX('Historique ajusté'!N:N,ROW()-Fenetre)-1))</f>
        <v/>
      </c>
      <c r="O34" s="34">
        <f>IF(OR('Historique ajusté'!O34="",ROW()-Fenetre&lt;6),"",IF(INDEX('Historique ajusté'!O:O,ROW()-Fenetre)="","",'Historique ajusté'!O34/INDEX('Historique ajusté'!O:O,ROW()-Fenetre)-1))</f>
        <v/>
      </c>
      <c r="P34" s="34">
        <f>IF(OR('Historique ajusté'!P34="",ROW()-Fenetre&lt;6),"",IF(INDEX('Historique ajusté'!P:P,ROW()-Fenetre)="","",'Historique ajusté'!P34/INDEX('Historique ajusté'!P:P,ROW()-Fenetre)-1))</f>
        <v/>
      </c>
      <c r="Q34" s="34">
        <f>IF(OR(Composites!L34="",ROW()-Fenetre&lt;6),"",IF(INDEX(Composites!L:L,ROW()-Fenetre)="","",Composites!L34/INDEX(Composites!L:L,ROW()-Fenetre)-1))</f>
        <v/>
      </c>
      <c r="R34" s="34">
        <f>IF(OR(Composites!M34="",ROW()-Fenetre&lt;6),"",IF(INDEX(Composites!M:M,ROW()-Fenetre)="","",Composites!M34/INDEX(Composites!M:M,ROW()-Fenetre)-1))</f>
        <v/>
      </c>
      <c r="S34" s="34">
        <f>IF(OR(Composites!N34="",ROW()-Fenetre&lt;6),"",IF(INDEX(Composites!N:N,ROW()-Fenetre)="","",Composites!N34/INDEX(Composites!N:N,ROW()-Fenetre)-1))</f>
        <v/>
      </c>
      <c r="T34" s="34">
        <f>IF(OR(Composites!O34="",ROW()-Fenetre&lt;6),"",IF(INDEX(Composites!O:O,ROW()-Fenetre)="","",Composites!O34/INDEX(Composites!O:O,ROW()-Fenetre)-1))</f>
        <v/>
      </c>
      <c r="U34" s="34">
        <f>IF(OR(Composites!P34="",ROW()-Fenetre&lt;6),"",IF(INDEX(Composites!P:P,ROW()-Fenetre)="","",Composites!P34/INDEX(Composites!P:P,ROW()-Fenetre)-1))</f>
        <v/>
      </c>
      <c r="V34" s="34">
        <f>IF('Historique ajusté'!C34="","",'Historique ajusté'!C34/MAX('Historique ajusté'!C$6:C34)-1)</f>
        <v/>
      </c>
      <c r="W34" s="34">
        <f>IF('Historique ajusté'!D34="","",'Historique ajusté'!D34/MAX('Historique ajusté'!D$6:D34)-1)</f>
        <v/>
      </c>
      <c r="X34" s="34">
        <f>IF('Historique ajusté'!E34="","",'Historique ajusté'!E34/MAX('Historique ajusté'!E$6:E34)-1)</f>
        <v/>
      </c>
      <c r="Y34" s="34">
        <f>IF('Historique ajusté'!F34="","",'Historique ajusté'!F34/MAX('Historique ajusté'!F$6:F34)-1)</f>
        <v/>
      </c>
      <c r="Z34" s="34">
        <f>IF('Historique ajusté'!G34="","",'Historique ajusté'!G34/MAX('Historique ajusté'!G$6:G34)-1)</f>
        <v/>
      </c>
      <c r="AA34" s="34">
        <f>IF('Historique ajusté'!H34="","",'Historique ajusté'!H34/MAX('Historique ajusté'!H$6:H34)-1)</f>
        <v/>
      </c>
      <c r="AB34" s="34">
        <f>IF('Historique ajusté'!I34="","",'Historique ajusté'!I34/MAX('Historique ajusté'!I$6:I34)-1)</f>
        <v/>
      </c>
      <c r="AC34" s="34">
        <f>IF('Historique ajusté'!J34="","",'Historique ajusté'!J34/MAX('Historique ajusté'!J$6:J34)-1)</f>
        <v/>
      </c>
      <c r="AD34" s="34">
        <f>IF('Historique ajusté'!K34="","",'Historique ajusté'!K34/MAX('Historique ajusté'!K$6:K34)-1)</f>
        <v/>
      </c>
      <c r="AE34" s="34">
        <f>IF('Historique ajusté'!L34="","",'Historique ajusté'!L34/MAX('Historique ajusté'!L$6:L34)-1)</f>
        <v/>
      </c>
      <c r="AF34" s="34">
        <f>IF('Historique ajusté'!M34="","",'Historique ajusté'!M34/MAX('Historique ajusté'!M$6:M34)-1)</f>
        <v/>
      </c>
      <c r="AG34" s="34">
        <f>IF('Historique ajusté'!N34="","",'Historique ajusté'!N34/MAX('Historique ajusté'!N$6:N34)-1)</f>
        <v/>
      </c>
      <c r="AH34" s="34">
        <f>IF('Historique ajusté'!O34="","",'Historique ajusté'!O34/MAX('Historique ajusté'!O$6:O34)-1)</f>
        <v/>
      </c>
      <c r="AI34" s="34">
        <f>IF('Historique ajusté'!P34="","",'Historique ajusté'!P34/MAX('Historique ajusté'!P$6:P34)-1)</f>
        <v/>
      </c>
      <c r="AJ34" s="34">
        <f>IF(Composites!L34="","",Composites!L34/MAX(Composites!L$6:L34)-1)</f>
        <v/>
      </c>
      <c r="AK34" s="34">
        <f>IF(Composites!M34="","",Composites!M34/MAX(Composites!M$6:M34)-1)</f>
        <v/>
      </c>
      <c r="AL34" s="34">
        <f>IF(Composites!N34="","",Composites!N34/MAX(Composites!N$6:N34)-1)</f>
        <v/>
      </c>
      <c r="AM34" s="34">
        <f>IF(Composites!O34="","",Composites!O34/MAX(Composites!O$6:O34)-1)</f>
        <v/>
      </c>
      <c r="AN34" s="34">
        <f>IF(Composites!P34="","",Composites!P34/MAX(Composites!P$6:P34)-1)</f>
        <v/>
      </c>
    </row>
    <row r="35">
      <c r="B35" s="32">
        <f>'Historique ajusté'!B35</f>
        <v/>
      </c>
      <c r="C35" s="34">
        <f>IF(OR('Historique ajusté'!C35="",ROW()-Fenetre&lt;6),"",IF(INDEX('Historique ajusté'!C:C,ROW()-Fenetre)="","",'Historique ajusté'!C35/INDEX('Historique ajusté'!C:C,ROW()-Fenetre)-1))</f>
        <v/>
      </c>
      <c r="D35" s="34">
        <f>IF(OR('Historique ajusté'!D35="",ROW()-Fenetre&lt;6),"",IF(INDEX('Historique ajusté'!D:D,ROW()-Fenetre)="","",'Historique ajusté'!D35/INDEX('Historique ajusté'!D:D,ROW()-Fenetre)-1))</f>
        <v/>
      </c>
      <c r="E35" s="34">
        <f>IF(OR('Historique ajusté'!E35="",ROW()-Fenetre&lt;6),"",IF(INDEX('Historique ajusté'!E:E,ROW()-Fenetre)="","",'Historique ajusté'!E35/INDEX('Historique ajusté'!E:E,ROW()-Fenetre)-1))</f>
        <v/>
      </c>
      <c r="F35" s="34">
        <f>IF(OR('Historique ajusté'!F35="",ROW()-Fenetre&lt;6),"",IF(INDEX('Historique ajusté'!F:F,ROW()-Fenetre)="","",'Historique ajusté'!F35/INDEX('Historique ajusté'!F:F,ROW()-Fenetre)-1))</f>
        <v/>
      </c>
      <c r="G35" s="34">
        <f>IF(OR('Historique ajusté'!G35="",ROW()-Fenetre&lt;6),"",IF(INDEX('Historique ajusté'!G:G,ROW()-Fenetre)="","",'Historique ajusté'!G35/INDEX('Historique ajusté'!G:G,ROW()-Fenetre)-1))</f>
        <v/>
      </c>
      <c r="H35" s="34">
        <f>IF(OR('Historique ajusté'!H35="",ROW()-Fenetre&lt;6),"",IF(INDEX('Historique ajusté'!H:H,ROW()-Fenetre)="","",'Historique ajusté'!H35/INDEX('Historique ajusté'!H:H,ROW()-Fenetre)-1))</f>
        <v/>
      </c>
      <c r="I35" s="34">
        <f>IF(OR('Historique ajusté'!I35="",ROW()-Fenetre&lt;6),"",IF(INDEX('Historique ajusté'!I:I,ROW()-Fenetre)="","",'Historique ajusté'!I35/INDEX('Historique ajusté'!I:I,ROW()-Fenetre)-1))</f>
        <v/>
      </c>
      <c r="J35" s="34">
        <f>IF(OR('Historique ajusté'!J35="",ROW()-Fenetre&lt;6),"",IF(INDEX('Historique ajusté'!J:J,ROW()-Fenetre)="","",'Historique ajusté'!J35/INDEX('Historique ajusté'!J:J,ROW()-Fenetre)-1))</f>
        <v/>
      </c>
      <c r="K35" s="34">
        <f>IF(OR('Historique ajusté'!K35="",ROW()-Fenetre&lt;6),"",IF(INDEX('Historique ajusté'!K:K,ROW()-Fenetre)="","",'Historique ajusté'!K35/INDEX('Historique ajusté'!K:K,ROW()-Fenetre)-1))</f>
        <v/>
      </c>
      <c r="L35" s="34">
        <f>IF(OR('Historique ajusté'!L35="",ROW()-Fenetre&lt;6),"",IF(INDEX('Historique ajusté'!L:L,ROW()-Fenetre)="","",'Historique ajusté'!L35/INDEX('Historique ajusté'!L:L,ROW()-Fenetre)-1))</f>
        <v/>
      </c>
      <c r="M35" s="34">
        <f>IF(OR('Historique ajusté'!M35="",ROW()-Fenetre&lt;6),"",IF(INDEX('Historique ajusté'!M:M,ROW()-Fenetre)="","",'Historique ajusté'!M35/INDEX('Historique ajusté'!M:M,ROW()-Fenetre)-1))</f>
        <v/>
      </c>
      <c r="N35" s="34">
        <f>IF(OR('Historique ajusté'!N35="",ROW()-Fenetre&lt;6),"",IF(INDEX('Historique ajusté'!N:N,ROW()-Fenetre)="","",'Historique ajusté'!N35/INDEX('Historique ajusté'!N:N,ROW()-Fenetre)-1))</f>
        <v/>
      </c>
      <c r="O35" s="34">
        <f>IF(OR('Historique ajusté'!O35="",ROW()-Fenetre&lt;6),"",IF(INDEX('Historique ajusté'!O:O,ROW()-Fenetre)="","",'Historique ajusté'!O35/INDEX('Historique ajusté'!O:O,ROW()-Fenetre)-1))</f>
        <v/>
      </c>
      <c r="P35" s="34">
        <f>IF(OR('Historique ajusté'!P35="",ROW()-Fenetre&lt;6),"",IF(INDEX('Historique ajusté'!P:P,ROW()-Fenetre)="","",'Historique ajusté'!P35/INDEX('Historique ajusté'!P:P,ROW()-Fenetre)-1))</f>
        <v/>
      </c>
      <c r="Q35" s="34">
        <f>IF(OR(Composites!L35="",ROW()-Fenetre&lt;6),"",IF(INDEX(Composites!L:L,ROW()-Fenetre)="","",Composites!L35/INDEX(Composites!L:L,ROW()-Fenetre)-1))</f>
        <v/>
      </c>
      <c r="R35" s="34">
        <f>IF(OR(Composites!M35="",ROW()-Fenetre&lt;6),"",IF(INDEX(Composites!M:M,ROW()-Fenetre)="","",Composites!M35/INDEX(Composites!M:M,ROW()-Fenetre)-1))</f>
        <v/>
      </c>
      <c r="S35" s="34">
        <f>IF(OR(Composites!N35="",ROW()-Fenetre&lt;6),"",IF(INDEX(Composites!N:N,ROW()-Fenetre)="","",Composites!N35/INDEX(Composites!N:N,ROW()-Fenetre)-1))</f>
        <v/>
      </c>
      <c r="T35" s="34">
        <f>IF(OR(Composites!O35="",ROW()-Fenetre&lt;6),"",IF(INDEX(Composites!O:O,ROW()-Fenetre)="","",Composites!O35/INDEX(Composites!O:O,ROW()-Fenetre)-1))</f>
        <v/>
      </c>
      <c r="U35" s="34">
        <f>IF(OR(Composites!P35="",ROW()-Fenetre&lt;6),"",IF(INDEX(Composites!P:P,ROW()-Fenetre)="","",Composites!P35/INDEX(Composites!P:P,ROW()-Fenetre)-1))</f>
        <v/>
      </c>
      <c r="V35" s="34">
        <f>IF('Historique ajusté'!C35="","",'Historique ajusté'!C35/MAX('Historique ajusté'!C$6:C35)-1)</f>
        <v/>
      </c>
      <c r="W35" s="34">
        <f>IF('Historique ajusté'!D35="","",'Historique ajusté'!D35/MAX('Historique ajusté'!D$6:D35)-1)</f>
        <v/>
      </c>
      <c r="X35" s="34">
        <f>IF('Historique ajusté'!E35="","",'Historique ajusté'!E35/MAX('Historique ajusté'!E$6:E35)-1)</f>
        <v/>
      </c>
      <c r="Y35" s="34">
        <f>IF('Historique ajusté'!F35="","",'Historique ajusté'!F35/MAX('Historique ajusté'!F$6:F35)-1)</f>
        <v/>
      </c>
      <c r="Z35" s="34">
        <f>IF('Historique ajusté'!G35="","",'Historique ajusté'!G35/MAX('Historique ajusté'!G$6:G35)-1)</f>
        <v/>
      </c>
      <c r="AA35" s="34">
        <f>IF('Historique ajusté'!H35="","",'Historique ajusté'!H35/MAX('Historique ajusté'!H$6:H35)-1)</f>
        <v/>
      </c>
      <c r="AB35" s="34">
        <f>IF('Historique ajusté'!I35="","",'Historique ajusté'!I35/MAX('Historique ajusté'!I$6:I35)-1)</f>
        <v/>
      </c>
      <c r="AC35" s="34">
        <f>IF('Historique ajusté'!J35="","",'Historique ajusté'!J35/MAX('Historique ajusté'!J$6:J35)-1)</f>
        <v/>
      </c>
      <c r="AD35" s="34">
        <f>IF('Historique ajusté'!K35="","",'Historique ajusté'!K35/MAX('Historique ajusté'!K$6:K35)-1)</f>
        <v/>
      </c>
      <c r="AE35" s="34">
        <f>IF('Historique ajusté'!L35="","",'Historique ajusté'!L35/MAX('Historique ajusté'!L$6:L35)-1)</f>
        <v/>
      </c>
      <c r="AF35" s="34">
        <f>IF('Historique ajusté'!M35="","",'Historique ajusté'!M35/MAX('Historique ajusté'!M$6:M35)-1)</f>
        <v/>
      </c>
      <c r="AG35" s="34">
        <f>IF('Historique ajusté'!N35="","",'Historique ajusté'!N35/MAX('Historique ajusté'!N$6:N35)-1)</f>
        <v/>
      </c>
      <c r="AH35" s="34">
        <f>IF('Historique ajusté'!O35="","",'Historique ajusté'!O35/MAX('Historique ajusté'!O$6:O35)-1)</f>
        <v/>
      </c>
      <c r="AI35" s="34">
        <f>IF('Historique ajusté'!P35="","",'Historique ajusté'!P35/MAX('Historique ajusté'!P$6:P35)-1)</f>
        <v/>
      </c>
      <c r="AJ35" s="34">
        <f>IF(Composites!L35="","",Composites!L35/MAX(Composites!L$6:L35)-1)</f>
        <v/>
      </c>
      <c r="AK35" s="34">
        <f>IF(Composites!M35="","",Composites!M35/MAX(Composites!M$6:M35)-1)</f>
        <v/>
      </c>
      <c r="AL35" s="34">
        <f>IF(Composites!N35="","",Composites!N35/MAX(Composites!N$6:N35)-1)</f>
        <v/>
      </c>
      <c r="AM35" s="34">
        <f>IF(Composites!O35="","",Composites!O35/MAX(Composites!O$6:O35)-1)</f>
        <v/>
      </c>
      <c r="AN35" s="34">
        <f>IF(Composites!P35="","",Composites!P35/MAX(Composites!P$6:P35)-1)</f>
        <v/>
      </c>
    </row>
    <row r="36">
      <c r="B36" s="32">
        <f>'Historique ajusté'!B36</f>
        <v/>
      </c>
      <c r="C36" s="34">
        <f>IF(OR('Historique ajusté'!C36="",ROW()-Fenetre&lt;6),"",IF(INDEX('Historique ajusté'!C:C,ROW()-Fenetre)="","",'Historique ajusté'!C36/INDEX('Historique ajusté'!C:C,ROW()-Fenetre)-1))</f>
        <v/>
      </c>
      <c r="D36" s="34">
        <f>IF(OR('Historique ajusté'!D36="",ROW()-Fenetre&lt;6),"",IF(INDEX('Historique ajusté'!D:D,ROW()-Fenetre)="","",'Historique ajusté'!D36/INDEX('Historique ajusté'!D:D,ROW()-Fenetre)-1))</f>
        <v/>
      </c>
      <c r="E36" s="34">
        <f>IF(OR('Historique ajusté'!E36="",ROW()-Fenetre&lt;6),"",IF(INDEX('Historique ajusté'!E:E,ROW()-Fenetre)="","",'Historique ajusté'!E36/INDEX('Historique ajusté'!E:E,ROW()-Fenetre)-1))</f>
        <v/>
      </c>
      <c r="F36" s="34">
        <f>IF(OR('Historique ajusté'!F36="",ROW()-Fenetre&lt;6),"",IF(INDEX('Historique ajusté'!F:F,ROW()-Fenetre)="","",'Historique ajusté'!F36/INDEX('Historique ajusté'!F:F,ROW()-Fenetre)-1))</f>
        <v/>
      </c>
      <c r="G36" s="34">
        <f>IF(OR('Historique ajusté'!G36="",ROW()-Fenetre&lt;6),"",IF(INDEX('Historique ajusté'!G:G,ROW()-Fenetre)="","",'Historique ajusté'!G36/INDEX('Historique ajusté'!G:G,ROW()-Fenetre)-1))</f>
        <v/>
      </c>
      <c r="H36" s="34">
        <f>IF(OR('Historique ajusté'!H36="",ROW()-Fenetre&lt;6),"",IF(INDEX('Historique ajusté'!H:H,ROW()-Fenetre)="","",'Historique ajusté'!H36/INDEX('Historique ajusté'!H:H,ROW()-Fenetre)-1))</f>
        <v/>
      </c>
      <c r="I36" s="34">
        <f>IF(OR('Historique ajusté'!I36="",ROW()-Fenetre&lt;6),"",IF(INDEX('Historique ajusté'!I:I,ROW()-Fenetre)="","",'Historique ajusté'!I36/INDEX('Historique ajusté'!I:I,ROW()-Fenetre)-1))</f>
        <v/>
      </c>
      <c r="J36" s="34">
        <f>IF(OR('Historique ajusté'!J36="",ROW()-Fenetre&lt;6),"",IF(INDEX('Historique ajusté'!J:J,ROW()-Fenetre)="","",'Historique ajusté'!J36/INDEX('Historique ajusté'!J:J,ROW()-Fenetre)-1))</f>
        <v/>
      </c>
      <c r="K36" s="34">
        <f>IF(OR('Historique ajusté'!K36="",ROW()-Fenetre&lt;6),"",IF(INDEX('Historique ajusté'!K:K,ROW()-Fenetre)="","",'Historique ajusté'!K36/INDEX('Historique ajusté'!K:K,ROW()-Fenetre)-1))</f>
        <v/>
      </c>
      <c r="L36" s="34">
        <f>IF(OR('Historique ajusté'!L36="",ROW()-Fenetre&lt;6),"",IF(INDEX('Historique ajusté'!L:L,ROW()-Fenetre)="","",'Historique ajusté'!L36/INDEX('Historique ajusté'!L:L,ROW()-Fenetre)-1))</f>
        <v/>
      </c>
      <c r="M36" s="34">
        <f>IF(OR('Historique ajusté'!M36="",ROW()-Fenetre&lt;6),"",IF(INDEX('Historique ajusté'!M:M,ROW()-Fenetre)="","",'Historique ajusté'!M36/INDEX('Historique ajusté'!M:M,ROW()-Fenetre)-1))</f>
        <v/>
      </c>
      <c r="N36" s="34">
        <f>IF(OR('Historique ajusté'!N36="",ROW()-Fenetre&lt;6),"",IF(INDEX('Historique ajusté'!N:N,ROW()-Fenetre)="","",'Historique ajusté'!N36/INDEX('Historique ajusté'!N:N,ROW()-Fenetre)-1))</f>
        <v/>
      </c>
      <c r="O36" s="34">
        <f>IF(OR('Historique ajusté'!O36="",ROW()-Fenetre&lt;6),"",IF(INDEX('Historique ajusté'!O:O,ROW()-Fenetre)="","",'Historique ajusté'!O36/INDEX('Historique ajusté'!O:O,ROW()-Fenetre)-1))</f>
        <v/>
      </c>
      <c r="P36" s="34">
        <f>IF(OR('Historique ajusté'!P36="",ROW()-Fenetre&lt;6),"",IF(INDEX('Historique ajusté'!P:P,ROW()-Fenetre)="","",'Historique ajusté'!P36/INDEX('Historique ajusté'!P:P,ROW()-Fenetre)-1))</f>
        <v/>
      </c>
      <c r="Q36" s="34">
        <f>IF(OR(Composites!L36="",ROW()-Fenetre&lt;6),"",IF(INDEX(Composites!L:L,ROW()-Fenetre)="","",Composites!L36/INDEX(Composites!L:L,ROW()-Fenetre)-1))</f>
        <v/>
      </c>
      <c r="R36" s="34">
        <f>IF(OR(Composites!M36="",ROW()-Fenetre&lt;6),"",IF(INDEX(Composites!M:M,ROW()-Fenetre)="","",Composites!M36/INDEX(Composites!M:M,ROW()-Fenetre)-1))</f>
        <v/>
      </c>
      <c r="S36" s="34">
        <f>IF(OR(Composites!N36="",ROW()-Fenetre&lt;6),"",IF(INDEX(Composites!N:N,ROW()-Fenetre)="","",Composites!N36/INDEX(Composites!N:N,ROW()-Fenetre)-1))</f>
        <v/>
      </c>
      <c r="T36" s="34">
        <f>IF(OR(Composites!O36="",ROW()-Fenetre&lt;6),"",IF(INDEX(Composites!O:O,ROW()-Fenetre)="","",Composites!O36/INDEX(Composites!O:O,ROW()-Fenetre)-1))</f>
        <v/>
      </c>
      <c r="U36" s="34">
        <f>IF(OR(Composites!P36="",ROW()-Fenetre&lt;6),"",IF(INDEX(Composites!P:P,ROW()-Fenetre)="","",Composites!P36/INDEX(Composites!P:P,ROW()-Fenetre)-1))</f>
        <v/>
      </c>
      <c r="V36" s="34">
        <f>IF('Historique ajusté'!C36="","",'Historique ajusté'!C36/MAX('Historique ajusté'!C$6:C36)-1)</f>
        <v/>
      </c>
      <c r="W36" s="34">
        <f>IF('Historique ajusté'!D36="","",'Historique ajusté'!D36/MAX('Historique ajusté'!D$6:D36)-1)</f>
        <v/>
      </c>
      <c r="X36" s="34">
        <f>IF('Historique ajusté'!E36="","",'Historique ajusté'!E36/MAX('Historique ajusté'!E$6:E36)-1)</f>
        <v/>
      </c>
      <c r="Y36" s="34">
        <f>IF('Historique ajusté'!F36="","",'Historique ajusté'!F36/MAX('Historique ajusté'!F$6:F36)-1)</f>
        <v/>
      </c>
      <c r="Z36" s="34">
        <f>IF('Historique ajusté'!G36="","",'Historique ajusté'!G36/MAX('Historique ajusté'!G$6:G36)-1)</f>
        <v/>
      </c>
      <c r="AA36" s="34">
        <f>IF('Historique ajusté'!H36="","",'Historique ajusté'!H36/MAX('Historique ajusté'!H$6:H36)-1)</f>
        <v/>
      </c>
      <c r="AB36" s="34">
        <f>IF('Historique ajusté'!I36="","",'Historique ajusté'!I36/MAX('Historique ajusté'!I$6:I36)-1)</f>
        <v/>
      </c>
      <c r="AC36" s="34">
        <f>IF('Historique ajusté'!J36="","",'Historique ajusté'!J36/MAX('Historique ajusté'!J$6:J36)-1)</f>
        <v/>
      </c>
      <c r="AD36" s="34">
        <f>IF('Historique ajusté'!K36="","",'Historique ajusté'!K36/MAX('Historique ajusté'!K$6:K36)-1)</f>
        <v/>
      </c>
      <c r="AE36" s="34">
        <f>IF('Historique ajusté'!L36="","",'Historique ajusté'!L36/MAX('Historique ajusté'!L$6:L36)-1)</f>
        <v/>
      </c>
      <c r="AF36" s="34">
        <f>IF('Historique ajusté'!M36="","",'Historique ajusté'!M36/MAX('Historique ajusté'!M$6:M36)-1)</f>
        <v/>
      </c>
      <c r="AG36" s="34">
        <f>IF('Historique ajusté'!N36="","",'Historique ajusté'!N36/MAX('Historique ajusté'!N$6:N36)-1)</f>
        <v/>
      </c>
      <c r="AH36" s="34">
        <f>IF('Historique ajusté'!O36="","",'Historique ajusté'!O36/MAX('Historique ajusté'!O$6:O36)-1)</f>
        <v/>
      </c>
      <c r="AI36" s="34">
        <f>IF('Historique ajusté'!P36="","",'Historique ajusté'!P36/MAX('Historique ajusté'!P$6:P36)-1)</f>
        <v/>
      </c>
      <c r="AJ36" s="34">
        <f>IF(Composites!L36="","",Composites!L36/MAX(Composites!L$6:L36)-1)</f>
        <v/>
      </c>
      <c r="AK36" s="34">
        <f>IF(Composites!M36="","",Composites!M36/MAX(Composites!M$6:M36)-1)</f>
        <v/>
      </c>
      <c r="AL36" s="34">
        <f>IF(Composites!N36="","",Composites!N36/MAX(Composites!N$6:N36)-1)</f>
        <v/>
      </c>
      <c r="AM36" s="34">
        <f>IF(Composites!O36="","",Composites!O36/MAX(Composites!O$6:O36)-1)</f>
        <v/>
      </c>
      <c r="AN36" s="34">
        <f>IF(Composites!P36="","",Composites!P36/MAX(Composites!P$6:P36)-1)</f>
        <v/>
      </c>
    </row>
    <row r="37">
      <c r="B37" s="32">
        <f>'Historique ajusté'!B37</f>
        <v/>
      </c>
      <c r="C37" s="34">
        <f>IF(OR('Historique ajusté'!C37="",ROW()-Fenetre&lt;6),"",IF(INDEX('Historique ajusté'!C:C,ROW()-Fenetre)="","",'Historique ajusté'!C37/INDEX('Historique ajusté'!C:C,ROW()-Fenetre)-1))</f>
        <v/>
      </c>
      <c r="D37" s="34">
        <f>IF(OR('Historique ajusté'!D37="",ROW()-Fenetre&lt;6),"",IF(INDEX('Historique ajusté'!D:D,ROW()-Fenetre)="","",'Historique ajusté'!D37/INDEX('Historique ajusté'!D:D,ROW()-Fenetre)-1))</f>
        <v/>
      </c>
      <c r="E37" s="34">
        <f>IF(OR('Historique ajusté'!E37="",ROW()-Fenetre&lt;6),"",IF(INDEX('Historique ajusté'!E:E,ROW()-Fenetre)="","",'Historique ajusté'!E37/INDEX('Historique ajusté'!E:E,ROW()-Fenetre)-1))</f>
        <v/>
      </c>
      <c r="F37" s="34">
        <f>IF(OR('Historique ajusté'!F37="",ROW()-Fenetre&lt;6),"",IF(INDEX('Historique ajusté'!F:F,ROW()-Fenetre)="","",'Historique ajusté'!F37/INDEX('Historique ajusté'!F:F,ROW()-Fenetre)-1))</f>
        <v/>
      </c>
      <c r="G37" s="34">
        <f>IF(OR('Historique ajusté'!G37="",ROW()-Fenetre&lt;6),"",IF(INDEX('Historique ajusté'!G:G,ROW()-Fenetre)="","",'Historique ajusté'!G37/INDEX('Historique ajusté'!G:G,ROW()-Fenetre)-1))</f>
        <v/>
      </c>
      <c r="H37" s="34">
        <f>IF(OR('Historique ajusté'!H37="",ROW()-Fenetre&lt;6),"",IF(INDEX('Historique ajusté'!H:H,ROW()-Fenetre)="","",'Historique ajusté'!H37/INDEX('Historique ajusté'!H:H,ROW()-Fenetre)-1))</f>
        <v/>
      </c>
      <c r="I37" s="34">
        <f>IF(OR('Historique ajusté'!I37="",ROW()-Fenetre&lt;6),"",IF(INDEX('Historique ajusté'!I:I,ROW()-Fenetre)="","",'Historique ajusté'!I37/INDEX('Historique ajusté'!I:I,ROW()-Fenetre)-1))</f>
        <v/>
      </c>
      <c r="J37" s="34">
        <f>IF(OR('Historique ajusté'!J37="",ROW()-Fenetre&lt;6),"",IF(INDEX('Historique ajusté'!J:J,ROW()-Fenetre)="","",'Historique ajusté'!J37/INDEX('Historique ajusté'!J:J,ROW()-Fenetre)-1))</f>
        <v/>
      </c>
      <c r="K37" s="34">
        <f>IF(OR('Historique ajusté'!K37="",ROW()-Fenetre&lt;6),"",IF(INDEX('Historique ajusté'!K:K,ROW()-Fenetre)="","",'Historique ajusté'!K37/INDEX('Historique ajusté'!K:K,ROW()-Fenetre)-1))</f>
        <v/>
      </c>
      <c r="L37" s="34">
        <f>IF(OR('Historique ajusté'!L37="",ROW()-Fenetre&lt;6),"",IF(INDEX('Historique ajusté'!L:L,ROW()-Fenetre)="","",'Historique ajusté'!L37/INDEX('Historique ajusté'!L:L,ROW()-Fenetre)-1))</f>
        <v/>
      </c>
      <c r="M37" s="34">
        <f>IF(OR('Historique ajusté'!M37="",ROW()-Fenetre&lt;6),"",IF(INDEX('Historique ajusté'!M:M,ROW()-Fenetre)="","",'Historique ajusté'!M37/INDEX('Historique ajusté'!M:M,ROW()-Fenetre)-1))</f>
        <v/>
      </c>
      <c r="N37" s="34">
        <f>IF(OR('Historique ajusté'!N37="",ROW()-Fenetre&lt;6),"",IF(INDEX('Historique ajusté'!N:N,ROW()-Fenetre)="","",'Historique ajusté'!N37/INDEX('Historique ajusté'!N:N,ROW()-Fenetre)-1))</f>
        <v/>
      </c>
      <c r="O37" s="34">
        <f>IF(OR('Historique ajusté'!O37="",ROW()-Fenetre&lt;6),"",IF(INDEX('Historique ajusté'!O:O,ROW()-Fenetre)="","",'Historique ajusté'!O37/INDEX('Historique ajusté'!O:O,ROW()-Fenetre)-1))</f>
        <v/>
      </c>
      <c r="P37" s="34">
        <f>IF(OR('Historique ajusté'!P37="",ROW()-Fenetre&lt;6),"",IF(INDEX('Historique ajusté'!P:P,ROW()-Fenetre)="","",'Historique ajusté'!P37/INDEX('Historique ajusté'!P:P,ROW()-Fenetre)-1))</f>
        <v/>
      </c>
      <c r="Q37" s="34">
        <f>IF(OR(Composites!L37="",ROW()-Fenetre&lt;6),"",IF(INDEX(Composites!L:L,ROW()-Fenetre)="","",Composites!L37/INDEX(Composites!L:L,ROW()-Fenetre)-1))</f>
        <v/>
      </c>
      <c r="R37" s="34">
        <f>IF(OR(Composites!M37="",ROW()-Fenetre&lt;6),"",IF(INDEX(Composites!M:M,ROW()-Fenetre)="","",Composites!M37/INDEX(Composites!M:M,ROW()-Fenetre)-1))</f>
        <v/>
      </c>
      <c r="S37" s="34">
        <f>IF(OR(Composites!N37="",ROW()-Fenetre&lt;6),"",IF(INDEX(Composites!N:N,ROW()-Fenetre)="","",Composites!N37/INDEX(Composites!N:N,ROW()-Fenetre)-1))</f>
        <v/>
      </c>
      <c r="T37" s="34">
        <f>IF(OR(Composites!O37="",ROW()-Fenetre&lt;6),"",IF(INDEX(Composites!O:O,ROW()-Fenetre)="","",Composites!O37/INDEX(Composites!O:O,ROW()-Fenetre)-1))</f>
        <v/>
      </c>
      <c r="U37" s="34">
        <f>IF(OR(Composites!P37="",ROW()-Fenetre&lt;6),"",IF(INDEX(Composites!P:P,ROW()-Fenetre)="","",Composites!P37/INDEX(Composites!P:P,ROW()-Fenetre)-1))</f>
        <v/>
      </c>
      <c r="V37" s="34">
        <f>IF('Historique ajusté'!C37="","",'Historique ajusté'!C37/MAX('Historique ajusté'!C$6:C37)-1)</f>
        <v/>
      </c>
      <c r="W37" s="34">
        <f>IF('Historique ajusté'!D37="","",'Historique ajusté'!D37/MAX('Historique ajusté'!D$6:D37)-1)</f>
        <v/>
      </c>
      <c r="X37" s="34">
        <f>IF('Historique ajusté'!E37="","",'Historique ajusté'!E37/MAX('Historique ajusté'!E$6:E37)-1)</f>
        <v/>
      </c>
      <c r="Y37" s="34">
        <f>IF('Historique ajusté'!F37="","",'Historique ajusté'!F37/MAX('Historique ajusté'!F$6:F37)-1)</f>
        <v/>
      </c>
      <c r="Z37" s="34">
        <f>IF('Historique ajusté'!G37="","",'Historique ajusté'!G37/MAX('Historique ajusté'!G$6:G37)-1)</f>
        <v/>
      </c>
      <c r="AA37" s="34">
        <f>IF('Historique ajusté'!H37="","",'Historique ajusté'!H37/MAX('Historique ajusté'!H$6:H37)-1)</f>
        <v/>
      </c>
      <c r="AB37" s="34">
        <f>IF('Historique ajusté'!I37="","",'Historique ajusté'!I37/MAX('Historique ajusté'!I$6:I37)-1)</f>
        <v/>
      </c>
      <c r="AC37" s="34">
        <f>IF('Historique ajusté'!J37="","",'Historique ajusté'!J37/MAX('Historique ajusté'!J$6:J37)-1)</f>
        <v/>
      </c>
      <c r="AD37" s="34">
        <f>IF('Historique ajusté'!K37="","",'Historique ajusté'!K37/MAX('Historique ajusté'!K$6:K37)-1)</f>
        <v/>
      </c>
      <c r="AE37" s="34">
        <f>IF('Historique ajusté'!L37="","",'Historique ajusté'!L37/MAX('Historique ajusté'!L$6:L37)-1)</f>
        <v/>
      </c>
      <c r="AF37" s="34">
        <f>IF('Historique ajusté'!M37="","",'Historique ajusté'!M37/MAX('Historique ajusté'!M$6:M37)-1)</f>
        <v/>
      </c>
      <c r="AG37" s="34">
        <f>IF('Historique ajusté'!N37="","",'Historique ajusté'!N37/MAX('Historique ajusté'!N$6:N37)-1)</f>
        <v/>
      </c>
      <c r="AH37" s="34">
        <f>IF('Historique ajusté'!O37="","",'Historique ajusté'!O37/MAX('Historique ajusté'!O$6:O37)-1)</f>
        <v/>
      </c>
      <c r="AI37" s="34">
        <f>IF('Historique ajusté'!P37="","",'Historique ajusté'!P37/MAX('Historique ajusté'!P$6:P37)-1)</f>
        <v/>
      </c>
      <c r="AJ37" s="34">
        <f>IF(Composites!L37="","",Composites!L37/MAX(Composites!L$6:L37)-1)</f>
        <v/>
      </c>
      <c r="AK37" s="34">
        <f>IF(Composites!M37="","",Composites!M37/MAX(Composites!M$6:M37)-1)</f>
        <v/>
      </c>
      <c r="AL37" s="34">
        <f>IF(Composites!N37="","",Composites!N37/MAX(Composites!N$6:N37)-1)</f>
        <v/>
      </c>
      <c r="AM37" s="34">
        <f>IF(Composites!O37="","",Composites!O37/MAX(Composites!O$6:O37)-1)</f>
        <v/>
      </c>
      <c r="AN37" s="34">
        <f>IF(Composites!P37="","",Composites!P37/MAX(Composites!P$6:P37)-1)</f>
        <v/>
      </c>
    </row>
    <row r="38">
      <c r="B38" s="32">
        <f>'Historique ajusté'!B38</f>
        <v/>
      </c>
      <c r="C38" s="34">
        <f>IF(OR('Historique ajusté'!C38="",ROW()-Fenetre&lt;6),"",IF(INDEX('Historique ajusté'!C:C,ROW()-Fenetre)="","",'Historique ajusté'!C38/INDEX('Historique ajusté'!C:C,ROW()-Fenetre)-1))</f>
        <v/>
      </c>
      <c r="D38" s="34">
        <f>IF(OR('Historique ajusté'!D38="",ROW()-Fenetre&lt;6),"",IF(INDEX('Historique ajusté'!D:D,ROW()-Fenetre)="","",'Historique ajusté'!D38/INDEX('Historique ajusté'!D:D,ROW()-Fenetre)-1))</f>
        <v/>
      </c>
      <c r="E38" s="34">
        <f>IF(OR('Historique ajusté'!E38="",ROW()-Fenetre&lt;6),"",IF(INDEX('Historique ajusté'!E:E,ROW()-Fenetre)="","",'Historique ajusté'!E38/INDEX('Historique ajusté'!E:E,ROW()-Fenetre)-1))</f>
        <v/>
      </c>
      <c r="F38" s="34">
        <f>IF(OR('Historique ajusté'!F38="",ROW()-Fenetre&lt;6),"",IF(INDEX('Historique ajusté'!F:F,ROW()-Fenetre)="","",'Historique ajusté'!F38/INDEX('Historique ajusté'!F:F,ROW()-Fenetre)-1))</f>
        <v/>
      </c>
      <c r="G38" s="34">
        <f>IF(OR('Historique ajusté'!G38="",ROW()-Fenetre&lt;6),"",IF(INDEX('Historique ajusté'!G:G,ROW()-Fenetre)="","",'Historique ajusté'!G38/INDEX('Historique ajusté'!G:G,ROW()-Fenetre)-1))</f>
        <v/>
      </c>
      <c r="H38" s="34">
        <f>IF(OR('Historique ajusté'!H38="",ROW()-Fenetre&lt;6),"",IF(INDEX('Historique ajusté'!H:H,ROW()-Fenetre)="","",'Historique ajusté'!H38/INDEX('Historique ajusté'!H:H,ROW()-Fenetre)-1))</f>
        <v/>
      </c>
      <c r="I38" s="34">
        <f>IF(OR('Historique ajusté'!I38="",ROW()-Fenetre&lt;6),"",IF(INDEX('Historique ajusté'!I:I,ROW()-Fenetre)="","",'Historique ajusté'!I38/INDEX('Historique ajusté'!I:I,ROW()-Fenetre)-1))</f>
        <v/>
      </c>
      <c r="J38" s="34">
        <f>IF(OR('Historique ajusté'!J38="",ROW()-Fenetre&lt;6),"",IF(INDEX('Historique ajusté'!J:J,ROW()-Fenetre)="","",'Historique ajusté'!J38/INDEX('Historique ajusté'!J:J,ROW()-Fenetre)-1))</f>
        <v/>
      </c>
      <c r="K38" s="34">
        <f>IF(OR('Historique ajusté'!K38="",ROW()-Fenetre&lt;6),"",IF(INDEX('Historique ajusté'!K:K,ROW()-Fenetre)="","",'Historique ajusté'!K38/INDEX('Historique ajusté'!K:K,ROW()-Fenetre)-1))</f>
        <v/>
      </c>
      <c r="L38" s="34">
        <f>IF(OR('Historique ajusté'!L38="",ROW()-Fenetre&lt;6),"",IF(INDEX('Historique ajusté'!L:L,ROW()-Fenetre)="","",'Historique ajusté'!L38/INDEX('Historique ajusté'!L:L,ROW()-Fenetre)-1))</f>
        <v/>
      </c>
      <c r="M38" s="34">
        <f>IF(OR('Historique ajusté'!M38="",ROW()-Fenetre&lt;6),"",IF(INDEX('Historique ajusté'!M:M,ROW()-Fenetre)="","",'Historique ajusté'!M38/INDEX('Historique ajusté'!M:M,ROW()-Fenetre)-1))</f>
        <v/>
      </c>
      <c r="N38" s="34">
        <f>IF(OR('Historique ajusté'!N38="",ROW()-Fenetre&lt;6),"",IF(INDEX('Historique ajusté'!N:N,ROW()-Fenetre)="","",'Historique ajusté'!N38/INDEX('Historique ajusté'!N:N,ROW()-Fenetre)-1))</f>
        <v/>
      </c>
      <c r="O38" s="34">
        <f>IF(OR('Historique ajusté'!O38="",ROW()-Fenetre&lt;6),"",IF(INDEX('Historique ajusté'!O:O,ROW()-Fenetre)="","",'Historique ajusté'!O38/INDEX('Historique ajusté'!O:O,ROW()-Fenetre)-1))</f>
        <v/>
      </c>
      <c r="P38" s="34">
        <f>IF(OR('Historique ajusté'!P38="",ROW()-Fenetre&lt;6),"",IF(INDEX('Historique ajusté'!P:P,ROW()-Fenetre)="","",'Historique ajusté'!P38/INDEX('Historique ajusté'!P:P,ROW()-Fenetre)-1))</f>
        <v/>
      </c>
      <c r="Q38" s="34">
        <f>IF(OR(Composites!L38="",ROW()-Fenetre&lt;6),"",IF(INDEX(Composites!L:L,ROW()-Fenetre)="","",Composites!L38/INDEX(Composites!L:L,ROW()-Fenetre)-1))</f>
        <v/>
      </c>
      <c r="R38" s="34">
        <f>IF(OR(Composites!M38="",ROW()-Fenetre&lt;6),"",IF(INDEX(Composites!M:M,ROW()-Fenetre)="","",Composites!M38/INDEX(Composites!M:M,ROW()-Fenetre)-1))</f>
        <v/>
      </c>
      <c r="S38" s="34">
        <f>IF(OR(Composites!N38="",ROW()-Fenetre&lt;6),"",IF(INDEX(Composites!N:N,ROW()-Fenetre)="","",Composites!N38/INDEX(Composites!N:N,ROW()-Fenetre)-1))</f>
        <v/>
      </c>
      <c r="T38" s="34">
        <f>IF(OR(Composites!O38="",ROW()-Fenetre&lt;6),"",IF(INDEX(Composites!O:O,ROW()-Fenetre)="","",Composites!O38/INDEX(Composites!O:O,ROW()-Fenetre)-1))</f>
        <v/>
      </c>
      <c r="U38" s="34">
        <f>IF(OR(Composites!P38="",ROW()-Fenetre&lt;6),"",IF(INDEX(Composites!P:P,ROW()-Fenetre)="","",Composites!P38/INDEX(Composites!P:P,ROW()-Fenetre)-1))</f>
        <v/>
      </c>
      <c r="V38" s="34">
        <f>IF('Historique ajusté'!C38="","",'Historique ajusté'!C38/MAX('Historique ajusté'!C$6:C38)-1)</f>
        <v/>
      </c>
      <c r="W38" s="34">
        <f>IF('Historique ajusté'!D38="","",'Historique ajusté'!D38/MAX('Historique ajusté'!D$6:D38)-1)</f>
        <v/>
      </c>
      <c r="X38" s="34">
        <f>IF('Historique ajusté'!E38="","",'Historique ajusté'!E38/MAX('Historique ajusté'!E$6:E38)-1)</f>
        <v/>
      </c>
      <c r="Y38" s="34">
        <f>IF('Historique ajusté'!F38="","",'Historique ajusté'!F38/MAX('Historique ajusté'!F$6:F38)-1)</f>
        <v/>
      </c>
      <c r="Z38" s="34">
        <f>IF('Historique ajusté'!G38="","",'Historique ajusté'!G38/MAX('Historique ajusté'!G$6:G38)-1)</f>
        <v/>
      </c>
      <c r="AA38" s="34">
        <f>IF('Historique ajusté'!H38="","",'Historique ajusté'!H38/MAX('Historique ajusté'!H$6:H38)-1)</f>
        <v/>
      </c>
      <c r="AB38" s="34">
        <f>IF('Historique ajusté'!I38="","",'Historique ajusté'!I38/MAX('Historique ajusté'!I$6:I38)-1)</f>
        <v/>
      </c>
      <c r="AC38" s="34">
        <f>IF('Historique ajusté'!J38="","",'Historique ajusté'!J38/MAX('Historique ajusté'!J$6:J38)-1)</f>
        <v/>
      </c>
      <c r="AD38" s="34">
        <f>IF('Historique ajusté'!K38="","",'Historique ajusté'!K38/MAX('Historique ajusté'!K$6:K38)-1)</f>
        <v/>
      </c>
      <c r="AE38" s="34">
        <f>IF('Historique ajusté'!L38="","",'Historique ajusté'!L38/MAX('Historique ajusté'!L$6:L38)-1)</f>
        <v/>
      </c>
      <c r="AF38" s="34">
        <f>IF('Historique ajusté'!M38="","",'Historique ajusté'!M38/MAX('Historique ajusté'!M$6:M38)-1)</f>
        <v/>
      </c>
      <c r="AG38" s="34">
        <f>IF('Historique ajusté'!N38="","",'Historique ajusté'!N38/MAX('Historique ajusté'!N$6:N38)-1)</f>
        <v/>
      </c>
      <c r="AH38" s="34">
        <f>IF('Historique ajusté'!O38="","",'Historique ajusté'!O38/MAX('Historique ajusté'!O$6:O38)-1)</f>
        <v/>
      </c>
      <c r="AI38" s="34">
        <f>IF('Historique ajusté'!P38="","",'Historique ajusté'!P38/MAX('Historique ajusté'!P$6:P38)-1)</f>
        <v/>
      </c>
      <c r="AJ38" s="34">
        <f>IF(Composites!L38="","",Composites!L38/MAX(Composites!L$6:L38)-1)</f>
        <v/>
      </c>
      <c r="AK38" s="34">
        <f>IF(Composites!M38="","",Composites!M38/MAX(Composites!M$6:M38)-1)</f>
        <v/>
      </c>
      <c r="AL38" s="34">
        <f>IF(Composites!N38="","",Composites!N38/MAX(Composites!N$6:N38)-1)</f>
        <v/>
      </c>
      <c r="AM38" s="34">
        <f>IF(Composites!O38="","",Composites!O38/MAX(Composites!O$6:O38)-1)</f>
        <v/>
      </c>
      <c r="AN38" s="34">
        <f>IF(Composites!P38="","",Composites!P38/MAX(Composites!P$6:P38)-1)</f>
        <v/>
      </c>
    </row>
    <row r="39">
      <c r="B39" s="32">
        <f>'Historique ajusté'!B39</f>
        <v/>
      </c>
      <c r="C39" s="34">
        <f>IF(OR('Historique ajusté'!C39="",ROW()-Fenetre&lt;6),"",IF(INDEX('Historique ajusté'!C:C,ROW()-Fenetre)="","",'Historique ajusté'!C39/INDEX('Historique ajusté'!C:C,ROW()-Fenetre)-1))</f>
        <v/>
      </c>
      <c r="D39" s="34">
        <f>IF(OR('Historique ajusté'!D39="",ROW()-Fenetre&lt;6),"",IF(INDEX('Historique ajusté'!D:D,ROW()-Fenetre)="","",'Historique ajusté'!D39/INDEX('Historique ajusté'!D:D,ROW()-Fenetre)-1))</f>
        <v/>
      </c>
      <c r="E39" s="34">
        <f>IF(OR('Historique ajusté'!E39="",ROW()-Fenetre&lt;6),"",IF(INDEX('Historique ajusté'!E:E,ROW()-Fenetre)="","",'Historique ajusté'!E39/INDEX('Historique ajusté'!E:E,ROW()-Fenetre)-1))</f>
        <v/>
      </c>
      <c r="F39" s="34">
        <f>IF(OR('Historique ajusté'!F39="",ROW()-Fenetre&lt;6),"",IF(INDEX('Historique ajusté'!F:F,ROW()-Fenetre)="","",'Historique ajusté'!F39/INDEX('Historique ajusté'!F:F,ROW()-Fenetre)-1))</f>
        <v/>
      </c>
      <c r="G39" s="34">
        <f>IF(OR('Historique ajusté'!G39="",ROW()-Fenetre&lt;6),"",IF(INDEX('Historique ajusté'!G:G,ROW()-Fenetre)="","",'Historique ajusté'!G39/INDEX('Historique ajusté'!G:G,ROW()-Fenetre)-1))</f>
        <v/>
      </c>
      <c r="H39" s="34">
        <f>IF(OR('Historique ajusté'!H39="",ROW()-Fenetre&lt;6),"",IF(INDEX('Historique ajusté'!H:H,ROW()-Fenetre)="","",'Historique ajusté'!H39/INDEX('Historique ajusté'!H:H,ROW()-Fenetre)-1))</f>
        <v/>
      </c>
      <c r="I39" s="34">
        <f>IF(OR('Historique ajusté'!I39="",ROW()-Fenetre&lt;6),"",IF(INDEX('Historique ajusté'!I:I,ROW()-Fenetre)="","",'Historique ajusté'!I39/INDEX('Historique ajusté'!I:I,ROW()-Fenetre)-1))</f>
        <v/>
      </c>
      <c r="J39" s="34">
        <f>IF(OR('Historique ajusté'!J39="",ROW()-Fenetre&lt;6),"",IF(INDEX('Historique ajusté'!J:J,ROW()-Fenetre)="","",'Historique ajusté'!J39/INDEX('Historique ajusté'!J:J,ROW()-Fenetre)-1))</f>
        <v/>
      </c>
      <c r="K39" s="34">
        <f>IF(OR('Historique ajusté'!K39="",ROW()-Fenetre&lt;6),"",IF(INDEX('Historique ajusté'!K:K,ROW()-Fenetre)="","",'Historique ajusté'!K39/INDEX('Historique ajusté'!K:K,ROW()-Fenetre)-1))</f>
        <v/>
      </c>
      <c r="L39" s="34">
        <f>IF(OR('Historique ajusté'!L39="",ROW()-Fenetre&lt;6),"",IF(INDEX('Historique ajusté'!L:L,ROW()-Fenetre)="","",'Historique ajusté'!L39/INDEX('Historique ajusté'!L:L,ROW()-Fenetre)-1))</f>
        <v/>
      </c>
      <c r="M39" s="34">
        <f>IF(OR('Historique ajusté'!M39="",ROW()-Fenetre&lt;6),"",IF(INDEX('Historique ajusté'!M:M,ROW()-Fenetre)="","",'Historique ajusté'!M39/INDEX('Historique ajusté'!M:M,ROW()-Fenetre)-1))</f>
        <v/>
      </c>
      <c r="N39" s="34">
        <f>IF(OR('Historique ajusté'!N39="",ROW()-Fenetre&lt;6),"",IF(INDEX('Historique ajusté'!N:N,ROW()-Fenetre)="","",'Historique ajusté'!N39/INDEX('Historique ajusté'!N:N,ROW()-Fenetre)-1))</f>
        <v/>
      </c>
      <c r="O39" s="34">
        <f>IF(OR('Historique ajusté'!O39="",ROW()-Fenetre&lt;6),"",IF(INDEX('Historique ajusté'!O:O,ROW()-Fenetre)="","",'Historique ajusté'!O39/INDEX('Historique ajusté'!O:O,ROW()-Fenetre)-1))</f>
        <v/>
      </c>
      <c r="P39" s="34">
        <f>IF(OR('Historique ajusté'!P39="",ROW()-Fenetre&lt;6),"",IF(INDEX('Historique ajusté'!P:P,ROW()-Fenetre)="","",'Historique ajusté'!P39/INDEX('Historique ajusté'!P:P,ROW()-Fenetre)-1))</f>
        <v/>
      </c>
      <c r="Q39" s="34">
        <f>IF(OR(Composites!L39="",ROW()-Fenetre&lt;6),"",IF(INDEX(Composites!L:L,ROW()-Fenetre)="","",Composites!L39/INDEX(Composites!L:L,ROW()-Fenetre)-1))</f>
        <v/>
      </c>
      <c r="R39" s="34">
        <f>IF(OR(Composites!M39="",ROW()-Fenetre&lt;6),"",IF(INDEX(Composites!M:M,ROW()-Fenetre)="","",Composites!M39/INDEX(Composites!M:M,ROW()-Fenetre)-1))</f>
        <v/>
      </c>
      <c r="S39" s="34">
        <f>IF(OR(Composites!N39="",ROW()-Fenetre&lt;6),"",IF(INDEX(Composites!N:N,ROW()-Fenetre)="","",Composites!N39/INDEX(Composites!N:N,ROW()-Fenetre)-1))</f>
        <v/>
      </c>
      <c r="T39" s="34">
        <f>IF(OR(Composites!O39="",ROW()-Fenetre&lt;6),"",IF(INDEX(Composites!O:O,ROW()-Fenetre)="","",Composites!O39/INDEX(Composites!O:O,ROW()-Fenetre)-1))</f>
        <v/>
      </c>
      <c r="U39" s="34">
        <f>IF(OR(Composites!P39="",ROW()-Fenetre&lt;6),"",IF(INDEX(Composites!P:P,ROW()-Fenetre)="","",Composites!P39/INDEX(Composites!P:P,ROW()-Fenetre)-1))</f>
        <v/>
      </c>
      <c r="V39" s="34">
        <f>IF('Historique ajusté'!C39="","",'Historique ajusté'!C39/MAX('Historique ajusté'!C$6:C39)-1)</f>
        <v/>
      </c>
      <c r="W39" s="34">
        <f>IF('Historique ajusté'!D39="","",'Historique ajusté'!D39/MAX('Historique ajusté'!D$6:D39)-1)</f>
        <v/>
      </c>
      <c r="X39" s="34">
        <f>IF('Historique ajusté'!E39="","",'Historique ajusté'!E39/MAX('Historique ajusté'!E$6:E39)-1)</f>
        <v/>
      </c>
      <c r="Y39" s="34">
        <f>IF('Historique ajusté'!F39="","",'Historique ajusté'!F39/MAX('Historique ajusté'!F$6:F39)-1)</f>
        <v/>
      </c>
      <c r="Z39" s="34">
        <f>IF('Historique ajusté'!G39="","",'Historique ajusté'!G39/MAX('Historique ajusté'!G$6:G39)-1)</f>
        <v/>
      </c>
      <c r="AA39" s="34">
        <f>IF('Historique ajusté'!H39="","",'Historique ajusté'!H39/MAX('Historique ajusté'!H$6:H39)-1)</f>
        <v/>
      </c>
      <c r="AB39" s="34">
        <f>IF('Historique ajusté'!I39="","",'Historique ajusté'!I39/MAX('Historique ajusté'!I$6:I39)-1)</f>
        <v/>
      </c>
      <c r="AC39" s="34">
        <f>IF('Historique ajusté'!J39="","",'Historique ajusté'!J39/MAX('Historique ajusté'!J$6:J39)-1)</f>
        <v/>
      </c>
      <c r="AD39" s="34">
        <f>IF('Historique ajusté'!K39="","",'Historique ajusté'!K39/MAX('Historique ajusté'!K$6:K39)-1)</f>
        <v/>
      </c>
      <c r="AE39" s="34">
        <f>IF('Historique ajusté'!L39="","",'Historique ajusté'!L39/MAX('Historique ajusté'!L$6:L39)-1)</f>
        <v/>
      </c>
      <c r="AF39" s="34">
        <f>IF('Historique ajusté'!M39="","",'Historique ajusté'!M39/MAX('Historique ajusté'!M$6:M39)-1)</f>
        <v/>
      </c>
      <c r="AG39" s="34">
        <f>IF('Historique ajusté'!N39="","",'Historique ajusté'!N39/MAX('Historique ajusté'!N$6:N39)-1)</f>
        <v/>
      </c>
      <c r="AH39" s="34">
        <f>IF('Historique ajusté'!O39="","",'Historique ajusté'!O39/MAX('Historique ajusté'!O$6:O39)-1)</f>
        <v/>
      </c>
      <c r="AI39" s="34">
        <f>IF('Historique ajusté'!P39="","",'Historique ajusté'!P39/MAX('Historique ajusté'!P$6:P39)-1)</f>
        <v/>
      </c>
      <c r="AJ39" s="34">
        <f>IF(Composites!L39="","",Composites!L39/MAX(Composites!L$6:L39)-1)</f>
        <v/>
      </c>
      <c r="AK39" s="34">
        <f>IF(Composites!M39="","",Composites!M39/MAX(Composites!M$6:M39)-1)</f>
        <v/>
      </c>
      <c r="AL39" s="34">
        <f>IF(Composites!N39="","",Composites!N39/MAX(Composites!N$6:N39)-1)</f>
        <v/>
      </c>
      <c r="AM39" s="34">
        <f>IF(Composites!O39="","",Composites!O39/MAX(Composites!O$6:O39)-1)</f>
        <v/>
      </c>
      <c r="AN39" s="34">
        <f>IF(Composites!P39="","",Composites!P39/MAX(Composites!P$6:P39)-1)</f>
        <v/>
      </c>
    </row>
    <row r="40">
      <c r="B40" s="32">
        <f>'Historique ajusté'!B40</f>
        <v/>
      </c>
      <c r="C40" s="34">
        <f>IF(OR('Historique ajusté'!C40="",ROW()-Fenetre&lt;6),"",IF(INDEX('Historique ajusté'!C:C,ROW()-Fenetre)="","",'Historique ajusté'!C40/INDEX('Historique ajusté'!C:C,ROW()-Fenetre)-1))</f>
        <v/>
      </c>
      <c r="D40" s="34">
        <f>IF(OR('Historique ajusté'!D40="",ROW()-Fenetre&lt;6),"",IF(INDEX('Historique ajusté'!D:D,ROW()-Fenetre)="","",'Historique ajusté'!D40/INDEX('Historique ajusté'!D:D,ROW()-Fenetre)-1))</f>
        <v/>
      </c>
      <c r="E40" s="34">
        <f>IF(OR('Historique ajusté'!E40="",ROW()-Fenetre&lt;6),"",IF(INDEX('Historique ajusté'!E:E,ROW()-Fenetre)="","",'Historique ajusté'!E40/INDEX('Historique ajusté'!E:E,ROW()-Fenetre)-1))</f>
        <v/>
      </c>
      <c r="F40" s="34">
        <f>IF(OR('Historique ajusté'!F40="",ROW()-Fenetre&lt;6),"",IF(INDEX('Historique ajusté'!F:F,ROW()-Fenetre)="","",'Historique ajusté'!F40/INDEX('Historique ajusté'!F:F,ROW()-Fenetre)-1))</f>
        <v/>
      </c>
      <c r="G40" s="34">
        <f>IF(OR('Historique ajusté'!G40="",ROW()-Fenetre&lt;6),"",IF(INDEX('Historique ajusté'!G:G,ROW()-Fenetre)="","",'Historique ajusté'!G40/INDEX('Historique ajusté'!G:G,ROW()-Fenetre)-1))</f>
        <v/>
      </c>
      <c r="H40" s="34">
        <f>IF(OR('Historique ajusté'!H40="",ROW()-Fenetre&lt;6),"",IF(INDEX('Historique ajusté'!H:H,ROW()-Fenetre)="","",'Historique ajusté'!H40/INDEX('Historique ajusté'!H:H,ROW()-Fenetre)-1))</f>
        <v/>
      </c>
      <c r="I40" s="34">
        <f>IF(OR('Historique ajusté'!I40="",ROW()-Fenetre&lt;6),"",IF(INDEX('Historique ajusté'!I:I,ROW()-Fenetre)="","",'Historique ajusté'!I40/INDEX('Historique ajusté'!I:I,ROW()-Fenetre)-1))</f>
        <v/>
      </c>
      <c r="J40" s="34">
        <f>IF(OR('Historique ajusté'!J40="",ROW()-Fenetre&lt;6),"",IF(INDEX('Historique ajusté'!J:J,ROW()-Fenetre)="","",'Historique ajusté'!J40/INDEX('Historique ajusté'!J:J,ROW()-Fenetre)-1))</f>
        <v/>
      </c>
      <c r="K40" s="34">
        <f>IF(OR('Historique ajusté'!K40="",ROW()-Fenetre&lt;6),"",IF(INDEX('Historique ajusté'!K:K,ROW()-Fenetre)="","",'Historique ajusté'!K40/INDEX('Historique ajusté'!K:K,ROW()-Fenetre)-1))</f>
        <v/>
      </c>
      <c r="L40" s="34">
        <f>IF(OR('Historique ajusté'!L40="",ROW()-Fenetre&lt;6),"",IF(INDEX('Historique ajusté'!L:L,ROW()-Fenetre)="","",'Historique ajusté'!L40/INDEX('Historique ajusté'!L:L,ROW()-Fenetre)-1))</f>
        <v/>
      </c>
      <c r="M40" s="34">
        <f>IF(OR('Historique ajusté'!M40="",ROW()-Fenetre&lt;6),"",IF(INDEX('Historique ajusté'!M:M,ROW()-Fenetre)="","",'Historique ajusté'!M40/INDEX('Historique ajusté'!M:M,ROW()-Fenetre)-1))</f>
        <v/>
      </c>
      <c r="N40" s="34">
        <f>IF(OR('Historique ajusté'!N40="",ROW()-Fenetre&lt;6),"",IF(INDEX('Historique ajusté'!N:N,ROW()-Fenetre)="","",'Historique ajusté'!N40/INDEX('Historique ajusté'!N:N,ROW()-Fenetre)-1))</f>
        <v/>
      </c>
      <c r="O40" s="34">
        <f>IF(OR('Historique ajusté'!O40="",ROW()-Fenetre&lt;6),"",IF(INDEX('Historique ajusté'!O:O,ROW()-Fenetre)="","",'Historique ajusté'!O40/INDEX('Historique ajusté'!O:O,ROW()-Fenetre)-1))</f>
        <v/>
      </c>
      <c r="P40" s="34">
        <f>IF(OR('Historique ajusté'!P40="",ROW()-Fenetre&lt;6),"",IF(INDEX('Historique ajusté'!P:P,ROW()-Fenetre)="","",'Historique ajusté'!P40/INDEX('Historique ajusté'!P:P,ROW()-Fenetre)-1))</f>
        <v/>
      </c>
      <c r="Q40" s="34">
        <f>IF(OR(Composites!L40="",ROW()-Fenetre&lt;6),"",IF(INDEX(Composites!L:L,ROW()-Fenetre)="","",Composites!L40/INDEX(Composites!L:L,ROW()-Fenetre)-1))</f>
        <v/>
      </c>
      <c r="R40" s="34">
        <f>IF(OR(Composites!M40="",ROW()-Fenetre&lt;6),"",IF(INDEX(Composites!M:M,ROW()-Fenetre)="","",Composites!M40/INDEX(Composites!M:M,ROW()-Fenetre)-1))</f>
        <v/>
      </c>
      <c r="S40" s="34">
        <f>IF(OR(Composites!N40="",ROW()-Fenetre&lt;6),"",IF(INDEX(Composites!N:N,ROW()-Fenetre)="","",Composites!N40/INDEX(Composites!N:N,ROW()-Fenetre)-1))</f>
        <v/>
      </c>
      <c r="T40" s="34">
        <f>IF(OR(Composites!O40="",ROW()-Fenetre&lt;6),"",IF(INDEX(Composites!O:O,ROW()-Fenetre)="","",Composites!O40/INDEX(Composites!O:O,ROW()-Fenetre)-1))</f>
        <v/>
      </c>
      <c r="U40" s="34">
        <f>IF(OR(Composites!P40="",ROW()-Fenetre&lt;6),"",IF(INDEX(Composites!P:P,ROW()-Fenetre)="","",Composites!P40/INDEX(Composites!P:P,ROW()-Fenetre)-1))</f>
        <v/>
      </c>
      <c r="V40" s="34">
        <f>IF('Historique ajusté'!C40="","",'Historique ajusté'!C40/MAX('Historique ajusté'!C$6:C40)-1)</f>
        <v/>
      </c>
      <c r="W40" s="34">
        <f>IF('Historique ajusté'!D40="","",'Historique ajusté'!D40/MAX('Historique ajusté'!D$6:D40)-1)</f>
        <v/>
      </c>
      <c r="X40" s="34">
        <f>IF('Historique ajusté'!E40="","",'Historique ajusté'!E40/MAX('Historique ajusté'!E$6:E40)-1)</f>
        <v/>
      </c>
      <c r="Y40" s="34">
        <f>IF('Historique ajusté'!F40="","",'Historique ajusté'!F40/MAX('Historique ajusté'!F$6:F40)-1)</f>
        <v/>
      </c>
      <c r="Z40" s="34">
        <f>IF('Historique ajusté'!G40="","",'Historique ajusté'!G40/MAX('Historique ajusté'!G$6:G40)-1)</f>
        <v/>
      </c>
      <c r="AA40" s="34">
        <f>IF('Historique ajusté'!H40="","",'Historique ajusté'!H40/MAX('Historique ajusté'!H$6:H40)-1)</f>
        <v/>
      </c>
      <c r="AB40" s="34">
        <f>IF('Historique ajusté'!I40="","",'Historique ajusté'!I40/MAX('Historique ajusté'!I$6:I40)-1)</f>
        <v/>
      </c>
      <c r="AC40" s="34">
        <f>IF('Historique ajusté'!J40="","",'Historique ajusté'!J40/MAX('Historique ajusté'!J$6:J40)-1)</f>
        <v/>
      </c>
      <c r="AD40" s="34">
        <f>IF('Historique ajusté'!K40="","",'Historique ajusté'!K40/MAX('Historique ajusté'!K$6:K40)-1)</f>
        <v/>
      </c>
      <c r="AE40" s="34">
        <f>IF('Historique ajusté'!L40="","",'Historique ajusté'!L40/MAX('Historique ajusté'!L$6:L40)-1)</f>
        <v/>
      </c>
      <c r="AF40" s="34">
        <f>IF('Historique ajusté'!M40="","",'Historique ajusté'!M40/MAX('Historique ajusté'!M$6:M40)-1)</f>
        <v/>
      </c>
      <c r="AG40" s="34">
        <f>IF('Historique ajusté'!N40="","",'Historique ajusté'!N40/MAX('Historique ajusté'!N$6:N40)-1)</f>
        <v/>
      </c>
      <c r="AH40" s="34">
        <f>IF('Historique ajusté'!O40="","",'Historique ajusté'!O40/MAX('Historique ajusté'!O$6:O40)-1)</f>
        <v/>
      </c>
      <c r="AI40" s="34">
        <f>IF('Historique ajusté'!P40="","",'Historique ajusté'!P40/MAX('Historique ajusté'!P$6:P40)-1)</f>
        <v/>
      </c>
      <c r="AJ40" s="34">
        <f>IF(Composites!L40="","",Composites!L40/MAX(Composites!L$6:L40)-1)</f>
        <v/>
      </c>
      <c r="AK40" s="34">
        <f>IF(Composites!M40="","",Composites!M40/MAX(Composites!M$6:M40)-1)</f>
        <v/>
      </c>
      <c r="AL40" s="34">
        <f>IF(Composites!N40="","",Composites!N40/MAX(Composites!N$6:N40)-1)</f>
        <v/>
      </c>
      <c r="AM40" s="34">
        <f>IF(Composites!O40="","",Composites!O40/MAX(Composites!O$6:O40)-1)</f>
        <v/>
      </c>
      <c r="AN40" s="34">
        <f>IF(Composites!P40="","",Composites!P40/MAX(Composites!P$6:P40)-1)</f>
        <v/>
      </c>
    </row>
    <row r="41">
      <c r="B41" s="32">
        <f>'Historique ajusté'!B41</f>
        <v/>
      </c>
      <c r="C41" s="34">
        <f>IF(OR('Historique ajusté'!C41="",ROW()-Fenetre&lt;6),"",IF(INDEX('Historique ajusté'!C:C,ROW()-Fenetre)="","",'Historique ajusté'!C41/INDEX('Historique ajusté'!C:C,ROW()-Fenetre)-1))</f>
        <v/>
      </c>
      <c r="D41" s="34">
        <f>IF(OR('Historique ajusté'!D41="",ROW()-Fenetre&lt;6),"",IF(INDEX('Historique ajusté'!D:D,ROW()-Fenetre)="","",'Historique ajusté'!D41/INDEX('Historique ajusté'!D:D,ROW()-Fenetre)-1))</f>
        <v/>
      </c>
      <c r="E41" s="34">
        <f>IF(OR('Historique ajusté'!E41="",ROW()-Fenetre&lt;6),"",IF(INDEX('Historique ajusté'!E:E,ROW()-Fenetre)="","",'Historique ajusté'!E41/INDEX('Historique ajusté'!E:E,ROW()-Fenetre)-1))</f>
        <v/>
      </c>
      <c r="F41" s="34">
        <f>IF(OR('Historique ajusté'!F41="",ROW()-Fenetre&lt;6),"",IF(INDEX('Historique ajusté'!F:F,ROW()-Fenetre)="","",'Historique ajusté'!F41/INDEX('Historique ajusté'!F:F,ROW()-Fenetre)-1))</f>
        <v/>
      </c>
      <c r="G41" s="34">
        <f>IF(OR('Historique ajusté'!G41="",ROW()-Fenetre&lt;6),"",IF(INDEX('Historique ajusté'!G:G,ROW()-Fenetre)="","",'Historique ajusté'!G41/INDEX('Historique ajusté'!G:G,ROW()-Fenetre)-1))</f>
        <v/>
      </c>
      <c r="H41" s="34">
        <f>IF(OR('Historique ajusté'!H41="",ROW()-Fenetre&lt;6),"",IF(INDEX('Historique ajusté'!H:H,ROW()-Fenetre)="","",'Historique ajusté'!H41/INDEX('Historique ajusté'!H:H,ROW()-Fenetre)-1))</f>
        <v/>
      </c>
      <c r="I41" s="34">
        <f>IF(OR('Historique ajusté'!I41="",ROW()-Fenetre&lt;6),"",IF(INDEX('Historique ajusté'!I:I,ROW()-Fenetre)="","",'Historique ajusté'!I41/INDEX('Historique ajusté'!I:I,ROW()-Fenetre)-1))</f>
        <v/>
      </c>
      <c r="J41" s="34">
        <f>IF(OR('Historique ajusté'!J41="",ROW()-Fenetre&lt;6),"",IF(INDEX('Historique ajusté'!J:J,ROW()-Fenetre)="","",'Historique ajusté'!J41/INDEX('Historique ajusté'!J:J,ROW()-Fenetre)-1))</f>
        <v/>
      </c>
      <c r="K41" s="34">
        <f>IF(OR('Historique ajusté'!K41="",ROW()-Fenetre&lt;6),"",IF(INDEX('Historique ajusté'!K:K,ROW()-Fenetre)="","",'Historique ajusté'!K41/INDEX('Historique ajusté'!K:K,ROW()-Fenetre)-1))</f>
        <v/>
      </c>
      <c r="L41" s="34">
        <f>IF(OR('Historique ajusté'!L41="",ROW()-Fenetre&lt;6),"",IF(INDEX('Historique ajusté'!L:L,ROW()-Fenetre)="","",'Historique ajusté'!L41/INDEX('Historique ajusté'!L:L,ROW()-Fenetre)-1))</f>
        <v/>
      </c>
      <c r="M41" s="34">
        <f>IF(OR('Historique ajusté'!M41="",ROW()-Fenetre&lt;6),"",IF(INDEX('Historique ajusté'!M:M,ROW()-Fenetre)="","",'Historique ajusté'!M41/INDEX('Historique ajusté'!M:M,ROW()-Fenetre)-1))</f>
        <v/>
      </c>
      <c r="N41" s="34">
        <f>IF(OR('Historique ajusté'!N41="",ROW()-Fenetre&lt;6),"",IF(INDEX('Historique ajusté'!N:N,ROW()-Fenetre)="","",'Historique ajusté'!N41/INDEX('Historique ajusté'!N:N,ROW()-Fenetre)-1))</f>
        <v/>
      </c>
      <c r="O41" s="34">
        <f>IF(OR('Historique ajusté'!O41="",ROW()-Fenetre&lt;6),"",IF(INDEX('Historique ajusté'!O:O,ROW()-Fenetre)="","",'Historique ajusté'!O41/INDEX('Historique ajusté'!O:O,ROW()-Fenetre)-1))</f>
        <v/>
      </c>
      <c r="P41" s="34">
        <f>IF(OR('Historique ajusté'!P41="",ROW()-Fenetre&lt;6),"",IF(INDEX('Historique ajusté'!P:P,ROW()-Fenetre)="","",'Historique ajusté'!P41/INDEX('Historique ajusté'!P:P,ROW()-Fenetre)-1))</f>
        <v/>
      </c>
      <c r="Q41" s="34">
        <f>IF(OR(Composites!L41="",ROW()-Fenetre&lt;6),"",IF(INDEX(Composites!L:L,ROW()-Fenetre)="","",Composites!L41/INDEX(Composites!L:L,ROW()-Fenetre)-1))</f>
        <v/>
      </c>
      <c r="R41" s="34">
        <f>IF(OR(Composites!M41="",ROW()-Fenetre&lt;6),"",IF(INDEX(Composites!M:M,ROW()-Fenetre)="","",Composites!M41/INDEX(Composites!M:M,ROW()-Fenetre)-1))</f>
        <v/>
      </c>
      <c r="S41" s="34">
        <f>IF(OR(Composites!N41="",ROW()-Fenetre&lt;6),"",IF(INDEX(Composites!N:N,ROW()-Fenetre)="","",Composites!N41/INDEX(Composites!N:N,ROW()-Fenetre)-1))</f>
        <v/>
      </c>
      <c r="T41" s="34">
        <f>IF(OR(Composites!O41="",ROW()-Fenetre&lt;6),"",IF(INDEX(Composites!O:O,ROW()-Fenetre)="","",Composites!O41/INDEX(Composites!O:O,ROW()-Fenetre)-1))</f>
        <v/>
      </c>
      <c r="U41" s="34">
        <f>IF(OR(Composites!P41="",ROW()-Fenetre&lt;6),"",IF(INDEX(Composites!P:P,ROW()-Fenetre)="","",Composites!P41/INDEX(Composites!P:P,ROW()-Fenetre)-1))</f>
        <v/>
      </c>
      <c r="V41" s="34">
        <f>IF('Historique ajusté'!C41="","",'Historique ajusté'!C41/MAX('Historique ajusté'!C$6:C41)-1)</f>
        <v/>
      </c>
      <c r="W41" s="34">
        <f>IF('Historique ajusté'!D41="","",'Historique ajusté'!D41/MAX('Historique ajusté'!D$6:D41)-1)</f>
        <v/>
      </c>
      <c r="X41" s="34">
        <f>IF('Historique ajusté'!E41="","",'Historique ajusté'!E41/MAX('Historique ajusté'!E$6:E41)-1)</f>
        <v/>
      </c>
      <c r="Y41" s="34">
        <f>IF('Historique ajusté'!F41="","",'Historique ajusté'!F41/MAX('Historique ajusté'!F$6:F41)-1)</f>
        <v/>
      </c>
      <c r="Z41" s="34">
        <f>IF('Historique ajusté'!G41="","",'Historique ajusté'!G41/MAX('Historique ajusté'!G$6:G41)-1)</f>
        <v/>
      </c>
      <c r="AA41" s="34">
        <f>IF('Historique ajusté'!H41="","",'Historique ajusté'!H41/MAX('Historique ajusté'!H$6:H41)-1)</f>
        <v/>
      </c>
      <c r="AB41" s="34">
        <f>IF('Historique ajusté'!I41="","",'Historique ajusté'!I41/MAX('Historique ajusté'!I$6:I41)-1)</f>
        <v/>
      </c>
      <c r="AC41" s="34">
        <f>IF('Historique ajusté'!J41="","",'Historique ajusté'!J41/MAX('Historique ajusté'!J$6:J41)-1)</f>
        <v/>
      </c>
      <c r="AD41" s="34">
        <f>IF('Historique ajusté'!K41="","",'Historique ajusté'!K41/MAX('Historique ajusté'!K$6:K41)-1)</f>
        <v/>
      </c>
      <c r="AE41" s="34">
        <f>IF('Historique ajusté'!L41="","",'Historique ajusté'!L41/MAX('Historique ajusté'!L$6:L41)-1)</f>
        <v/>
      </c>
      <c r="AF41" s="34">
        <f>IF('Historique ajusté'!M41="","",'Historique ajusté'!M41/MAX('Historique ajusté'!M$6:M41)-1)</f>
        <v/>
      </c>
      <c r="AG41" s="34">
        <f>IF('Historique ajusté'!N41="","",'Historique ajusté'!N41/MAX('Historique ajusté'!N$6:N41)-1)</f>
        <v/>
      </c>
      <c r="AH41" s="34">
        <f>IF('Historique ajusté'!O41="","",'Historique ajusté'!O41/MAX('Historique ajusté'!O$6:O41)-1)</f>
        <v/>
      </c>
      <c r="AI41" s="34">
        <f>IF('Historique ajusté'!P41="","",'Historique ajusté'!P41/MAX('Historique ajusté'!P$6:P41)-1)</f>
        <v/>
      </c>
      <c r="AJ41" s="34">
        <f>IF(Composites!L41="","",Composites!L41/MAX(Composites!L$6:L41)-1)</f>
        <v/>
      </c>
      <c r="AK41" s="34">
        <f>IF(Composites!M41="","",Composites!M41/MAX(Composites!M$6:M41)-1)</f>
        <v/>
      </c>
      <c r="AL41" s="34">
        <f>IF(Composites!N41="","",Composites!N41/MAX(Composites!N$6:N41)-1)</f>
        <v/>
      </c>
      <c r="AM41" s="34">
        <f>IF(Composites!O41="","",Composites!O41/MAX(Composites!O$6:O41)-1)</f>
        <v/>
      </c>
      <c r="AN41" s="34">
        <f>IF(Composites!P41="","",Composites!P41/MAX(Composites!P$6:P41)-1)</f>
        <v/>
      </c>
    </row>
    <row r="42">
      <c r="B42" s="32">
        <f>'Historique ajusté'!B42</f>
        <v/>
      </c>
      <c r="C42" s="34">
        <f>IF(OR('Historique ajusté'!C42="",ROW()-Fenetre&lt;6),"",IF(INDEX('Historique ajusté'!C:C,ROW()-Fenetre)="","",'Historique ajusté'!C42/INDEX('Historique ajusté'!C:C,ROW()-Fenetre)-1))</f>
        <v/>
      </c>
      <c r="D42" s="34">
        <f>IF(OR('Historique ajusté'!D42="",ROW()-Fenetre&lt;6),"",IF(INDEX('Historique ajusté'!D:D,ROW()-Fenetre)="","",'Historique ajusté'!D42/INDEX('Historique ajusté'!D:D,ROW()-Fenetre)-1))</f>
        <v/>
      </c>
      <c r="E42" s="34">
        <f>IF(OR('Historique ajusté'!E42="",ROW()-Fenetre&lt;6),"",IF(INDEX('Historique ajusté'!E:E,ROW()-Fenetre)="","",'Historique ajusté'!E42/INDEX('Historique ajusté'!E:E,ROW()-Fenetre)-1))</f>
        <v/>
      </c>
      <c r="F42" s="34">
        <f>IF(OR('Historique ajusté'!F42="",ROW()-Fenetre&lt;6),"",IF(INDEX('Historique ajusté'!F:F,ROW()-Fenetre)="","",'Historique ajusté'!F42/INDEX('Historique ajusté'!F:F,ROW()-Fenetre)-1))</f>
        <v/>
      </c>
      <c r="G42" s="34">
        <f>IF(OR('Historique ajusté'!G42="",ROW()-Fenetre&lt;6),"",IF(INDEX('Historique ajusté'!G:G,ROW()-Fenetre)="","",'Historique ajusté'!G42/INDEX('Historique ajusté'!G:G,ROW()-Fenetre)-1))</f>
        <v/>
      </c>
      <c r="H42" s="34">
        <f>IF(OR('Historique ajusté'!H42="",ROW()-Fenetre&lt;6),"",IF(INDEX('Historique ajusté'!H:H,ROW()-Fenetre)="","",'Historique ajusté'!H42/INDEX('Historique ajusté'!H:H,ROW()-Fenetre)-1))</f>
        <v/>
      </c>
      <c r="I42" s="34">
        <f>IF(OR('Historique ajusté'!I42="",ROW()-Fenetre&lt;6),"",IF(INDEX('Historique ajusté'!I:I,ROW()-Fenetre)="","",'Historique ajusté'!I42/INDEX('Historique ajusté'!I:I,ROW()-Fenetre)-1))</f>
        <v/>
      </c>
      <c r="J42" s="34">
        <f>IF(OR('Historique ajusté'!J42="",ROW()-Fenetre&lt;6),"",IF(INDEX('Historique ajusté'!J:J,ROW()-Fenetre)="","",'Historique ajusté'!J42/INDEX('Historique ajusté'!J:J,ROW()-Fenetre)-1))</f>
        <v/>
      </c>
      <c r="K42" s="34">
        <f>IF(OR('Historique ajusté'!K42="",ROW()-Fenetre&lt;6),"",IF(INDEX('Historique ajusté'!K:K,ROW()-Fenetre)="","",'Historique ajusté'!K42/INDEX('Historique ajusté'!K:K,ROW()-Fenetre)-1))</f>
        <v/>
      </c>
      <c r="L42" s="34">
        <f>IF(OR('Historique ajusté'!L42="",ROW()-Fenetre&lt;6),"",IF(INDEX('Historique ajusté'!L:L,ROW()-Fenetre)="","",'Historique ajusté'!L42/INDEX('Historique ajusté'!L:L,ROW()-Fenetre)-1))</f>
        <v/>
      </c>
      <c r="M42" s="34">
        <f>IF(OR('Historique ajusté'!M42="",ROW()-Fenetre&lt;6),"",IF(INDEX('Historique ajusté'!M:M,ROW()-Fenetre)="","",'Historique ajusté'!M42/INDEX('Historique ajusté'!M:M,ROW()-Fenetre)-1))</f>
        <v/>
      </c>
      <c r="N42" s="34">
        <f>IF(OR('Historique ajusté'!N42="",ROW()-Fenetre&lt;6),"",IF(INDEX('Historique ajusté'!N:N,ROW()-Fenetre)="","",'Historique ajusté'!N42/INDEX('Historique ajusté'!N:N,ROW()-Fenetre)-1))</f>
        <v/>
      </c>
      <c r="O42" s="34">
        <f>IF(OR('Historique ajusté'!O42="",ROW()-Fenetre&lt;6),"",IF(INDEX('Historique ajusté'!O:O,ROW()-Fenetre)="","",'Historique ajusté'!O42/INDEX('Historique ajusté'!O:O,ROW()-Fenetre)-1))</f>
        <v/>
      </c>
      <c r="P42" s="34">
        <f>IF(OR('Historique ajusté'!P42="",ROW()-Fenetre&lt;6),"",IF(INDEX('Historique ajusté'!P:P,ROW()-Fenetre)="","",'Historique ajusté'!P42/INDEX('Historique ajusté'!P:P,ROW()-Fenetre)-1))</f>
        <v/>
      </c>
      <c r="Q42" s="34">
        <f>IF(OR(Composites!L42="",ROW()-Fenetre&lt;6),"",IF(INDEX(Composites!L:L,ROW()-Fenetre)="","",Composites!L42/INDEX(Composites!L:L,ROW()-Fenetre)-1))</f>
        <v/>
      </c>
      <c r="R42" s="34">
        <f>IF(OR(Composites!M42="",ROW()-Fenetre&lt;6),"",IF(INDEX(Composites!M:M,ROW()-Fenetre)="","",Composites!M42/INDEX(Composites!M:M,ROW()-Fenetre)-1))</f>
        <v/>
      </c>
      <c r="S42" s="34">
        <f>IF(OR(Composites!N42="",ROW()-Fenetre&lt;6),"",IF(INDEX(Composites!N:N,ROW()-Fenetre)="","",Composites!N42/INDEX(Composites!N:N,ROW()-Fenetre)-1))</f>
        <v/>
      </c>
      <c r="T42" s="34">
        <f>IF(OR(Composites!O42="",ROW()-Fenetre&lt;6),"",IF(INDEX(Composites!O:O,ROW()-Fenetre)="","",Composites!O42/INDEX(Composites!O:O,ROW()-Fenetre)-1))</f>
        <v/>
      </c>
      <c r="U42" s="34">
        <f>IF(OR(Composites!P42="",ROW()-Fenetre&lt;6),"",IF(INDEX(Composites!P:P,ROW()-Fenetre)="","",Composites!P42/INDEX(Composites!P:P,ROW()-Fenetre)-1))</f>
        <v/>
      </c>
      <c r="V42" s="34">
        <f>IF('Historique ajusté'!C42="","",'Historique ajusté'!C42/MAX('Historique ajusté'!C$6:C42)-1)</f>
        <v/>
      </c>
      <c r="W42" s="34">
        <f>IF('Historique ajusté'!D42="","",'Historique ajusté'!D42/MAX('Historique ajusté'!D$6:D42)-1)</f>
        <v/>
      </c>
      <c r="X42" s="34">
        <f>IF('Historique ajusté'!E42="","",'Historique ajusté'!E42/MAX('Historique ajusté'!E$6:E42)-1)</f>
        <v/>
      </c>
      <c r="Y42" s="34">
        <f>IF('Historique ajusté'!F42="","",'Historique ajusté'!F42/MAX('Historique ajusté'!F$6:F42)-1)</f>
        <v/>
      </c>
      <c r="Z42" s="34">
        <f>IF('Historique ajusté'!G42="","",'Historique ajusté'!G42/MAX('Historique ajusté'!G$6:G42)-1)</f>
        <v/>
      </c>
      <c r="AA42" s="34">
        <f>IF('Historique ajusté'!H42="","",'Historique ajusté'!H42/MAX('Historique ajusté'!H$6:H42)-1)</f>
        <v/>
      </c>
      <c r="AB42" s="34">
        <f>IF('Historique ajusté'!I42="","",'Historique ajusté'!I42/MAX('Historique ajusté'!I$6:I42)-1)</f>
        <v/>
      </c>
      <c r="AC42" s="34">
        <f>IF('Historique ajusté'!J42="","",'Historique ajusté'!J42/MAX('Historique ajusté'!J$6:J42)-1)</f>
        <v/>
      </c>
      <c r="AD42" s="34">
        <f>IF('Historique ajusté'!K42="","",'Historique ajusté'!K42/MAX('Historique ajusté'!K$6:K42)-1)</f>
        <v/>
      </c>
      <c r="AE42" s="34">
        <f>IF('Historique ajusté'!L42="","",'Historique ajusté'!L42/MAX('Historique ajusté'!L$6:L42)-1)</f>
        <v/>
      </c>
      <c r="AF42" s="34">
        <f>IF('Historique ajusté'!M42="","",'Historique ajusté'!M42/MAX('Historique ajusté'!M$6:M42)-1)</f>
        <v/>
      </c>
      <c r="AG42" s="34">
        <f>IF('Historique ajusté'!N42="","",'Historique ajusté'!N42/MAX('Historique ajusté'!N$6:N42)-1)</f>
        <v/>
      </c>
      <c r="AH42" s="34">
        <f>IF('Historique ajusté'!O42="","",'Historique ajusté'!O42/MAX('Historique ajusté'!O$6:O42)-1)</f>
        <v/>
      </c>
      <c r="AI42" s="34">
        <f>IF('Historique ajusté'!P42="","",'Historique ajusté'!P42/MAX('Historique ajusté'!P$6:P42)-1)</f>
        <v/>
      </c>
      <c r="AJ42" s="34">
        <f>IF(Composites!L42="","",Composites!L42/MAX(Composites!L$6:L42)-1)</f>
        <v/>
      </c>
      <c r="AK42" s="34">
        <f>IF(Composites!M42="","",Composites!M42/MAX(Composites!M$6:M42)-1)</f>
        <v/>
      </c>
      <c r="AL42" s="34">
        <f>IF(Composites!N42="","",Composites!N42/MAX(Composites!N$6:N42)-1)</f>
        <v/>
      </c>
      <c r="AM42" s="34">
        <f>IF(Composites!O42="","",Composites!O42/MAX(Composites!O$6:O42)-1)</f>
        <v/>
      </c>
      <c r="AN42" s="34">
        <f>IF(Composites!P42="","",Composites!P42/MAX(Composites!P$6:P42)-1)</f>
        <v/>
      </c>
    </row>
    <row r="43">
      <c r="B43" s="32">
        <f>'Historique ajusté'!B43</f>
        <v/>
      </c>
      <c r="C43" s="34">
        <f>IF(OR('Historique ajusté'!C43="",ROW()-Fenetre&lt;6),"",IF(INDEX('Historique ajusté'!C:C,ROW()-Fenetre)="","",'Historique ajusté'!C43/INDEX('Historique ajusté'!C:C,ROW()-Fenetre)-1))</f>
        <v/>
      </c>
      <c r="D43" s="34">
        <f>IF(OR('Historique ajusté'!D43="",ROW()-Fenetre&lt;6),"",IF(INDEX('Historique ajusté'!D:D,ROW()-Fenetre)="","",'Historique ajusté'!D43/INDEX('Historique ajusté'!D:D,ROW()-Fenetre)-1))</f>
        <v/>
      </c>
      <c r="E43" s="34">
        <f>IF(OR('Historique ajusté'!E43="",ROW()-Fenetre&lt;6),"",IF(INDEX('Historique ajusté'!E:E,ROW()-Fenetre)="","",'Historique ajusté'!E43/INDEX('Historique ajusté'!E:E,ROW()-Fenetre)-1))</f>
        <v/>
      </c>
      <c r="F43" s="34">
        <f>IF(OR('Historique ajusté'!F43="",ROW()-Fenetre&lt;6),"",IF(INDEX('Historique ajusté'!F:F,ROW()-Fenetre)="","",'Historique ajusté'!F43/INDEX('Historique ajusté'!F:F,ROW()-Fenetre)-1))</f>
        <v/>
      </c>
      <c r="G43" s="34">
        <f>IF(OR('Historique ajusté'!G43="",ROW()-Fenetre&lt;6),"",IF(INDEX('Historique ajusté'!G:G,ROW()-Fenetre)="","",'Historique ajusté'!G43/INDEX('Historique ajusté'!G:G,ROW()-Fenetre)-1))</f>
        <v/>
      </c>
      <c r="H43" s="34">
        <f>IF(OR('Historique ajusté'!H43="",ROW()-Fenetre&lt;6),"",IF(INDEX('Historique ajusté'!H:H,ROW()-Fenetre)="","",'Historique ajusté'!H43/INDEX('Historique ajusté'!H:H,ROW()-Fenetre)-1))</f>
        <v/>
      </c>
      <c r="I43" s="34">
        <f>IF(OR('Historique ajusté'!I43="",ROW()-Fenetre&lt;6),"",IF(INDEX('Historique ajusté'!I:I,ROW()-Fenetre)="","",'Historique ajusté'!I43/INDEX('Historique ajusté'!I:I,ROW()-Fenetre)-1))</f>
        <v/>
      </c>
      <c r="J43" s="34">
        <f>IF(OR('Historique ajusté'!J43="",ROW()-Fenetre&lt;6),"",IF(INDEX('Historique ajusté'!J:J,ROW()-Fenetre)="","",'Historique ajusté'!J43/INDEX('Historique ajusté'!J:J,ROW()-Fenetre)-1))</f>
        <v/>
      </c>
      <c r="K43" s="34">
        <f>IF(OR('Historique ajusté'!K43="",ROW()-Fenetre&lt;6),"",IF(INDEX('Historique ajusté'!K:K,ROW()-Fenetre)="","",'Historique ajusté'!K43/INDEX('Historique ajusté'!K:K,ROW()-Fenetre)-1))</f>
        <v/>
      </c>
      <c r="L43" s="34">
        <f>IF(OR('Historique ajusté'!L43="",ROW()-Fenetre&lt;6),"",IF(INDEX('Historique ajusté'!L:L,ROW()-Fenetre)="","",'Historique ajusté'!L43/INDEX('Historique ajusté'!L:L,ROW()-Fenetre)-1))</f>
        <v/>
      </c>
      <c r="M43" s="34">
        <f>IF(OR('Historique ajusté'!M43="",ROW()-Fenetre&lt;6),"",IF(INDEX('Historique ajusté'!M:M,ROW()-Fenetre)="","",'Historique ajusté'!M43/INDEX('Historique ajusté'!M:M,ROW()-Fenetre)-1))</f>
        <v/>
      </c>
      <c r="N43" s="34">
        <f>IF(OR('Historique ajusté'!N43="",ROW()-Fenetre&lt;6),"",IF(INDEX('Historique ajusté'!N:N,ROW()-Fenetre)="","",'Historique ajusté'!N43/INDEX('Historique ajusté'!N:N,ROW()-Fenetre)-1))</f>
        <v/>
      </c>
      <c r="O43" s="34">
        <f>IF(OR('Historique ajusté'!O43="",ROW()-Fenetre&lt;6),"",IF(INDEX('Historique ajusté'!O:O,ROW()-Fenetre)="","",'Historique ajusté'!O43/INDEX('Historique ajusté'!O:O,ROW()-Fenetre)-1))</f>
        <v/>
      </c>
      <c r="P43" s="34">
        <f>IF(OR('Historique ajusté'!P43="",ROW()-Fenetre&lt;6),"",IF(INDEX('Historique ajusté'!P:P,ROW()-Fenetre)="","",'Historique ajusté'!P43/INDEX('Historique ajusté'!P:P,ROW()-Fenetre)-1))</f>
        <v/>
      </c>
      <c r="Q43" s="34">
        <f>IF(OR(Composites!L43="",ROW()-Fenetre&lt;6),"",IF(INDEX(Composites!L:L,ROW()-Fenetre)="","",Composites!L43/INDEX(Composites!L:L,ROW()-Fenetre)-1))</f>
        <v/>
      </c>
      <c r="R43" s="34">
        <f>IF(OR(Composites!M43="",ROW()-Fenetre&lt;6),"",IF(INDEX(Composites!M:M,ROW()-Fenetre)="","",Composites!M43/INDEX(Composites!M:M,ROW()-Fenetre)-1))</f>
        <v/>
      </c>
      <c r="S43" s="34">
        <f>IF(OR(Composites!N43="",ROW()-Fenetre&lt;6),"",IF(INDEX(Composites!N:N,ROW()-Fenetre)="","",Composites!N43/INDEX(Composites!N:N,ROW()-Fenetre)-1))</f>
        <v/>
      </c>
      <c r="T43" s="34">
        <f>IF(OR(Composites!O43="",ROW()-Fenetre&lt;6),"",IF(INDEX(Composites!O:O,ROW()-Fenetre)="","",Composites!O43/INDEX(Composites!O:O,ROW()-Fenetre)-1))</f>
        <v/>
      </c>
      <c r="U43" s="34">
        <f>IF(OR(Composites!P43="",ROW()-Fenetre&lt;6),"",IF(INDEX(Composites!P:P,ROW()-Fenetre)="","",Composites!P43/INDEX(Composites!P:P,ROW()-Fenetre)-1))</f>
        <v/>
      </c>
      <c r="V43" s="34">
        <f>IF('Historique ajusté'!C43="","",'Historique ajusté'!C43/MAX('Historique ajusté'!C$6:C43)-1)</f>
        <v/>
      </c>
      <c r="W43" s="34">
        <f>IF('Historique ajusté'!D43="","",'Historique ajusté'!D43/MAX('Historique ajusté'!D$6:D43)-1)</f>
        <v/>
      </c>
      <c r="X43" s="34">
        <f>IF('Historique ajusté'!E43="","",'Historique ajusté'!E43/MAX('Historique ajusté'!E$6:E43)-1)</f>
        <v/>
      </c>
      <c r="Y43" s="34">
        <f>IF('Historique ajusté'!F43="","",'Historique ajusté'!F43/MAX('Historique ajusté'!F$6:F43)-1)</f>
        <v/>
      </c>
      <c r="Z43" s="34">
        <f>IF('Historique ajusté'!G43="","",'Historique ajusté'!G43/MAX('Historique ajusté'!G$6:G43)-1)</f>
        <v/>
      </c>
      <c r="AA43" s="34">
        <f>IF('Historique ajusté'!H43="","",'Historique ajusté'!H43/MAX('Historique ajusté'!H$6:H43)-1)</f>
        <v/>
      </c>
      <c r="AB43" s="34">
        <f>IF('Historique ajusté'!I43="","",'Historique ajusté'!I43/MAX('Historique ajusté'!I$6:I43)-1)</f>
        <v/>
      </c>
      <c r="AC43" s="34">
        <f>IF('Historique ajusté'!J43="","",'Historique ajusté'!J43/MAX('Historique ajusté'!J$6:J43)-1)</f>
        <v/>
      </c>
      <c r="AD43" s="34">
        <f>IF('Historique ajusté'!K43="","",'Historique ajusté'!K43/MAX('Historique ajusté'!K$6:K43)-1)</f>
        <v/>
      </c>
      <c r="AE43" s="34">
        <f>IF('Historique ajusté'!L43="","",'Historique ajusté'!L43/MAX('Historique ajusté'!L$6:L43)-1)</f>
        <v/>
      </c>
      <c r="AF43" s="34">
        <f>IF('Historique ajusté'!M43="","",'Historique ajusté'!M43/MAX('Historique ajusté'!M$6:M43)-1)</f>
        <v/>
      </c>
      <c r="AG43" s="34">
        <f>IF('Historique ajusté'!N43="","",'Historique ajusté'!N43/MAX('Historique ajusté'!N$6:N43)-1)</f>
        <v/>
      </c>
      <c r="AH43" s="34">
        <f>IF('Historique ajusté'!O43="","",'Historique ajusté'!O43/MAX('Historique ajusté'!O$6:O43)-1)</f>
        <v/>
      </c>
      <c r="AI43" s="34">
        <f>IF('Historique ajusté'!P43="","",'Historique ajusté'!P43/MAX('Historique ajusté'!P$6:P43)-1)</f>
        <v/>
      </c>
      <c r="AJ43" s="34">
        <f>IF(Composites!L43="","",Composites!L43/MAX(Composites!L$6:L43)-1)</f>
        <v/>
      </c>
      <c r="AK43" s="34">
        <f>IF(Composites!M43="","",Composites!M43/MAX(Composites!M$6:M43)-1)</f>
        <v/>
      </c>
      <c r="AL43" s="34">
        <f>IF(Composites!N43="","",Composites!N43/MAX(Composites!N$6:N43)-1)</f>
        <v/>
      </c>
      <c r="AM43" s="34">
        <f>IF(Composites!O43="","",Composites!O43/MAX(Composites!O$6:O43)-1)</f>
        <v/>
      </c>
      <c r="AN43" s="34">
        <f>IF(Composites!P43="","",Composites!P43/MAX(Composites!P$6:P43)-1)</f>
        <v/>
      </c>
    </row>
    <row r="44">
      <c r="B44" s="32">
        <f>'Historique ajusté'!B44</f>
        <v/>
      </c>
      <c r="C44" s="34">
        <f>IF(OR('Historique ajusté'!C44="",ROW()-Fenetre&lt;6),"",IF(INDEX('Historique ajusté'!C:C,ROW()-Fenetre)="","",'Historique ajusté'!C44/INDEX('Historique ajusté'!C:C,ROW()-Fenetre)-1))</f>
        <v/>
      </c>
      <c r="D44" s="34">
        <f>IF(OR('Historique ajusté'!D44="",ROW()-Fenetre&lt;6),"",IF(INDEX('Historique ajusté'!D:D,ROW()-Fenetre)="","",'Historique ajusté'!D44/INDEX('Historique ajusté'!D:D,ROW()-Fenetre)-1))</f>
        <v/>
      </c>
      <c r="E44" s="34">
        <f>IF(OR('Historique ajusté'!E44="",ROW()-Fenetre&lt;6),"",IF(INDEX('Historique ajusté'!E:E,ROW()-Fenetre)="","",'Historique ajusté'!E44/INDEX('Historique ajusté'!E:E,ROW()-Fenetre)-1))</f>
        <v/>
      </c>
      <c r="F44" s="34">
        <f>IF(OR('Historique ajusté'!F44="",ROW()-Fenetre&lt;6),"",IF(INDEX('Historique ajusté'!F:F,ROW()-Fenetre)="","",'Historique ajusté'!F44/INDEX('Historique ajusté'!F:F,ROW()-Fenetre)-1))</f>
        <v/>
      </c>
      <c r="G44" s="34">
        <f>IF(OR('Historique ajusté'!G44="",ROW()-Fenetre&lt;6),"",IF(INDEX('Historique ajusté'!G:G,ROW()-Fenetre)="","",'Historique ajusté'!G44/INDEX('Historique ajusté'!G:G,ROW()-Fenetre)-1))</f>
        <v/>
      </c>
      <c r="H44" s="34">
        <f>IF(OR('Historique ajusté'!H44="",ROW()-Fenetre&lt;6),"",IF(INDEX('Historique ajusté'!H:H,ROW()-Fenetre)="","",'Historique ajusté'!H44/INDEX('Historique ajusté'!H:H,ROW()-Fenetre)-1))</f>
        <v/>
      </c>
      <c r="I44" s="34">
        <f>IF(OR('Historique ajusté'!I44="",ROW()-Fenetre&lt;6),"",IF(INDEX('Historique ajusté'!I:I,ROW()-Fenetre)="","",'Historique ajusté'!I44/INDEX('Historique ajusté'!I:I,ROW()-Fenetre)-1))</f>
        <v/>
      </c>
      <c r="J44" s="34">
        <f>IF(OR('Historique ajusté'!J44="",ROW()-Fenetre&lt;6),"",IF(INDEX('Historique ajusté'!J:J,ROW()-Fenetre)="","",'Historique ajusté'!J44/INDEX('Historique ajusté'!J:J,ROW()-Fenetre)-1))</f>
        <v/>
      </c>
      <c r="K44" s="34">
        <f>IF(OR('Historique ajusté'!K44="",ROW()-Fenetre&lt;6),"",IF(INDEX('Historique ajusté'!K:K,ROW()-Fenetre)="","",'Historique ajusté'!K44/INDEX('Historique ajusté'!K:K,ROW()-Fenetre)-1))</f>
        <v/>
      </c>
      <c r="L44" s="34">
        <f>IF(OR('Historique ajusté'!L44="",ROW()-Fenetre&lt;6),"",IF(INDEX('Historique ajusté'!L:L,ROW()-Fenetre)="","",'Historique ajusté'!L44/INDEX('Historique ajusté'!L:L,ROW()-Fenetre)-1))</f>
        <v/>
      </c>
      <c r="M44" s="34">
        <f>IF(OR('Historique ajusté'!M44="",ROW()-Fenetre&lt;6),"",IF(INDEX('Historique ajusté'!M:M,ROW()-Fenetre)="","",'Historique ajusté'!M44/INDEX('Historique ajusté'!M:M,ROW()-Fenetre)-1))</f>
        <v/>
      </c>
      <c r="N44" s="34">
        <f>IF(OR('Historique ajusté'!N44="",ROW()-Fenetre&lt;6),"",IF(INDEX('Historique ajusté'!N:N,ROW()-Fenetre)="","",'Historique ajusté'!N44/INDEX('Historique ajusté'!N:N,ROW()-Fenetre)-1))</f>
        <v/>
      </c>
      <c r="O44" s="34">
        <f>IF(OR('Historique ajusté'!O44="",ROW()-Fenetre&lt;6),"",IF(INDEX('Historique ajusté'!O:O,ROW()-Fenetre)="","",'Historique ajusté'!O44/INDEX('Historique ajusté'!O:O,ROW()-Fenetre)-1))</f>
        <v/>
      </c>
      <c r="P44" s="34">
        <f>IF(OR('Historique ajusté'!P44="",ROW()-Fenetre&lt;6),"",IF(INDEX('Historique ajusté'!P:P,ROW()-Fenetre)="","",'Historique ajusté'!P44/INDEX('Historique ajusté'!P:P,ROW()-Fenetre)-1))</f>
        <v/>
      </c>
      <c r="Q44" s="34">
        <f>IF(OR(Composites!L44="",ROW()-Fenetre&lt;6),"",IF(INDEX(Composites!L:L,ROW()-Fenetre)="","",Composites!L44/INDEX(Composites!L:L,ROW()-Fenetre)-1))</f>
        <v/>
      </c>
      <c r="R44" s="34">
        <f>IF(OR(Composites!M44="",ROW()-Fenetre&lt;6),"",IF(INDEX(Composites!M:M,ROW()-Fenetre)="","",Composites!M44/INDEX(Composites!M:M,ROW()-Fenetre)-1))</f>
        <v/>
      </c>
      <c r="S44" s="34">
        <f>IF(OR(Composites!N44="",ROW()-Fenetre&lt;6),"",IF(INDEX(Composites!N:N,ROW()-Fenetre)="","",Composites!N44/INDEX(Composites!N:N,ROW()-Fenetre)-1))</f>
        <v/>
      </c>
      <c r="T44" s="34">
        <f>IF(OR(Composites!O44="",ROW()-Fenetre&lt;6),"",IF(INDEX(Composites!O:O,ROW()-Fenetre)="","",Composites!O44/INDEX(Composites!O:O,ROW()-Fenetre)-1))</f>
        <v/>
      </c>
      <c r="U44" s="34">
        <f>IF(OR(Composites!P44="",ROW()-Fenetre&lt;6),"",IF(INDEX(Composites!P:P,ROW()-Fenetre)="","",Composites!P44/INDEX(Composites!P:P,ROW()-Fenetre)-1))</f>
        <v/>
      </c>
      <c r="V44" s="34">
        <f>IF('Historique ajusté'!C44="","",'Historique ajusté'!C44/MAX('Historique ajusté'!C$6:C44)-1)</f>
        <v/>
      </c>
      <c r="W44" s="34">
        <f>IF('Historique ajusté'!D44="","",'Historique ajusté'!D44/MAX('Historique ajusté'!D$6:D44)-1)</f>
        <v/>
      </c>
      <c r="X44" s="34">
        <f>IF('Historique ajusté'!E44="","",'Historique ajusté'!E44/MAX('Historique ajusté'!E$6:E44)-1)</f>
        <v/>
      </c>
      <c r="Y44" s="34">
        <f>IF('Historique ajusté'!F44="","",'Historique ajusté'!F44/MAX('Historique ajusté'!F$6:F44)-1)</f>
        <v/>
      </c>
      <c r="Z44" s="34">
        <f>IF('Historique ajusté'!G44="","",'Historique ajusté'!G44/MAX('Historique ajusté'!G$6:G44)-1)</f>
        <v/>
      </c>
      <c r="AA44" s="34">
        <f>IF('Historique ajusté'!H44="","",'Historique ajusté'!H44/MAX('Historique ajusté'!H$6:H44)-1)</f>
        <v/>
      </c>
      <c r="AB44" s="34">
        <f>IF('Historique ajusté'!I44="","",'Historique ajusté'!I44/MAX('Historique ajusté'!I$6:I44)-1)</f>
        <v/>
      </c>
      <c r="AC44" s="34">
        <f>IF('Historique ajusté'!J44="","",'Historique ajusté'!J44/MAX('Historique ajusté'!J$6:J44)-1)</f>
        <v/>
      </c>
      <c r="AD44" s="34">
        <f>IF('Historique ajusté'!K44="","",'Historique ajusté'!K44/MAX('Historique ajusté'!K$6:K44)-1)</f>
        <v/>
      </c>
      <c r="AE44" s="34">
        <f>IF('Historique ajusté'!L44="","",'Historique ajusté'!L44/MAX('Historique ajusté'!L$6:L44)-1)</f>
        <v/>
      </c>
      <c r="AF44" s="34">
        <f>IF('Historique ajusté'!M44="","",'Historique ajusté'!M44/MAX('Historique ajusté'!M$6:M44)-1)</f>
        <v/>
      </c>
      <c r="AG44" s="34">
        <f>IF('Historique ajusté'!N44="","",'Historique ajusté'!N44/MAX('Historique ajusté'!N$6:N44)-1)</f>
        <v/>
      </c>
      <c r="AH44" s="34">
        <f>IF('Historique ajusté'!O44="","",'Historique ajusté'!O44/MAX('Historique ajusté'!O$6:O44)-1)</f>
        <v/>
      </c>
      <c r="AI44" s="34">
        <f>IF('Historique ajusté'!P44="","",'Historique ajusté'!P44/MAX('Historique ajusté'!P$6:P44)-1)</f>
        <v/>
      </c>
      <c r="AJ44" s="34">
        <f>IF(Composites!L44="","",Composites!L44/MAX(Composites!L$6:L44)-1)</f>
        <v/>
      </c>
      <c r="AK44" s="34">
        <f>IF(Composites!M44="","",Composites!M44/MAX(Composites!M$6:M44)-1)</f>
        <v/>
      </c>
      <c r="AL44" s="34">
        <f>IF(Composites!N44="","",Composites!N44/MAX(Composites!N$6:N44)-1)</f>
        <v/>
      </c>
      <c r="AM44" s="34">
        <f>IF(Composites!O44="","",Composites!O44/MAX(Composites!O$6:O44)-1)</f>
        <v/>
      </c>
      <c r="AN44" s="34">
        <f>IF(Composites!P44="","",Composites!P44/MAX(Composites!P$6:P44)-1)</f>
        <v/>
      </c>
    </row>
    <row r="45">
      <c r="B45" s="32">
        <f>'Historique ajusté'!B45</f>
        <v/>
      </c>
      <c r="C45" s="34">
        <f>IF(OR('Historique ajusté'!C45="",ROW()-Fenetre&lt;6),"",IF(INDEX('Historique ajusté'!C:C,ROW()-Fenetre)="","",'Historique ajusté'!C45/INDEX('Historique ajusté'!C:C,ROW()-Fenetre)-1))</f>
        <v/>
      </c>
      <c r="D45" s="34">
        <f>IF(OR('Historique ajusté'!D45="",ROW()-Fenetre&lt;6),"",IF(INDEX('Historique ajusté'!D:D,ROW()-Fenetre)="","",'Historique ajusté'!D45/INDEX('Historique ajusté'!D:D,ROW()-Fenetre)-1))</f>
        <v/>
      </c>
      <c r="E45" s="34">
        <f>IF(OR('Historique ajusté'!E45="",ROW()-Fenetre&lt;6),"",IF(INDEX('Historique ajusté'!E:E,ROW()-Fenetre)="","",'Historique ajusté'!E45/INDEX('Historique ajusté'!E:E,ROW()-Fenetre)-1))</f>
        <v/>
      </c>
      <c r="F45" s="34">
        <f>IF(OR('Historique ajusté'!F45="",ROW()-Fenetre&lt;6),"",IF(INDEX('Historique ajusté'!F:F,ROW()-Fenetre)="","",'Historique ajusté'!F45/INDEX('Historique ajusté'!F:F,ROW()-Fenetre)-1))</f>
        <v/>
      </c>
      <c r="G45" s="34">
        <f>IF(OR('Historique ajusté'!G45="",ROW()-Fenetre&lt;6),"",IF(INDEX('Historique ajusté'!G:G,ROW()-Fenetre)="","",'Historique ajusté'!G45/INDEX('Historique ajusté'!G:G,ROW()-Fenetre)-1))</f>
        <v/>
      </c>
      <c r="H45" s="34">
        <f>IF(OR('Historique ajusté'!H45="",ROW()-Fenetre&lt;6),"",IF(INDEX('Historique ajusté'!H:H,ROW()-Fenetre)="","",'Historique ajusté'!H45/INDEX('Historique ajusté'!H:H,ROW()-Fenetre)-1))</f>
        <v/>
      </c>
      <c r="I45" s="34">
        <f>IF(OR('Historique ajusté'!I45="",ROW()-Fenetre&lt;6),"",IF(INDEX('Historique ajusté'!I:I,ROW()-Fenetre)="","",'Historique ajusté'!I45/INDEX('Historique ajusté'!I:I,ROW()-Fenetre)-1))</f>
        <v/>
      </c>
      <c r="J45" s="34">
        <f>IF(OR('Historique ajusté'!J45="",ROW()-Fenetre&lt;6),"",IF(INDEX('Historique ajusté'!J:J,ROW()-Fenetre)="","",'Historique ajusté'!J45/INDEX('Historique ajusté'!J:J,ROW()-Fenetre)-1))</f>
        <v/>
      </c>
      <c r="K45" s="34">
        <f>IF(OR('Historique ajusté'!K45="",ROW()-Fenetre&lt;6),"",IF(INDEX('Historique ajusté'!K:K,ROW()-Fenetre)="","",'Historique ajusté'!K45/INDEX('Historique ajusté'!K:K,ROW()-Fenetre)-1))</f>
        <v/>
      </c>
      <c r="L45" s="34">
        <f>IF(OR('Historique ajusté'!L45="",ROW()-Fenetre&lt;6),"",IF(INDEX('Historique ajusté'!L:L,ROW()-Fenetre)="","",'Historique ajusté'!L45/INDEX('Historique ajusté'!L:L,ROW()-Fenetre)-1))</f>
        <v/>
      </c>
      <c r="M45" s="34">
        <f>IF(OR('Historique ajusté'!M45="",ROW()-Fenetre&lt;6),"",IF(INDEX('Historique ajusté'!M:M,ROW()-Fenetre)="","",'Historique ajusté'!M45/INDEX('Historique ajusté'!M:M,ROW()-Fenetre)-1))</f>
        <v/>
      </c>
      <c r="N45" s="34">
        <f>IF(OR('Historique ajusté'!N45="",ROW()-Fenetre&lt;6),"",IF(INDEX('Historique ajusté'!N:N,ROW()-Fenetre)="","",'Historique ajusté'!N45/INDEX('Historique ajusté'!N:N,ROW()-Fenetre)-1))</f>
        <v/>
      </c>
      <c r="O45" s="34">
        <f>IF(OR('Historique ajusté'!O45="",ROW()-Fenetre&lt;6),"",IF(INDEX('Historique ajusté'!O:O,ROW()-Fenetre)="","",'Historique ajusté'!O45/INDEX('Historique ajusté'!O:O,ROW()-Fenetre)-1))</f>
        <v/>
      </c>
      <c r="P45" s="34">
        <f>IF(OR('Historique ajusté'!P45="",ROW()-Fenetre&lt;6),"",IF(INDEX('Historique ajusté'!P:P,ROW()-Fenetre)="","",'Historique ajusté'!P45/INDEX('Historique ajusté'!P:P,ROW()-Fenetre)-1))</f>
        <v/>
      </c>
      <c r="Q45" s="34">
        <f>IF(OR(Composites!L45="",ROW()-Fenetre&lt;6),"",IF(INDEX(Composites!L:L,ROW()-Fenetre)="","",Composites!L45/INDEX(Composites!L:L,ROW()-Fenetre)-1))</f>
        <v/>
      </c>
      <c r="R45" s="34">
        <f>IF(OR(Composites!M45="",ROW()-Fenetre&lt;6),"",IF(INDEX(Composites!M:M,ROW()-Fenetre)="","",Composites!M45/INDEX(Composites!M:M,ROW()-Fenetre)-1))</f>
        <v/>
      </c>
      <c r="S45" s="34">
        <f>IF(OR(Composites!N45="",ROW()-Fenetre&lt;6),"",IF(INDEX(Composites!N:N,ROW()-Fenetre)="","",Composites!N45/INDEX(Composites!N:N,ROW()-Fenetre)-1))</f>
        <v/>
      </c>
      <c r="T45" s="34">
        <f>IF(OR(Composites!O45="",ROW()-Fenetre&lt;6),"",IF(INDEX(Composites!O:O,ROW()-Fenetre)="","",Composites!O45/INDEX(Composites!O:O,ROW()-Fenetre)-1))</f>
        <v/>
      </c>
      <c r="U45" s="34">
        <f>IF(OR(Composites!P45="",ROW()-Fenetre&lt;6),"",IF(INDEX(Composites!P:P,ROW()-Fenetre)="","",Composites!P45/INDEX(Composites!P:P,ROW()-Fenetre)-1))</f>
        <v/>
      </c>
      <c r="V45" s="34">
        <f>IF('Historique ajusté'!C45="","",'Historique ajusté'!C45/MAX('Historique ajusté'!C$6:C45)-1)</f>
        <v/>
      </c>
      <c r="W45" s="34">
        <f>IF('Historique ajusté'!D45="","",'Historique ajusté'!D45/MAX('Historique ajusté'!D$6:D45)-1)</f>
        <v/>
      </c>
      <c r="X45" s="34">
        <f>IF('Historique ajusté'!E45="","",'Historique ajusté'!E45/MAX('Historique ajusté'!E$6:E45)-1)</f>
        <v/>
      </c>
      <c r="Y45" s="34">
        <f>IF('Historique ajusté'!F45="","",'Historique ajusté'!F45/MAX('Historique ajusté'!F$6:F45)-1)</f>
        <v/>
      </c>
      <c r="Z45" s="34">
        <f>IF('Historique ajusté'!G45="","",'Historique ajusté'!G45/MAX('Historique ajusté'!G$6:G45)-1)</f>
        <v/>
      </c>
      <c r="AA45" s="34">
        <f>IF('Historique ajusté'!H45="","",'Historique ajusté'!H45/MAX('Historique ajusté'!H$6:H45)-1)</f>
        <v/>
      </c>
      <c r="AB45" s="34">
        <f>IF('Historique ajusté'!I45="","",'Historique ajusté'!I45/MAX('Historique ajusté'!I$6:I45)-1)</f>
        <v/>
      </c>
      <c r="AC45" s="34">
        <f>IF('Historique ajusté'!J45="","",'Historique ajusté'!J45/MAX('Historique ajusté'!J$6:J45)-1)</f>
        <v/>
      </c>
      <c r="AD45" s="34">
        <f>IF('Historique ajusté'!K45="","",'Historique ajusté'!K45/MAX('Historique ajusté'!K$6:K45)-1)</f>
        <v/>
      </c>
      <c r="AE45" s="34">
        <f>IF('Historique ajusté'!L45="","",'Historique ajusté'!L45/MAX('Historique ajusté'!L$6:L45)-1)</f>
        <v/>
      </c>
      <c r="AF45" s="34">
        <f>IF('Historique ajusté'!M45="","",'Historique ajusté'!M45/MAX('Historique ajusté'!M$6:M45)-1)</f>
        <v/>
      </c>
      <c r="AG45" s="34">
        <f>IF('Historique ajusté'!N45="","",'Historique ajusté'!N45/MAX('Historique ajusté'!N$6:N45)-1)</f>
        <v/>
      </c>
      <c r="AH45" s="34">
        <f>IF('Historique ajusté'!O45="","",'Historique ajusté'!O45/MAX('Historique ajusté'!O$6:O45)-1)</f>
        <v/>
      </c>
      <c r="AI45" s="34">
        <f>IF('Historique ajusté'!P45="","",'Historique ajusté'!P45/MAX('Historique ajusté'!P$6:P45)-1)</f>
        <v/>
      </c>
      <c r="AJ45" s="34">
        <f>IF(Composites!L45="","",Composites!L45/MAX(Composites!L$6:L45)-1)</f>
        <v/>
      </c>
      <c r="AK45" s="34">
        <f>IF(Composites!M45="","",Composites!M45/MAX(Composites!M$6:M45)-1)</f>
        <v/>
      </c>
      <c r="AL45" s="34">
        <f>IF(Composites!N45="","",Composites!N45/MAX(Composites!N$6:N45)-1)</f>
        <v/>
      </c>
      <c r="AM45" s="34">
        <f>IF(Composites!O45="","",Composites!O45/MAX(Composites!O$6:O45)-1)</f>
        <v/>
      </c>
      <c r="AN45" s="34">
        <f>IF(Composites!P45="","",Composites!P45/MAX(Composites!P$6:P45)-1)</f>
        <v/>
      </c>
    </row>
    <row r="46">
      <c r="B46" s="32">
        <f>'Historique ajusté'!B46</f>
        <v/>
      </c>
      <c r="C46" s="34">
        <f>IF(OR('Historique ajusté'!C46="",ROW()-Fenetre&lt;6),"",IF(INDEX('Historique ajusté'!C:C,ROW()-Fenetre)="","",'Historique ajusté'!C46/INDEX('Historique ajusté'!C:C,ROW()-Fenetre)-1))</f>
        <v/>
      </c>
      <c r="D46" s="34">
        <f>IF(OR('Historique ajusté'!D46="",ROW()-Fenetre&lt;6),"",IF(INDEX('Historique ajusté'!D:D,ROW()-Fenetre)="","",'Historique ajusté'!D46/INDEX('Historique ajusté'!D:D,ROW()-Fenetre)-1))</f>
        <v/>
      </c>
      <c r="E46" s="34">
        <f>IF(OR('Historique ajusté'!E46="",ROW()-Fenetre&lt;6),"",IF(INDEX('Historique ajusté'!E:E,ROW()-Fenetre)="","",'Historique ajusté'!E46/INDEX('Historique ajusté'!E:E,ROW()-Fenetre)-1))</f>
        <v/>
      </c>
      <c r="F46" s="34">
        <f>IF(OR('Historique ajusté'!F46="",ROW()-Fenetre&lt;6),"",IF(INDEX('Historique ajusté'!F:F,ROW()-Fenetre)="","",'Historique ajusté'!F46/INDEX('Historique ajusté'!F:F,ROW()-Fenetre)-1))</f>
        <v/>
      </c>
      <c r="G46" s="34">
        <f>IF(OR('Historique ajusté'!G46="",ROW()-Fenetre&lt;6),"",IF(INDEX('Historique ajusté'!G:G,ROW()-Fenetre)="","",'Historique ajusté'!G46/INDEX('Historique ajusté'!G:G,ROW()-Fenetre)-1))</f>
        <v/>
      </c>
      <c r="H46" s="34">
        <f>IF(OR('Historique ajusté'!H46="",ROW()-Fenetre&lt;6),"",IF(INDEX('Historique ajusté'!H:H,ROW()-Fenetre)="","",'Historique ajusté'!H46/INDEX('Historique ajusté'!H:H,ROW()-Fenetre)-1))</f>
        <v/>
      </c>
      <c r="I46" s="34">
        <f>IF(OR('Historique ajusté'!I46="",ROW()-Fenetre&lt;6),"",IF(INDEX('Historique ajusté'!I:I,ROW()-Fenetre)="","",'Historique ajusté'!I46/INDEX('Historique ajusté'!I:I,ROW()-Fenetre)-1))</f>
        <v/>
      </c>
      <c r="J46" s="34">
        <f>IF(OR('Historique ajusté'!J46="",ROW()-Fenetre&lt;6),"",IF(INDEX('Historique ajusté'!J:J,ROW()-Fenetre)="","",'Historique ajusté'!J46/INDEX('Historique ajusté'!J:J,ROW()-Fenetre)-1))</f>
        <v/>
      </c>
      <c r="K46" s="34">
        <f>IF(OR('Historique ajusté'!K46="",ROW()-Fenetre&lt;6),"",IF(INDEX('Historique ajusté'!K:K,ROW()-Fenetre)="","",'Historique ajusté'!K46/INDEX('Historique ajusté'!K:K,ROW()-Fenetre)-1))</f>
        <v/>
      </c>
      <c r="L46" s="34">
        <f>IF(OR('Historique ajusté'!L46="",ROW()-Fenetre&lt;6),"",IF(INDEX('Historique ajusté'!L:L,ROW()-Fenetre)="","",'Historique ajusté'!L46/INDEX('Historique ajusté'!L:L,ROW()-Fenetre)-1))</f>
        <v/>
      </c>
      <c r="M46" s="34">
        <f>IF(OR('Historique ajusté'!M46="",ROW()-Fenetre&lt;6),"",IF(INDEX('Historique ajusté'!M:M,ROW()-Fenetre)="","",'Historique ajusté'!M46/INDEX('Historique ajusté'!M:M,ROW()-Fenetre)-1))</f>
        <v/>
      </c>
      <c r="N46" s="34">
        <f>IF(OR('Historique ajusté'!N46="",ROW()-Fenetre&lt;6),"",IF(INDEX('Historique ajusté'!N:N,ROW()-Fenetre)="","",'Historique ajusté'!N46/INDEX('Historique ajusté'!N:N,ROW()-Fenetre)-1))</f>
        <v/>
      </c>
      <c r="O46" s="34">
        <f>IF(OR('Historique ajusté'!O46="",ROW()-Fenetre&lt;6),"",IF(INDEX('Historique ajusté'!O:O,ROW()-Fenetre)="","",'Historique ajusté'!O46/INDEX('Historique ajusté'!O:O,ROW()-Fenetre)-1))</f>
        <v/>
      </c>
      <c r="P46" s="34">
        <f>IF(OR('Historique ajusté'!P46="",ROW()-Fenetre&lt;6),"",IF(INDEX('Historique ajusté'!P:P,ROW()-Fenetre)="","",'Historique ajusté'!P46/INDEX('Historique ajusté'!P:P,ROW()-Fenetre)-1))</f>
        <v/>
      </c>
      <c r="Q46" s="34">
        <f>IF(OR(Composites!L46="",ROW()-Fenetre&lt;6),"",IF(INDEX(Composites!L:L,ROW()-Fenetre)="","",Composites!L46/INDEX(Composites!L:L,ROW()-Fenetre)-1))</f>
        <v/>
      </c>
      <c r="R46" s="34">
        <f>IF(OR(Composites!M46="",ROW()-Fenetre&lt;6),"",IF(INDEX(Composites!M:M,ROW()-Fenetre)="","",Composites!M46/INDEX(Composites!M:M,ROW()-Fenetre)-1))</f>
        <v/>
      </c>
      <c r="S46" s="34">
        <f>IF(OR(Composites!N46="",ROW()-Fenetre&lt;6),"",IF(INDEX(Composites!N:N,ROW()-Fenetre)="","",Composites!N46/INDEX(Composites!N:N,ROW()-Fenetre)-1))</f>
        <v/>
      </c>
      <c r="T46" s="34">
        <f>IF(OR(Composites!O46="",ROW()-Fenetre&lt;6),"",IF(INDEX(Composites!O:O,ROW()-Fenetre)="","",Composites!O46/INDEX(Composites!O:O,ROW()-Fenetre)-1))</f>
        <v/>
      </c>
      <c r="U46" s="34">
        <f>IF(OR(Composites!P46="",ROW()-Fenetre&lt;6),"",IF(INDEX(Composites!P:P,ROW()-Fenetre)="","",Composites!P46/INDEX(Composites!P:P,ROW()-Fenetre)-1))</f>
        <v/>
      </c>
      <c r="V46" s="34">
        <f>IF('Historique ajusté'!C46="","",'Historique ajusté'!C46/MAX('Historique ajusté'!C$6:C46)-1)</f>
        <v/>
      </c>
      <c r="W46" s="34">
        <f>IF('Historique ajusté'!D46="","",'Historique ajusté'!D46/MAX('Historique ajusté'!D$6:D46)-1)</f>
        <v/>
      </c>
      <c r="X46" s="34">
        <f>IF('Historique ajusté'!E46="","",'Historique ajusté'!E46/MAX('Historique ajusté'!E$6:E46)-1)</f>
        <v/>
      </c>
      <c r="Y46" s="34">
        <f>IF('Historique ajusté'!F46="","",'Historique ajusté'!F46/MAX('Historique ajusté'!F$6:F46)-1)</f>
        <v/>
      </c>
      <c r="Z46" s="34">
        <f>IF('Historique ajusté'!G46="","",'Historique ajusté'!G46/MAX('Historique ajusté'!G$6:G46)-1)</f>
        <v/>
      </c>
      <c r="AA46" s="34">
        <f>IF('Historique ajusté'!H46="","",'Historique ajusté'!H46/MAX('Historique ajusté'!H$6:H46)-1)</f>
        <v/>
      </c>
      <c r="AB46" s="34">
        <f>IF('Historique ajusté'!I46="","",'Historique ajusté'!I46/MAX('Historique ajusté'!I$6:I46)-1)</f>
        <v/>
      </c>
      <c r="AC46" s="34">
        <f>IF('Historique ajusté'!J46="","",'Historique ajusté'!J46/MAX('Historique ajusté'!J$6:J46)-1)</f>
        <v/>
      </c>
      <c r="AD46" s="34">
        <f>IF('Historique ajusté'!K46="","",'Historique ajusté'!K46/MAX('Historique ajusté'!K$6:K46)-1)</f>
        <v/>
      </c>
      <c r="AE46" s="34">
        <f>IF('Historique ajusté'!L46="","",'Historique ajusté'!L46/MAX('Historique ajusté'!L$6:L46)-1)</f>
        <v/>
      </c>
      <c r="AF46" s="34">
        <f>IF('Historique ajusté'!M46="","",'Historique ajusté'!M46/MAX('Historique ajusté'!M$6:M46)-1)</f>
        <v/>
      </c>
      <c r="AG46" s="34">
        <f>IF('Historique ajusté'!N46="","",'Historique ajusté'!N46/MAX('Historique ajusté'!N$6:N46)-1)</f>
        <v/>
      </c>
      <c r="AH46" s="34">
        <f>IF('Historique ajusté'!O46="","",'Historique ajusté'!O46/MAX('Historique ajusté'!O$6:O46)-1)</f>
        <v/>
      </c>
      <c r="AI46" s="34">
        <f>IF('Historique ajusté'!P46="","",'Historique ajusté'!P46/MAX('Historique ajusté'!P$6:P46)-1)</f>
        <v/>
      </c>
      <c r="AJ46" s="34">
        <f>IF(Composites!L46="","",Composites!L46/MAX(Composites!L$6:L46)-1)</f>
        <v/>
      </c>
      <c r="AK46" s="34">
        <f>IF(Composites!M46="","",Composites!M46/MAX(Composites!M$6:M46)-1)</f>
        <v/>
      </c>
      <c r="AL46" s="34">
        <f>IF(Composites!N46="","",Composites!N46/MAX(Composites!N$6:N46)-1)</f>
        <v/>
      </c>
      <c r="AM46" s="34">
        <f>IF(Composites!O46="","",Composites!O46/MAX(Composites!O$6:O46)-1)</f>
        <v/>
      </c>
      <c r="AN46" s="34">
        <f>IF(Composites!P46="","",Composites!P46/MAX(Composites!P$6:P46)-1)</f>
        <v/>
      </c>
    </row>
    <row r="47">
      <c r="B47" s="32">
        <f>'Historique ajusté'!B47</f>
        <v/>
      </c>
      <c r="C47" s="34">
        <f>IF(OR('Historique ajusté'!C47="",ROW()-Fenetre&lt;6),"",IF(INDEX('Historique ajusté'!C:C,ROW()-Fenetre)="","",'Historique ajusté'!C47/INDEX('Historique ajusté'!C:C,ROW()-Fenetre)-1))</f>
        <v/>
      </c>
      <c r="D47" s="34">
        <f>IF(OR('Historique ajusté'!D47="",ROW()-Fenetre&lt;6),"",IF(INDEX('Historique ajusté'!D:D,ROW()-Fenetre)="","",'Historique ajusté'!D47/INDEX('Historique ajusté'!D:D,ROW()-Fenetre)-1))</f>
        <v/>
      </c>
      <c r="E47" s="34">
        <f>IF(OR('Historique ajusté'!E47="",ROW()-Fenetre&lt;6),"",IF(INDEX('Historique ajusté'!E:E,ROW()-Fenetre)="","",'Historique ajusté'!E47/INDEX('Historique ajusté'!E:E,ROW()-Fenetre)-1))</f>
        <v/>
      </c>
      <c r="F47" s="34">
        <f>IF(OR('Historique ajusté'!F47="",ROW()-Fenetre&lt;6),"",IF(INDEX('Historique ajusté'!F:F,ROW()-Fenetre)="","",'Historique ajusté'!F47/INDEX('Historique ajusté'!F:F,ROW()-Fenetre)-1))</f>
        <v/>
      </c>
      <c r="G47" s="34">
        <f>IF(OR('Historique ajusté'!G47="",ROW()-Fenetre&lt;6),"",IF(INDEX('Historique ajusté'!G:G,ROW()-Fenetre)="","",'Historique ajusté'!G47/INDEX('Historique ajusté'!G:G,ROW()-Fenetre)-1))</f>
        <v/>
      </c>
      <c r="H47" s="34">
        <f>IF(OR('Historique ajusté'!H47="",ROW()-Fenetre&lt;6),"",IF(INDEX('Historique ajusté'!H:H,ROW()-Fenetre)="","",'Historique ajusté'!H47/INDEX('Historique ajusté'!H:H,ROW()-Fenetre)-1))</f>
        <v/>
      </c>
      <c r="I47" s="34">
        <f>IF(OR('Historique ajusté'!I47="",ROW()-Fenetre&lt;6),"",IF(INDEX('Historique ajusté'!I:I,ROW()-Fenetre)="","",'Historique ajusté'!I47/INDEX('Historique ajusté'!I:I,ROW()-Fenetre)-1))</f>
        <v/>
      </c>
      <c r="J47" s="34">
        <f>IF(OR('Historique ajusté'!J47="",ROW()-Fenetre&lt;6),"",IF(INDEX('Historique ajusté'!J:J,ROW()-Fenetre)="","",'Historique ajusté'!J47/INDEX('Historique ajusté'!J:J,ROW()-Fenetre)-1))</f>
        <v/>
      </c>
      <c r="K47" s="34">
        <f>IF(OR('Historique ajusté'!K47="",ROW()-Fenetre&lt;6),"",IF(INDEX('Historique ajusté'!K:K,ROW()-Fenetre)="","",'Historique ajusté'!K47/INDEX('Historique ajusté'!K:K,ROW()-Fenetre)-1))</f>
        <v/>
      </c>
      <c r="L47" s="34">
        <f>IF(OR('Historique ajusté'!L47="",ROW()-Fenetre&lt;6),"",IF(INDEX('Historique ajusté'!L:L,ROW()-Fenetre)="","",'Historique ajusté'!L47/INDEX('Historique ajusté'!L:L,ROW()-Fenetre)-1))</f>
        <v/>
      </c>
      <c r="M47" s="34">
        <f>IF(OR('Historique ajusté'!M47="",ROW()-Fenetre&lt;6),"",IF(INDEX('Historique ajusté'!M:M,ROW()-Fenetre)="","",'Historique ajusté'!M47/INDEX('Historique ajusté'!M:M,ROW()-Fenetre)-1))</f>
        <v/>
      </c>
      <c r="N47" s="34">
        <f>IF(OR('Historique ajusté'!N47="",ROW()-Fenetre&lt;6),"",IF(INDEX('Historique ajusté'!N:N,ROW()-Fenetre)="","",'Historique ajusté'!N47/INDEX('Historique ajusté'!N:N,ROW()-Fenetre)-1))</f>
        <v/>
      </c>
      <c r="O47" s="34">
        <f>IF(OR('Historique ajusté'!O47="",ROW()-Fenetre&lt;6),"",IF(INDEX('Historique ajusté'!O:O,ROW()-Fenetre)="","",'Historique ajusté'!O47/INDEX('Historique ajusté'!O:O,ROW()-Fenetre)-1))</f>
        <v/>
      </c>
      <c r="P47" s="34">
        <f>IF(OR('Historique ajusté'!P47="",ROW()-Fenetre&lt;6),"",IF(INDEX('Historique ajusté'!P:P,ROW()-Fenetre)="","",'Historique ajusté'!P47/INDEX('Historique ajusté'!P:P,ROW()-Fenetre)-1))</f>
        <v/>
      </c>
      <c r="Q47" s="34">
        <f>IF(OR(Composites!L47="",ROW()-Fenetre&lt;6),"",IF(INDEX(Composites!L:L,ROW()-Fenetre)="","",Composites!L47/INDEX(Composites!L:L,ROW()-Fenetre)-1))</f>
        <v/>
      </c>
      <c r="R47" s="34">
        <f>IF(OR(Composites!M47="",ROW()-Fenetre&lt;6),"",IF(INDEX(Composites!M:M,ROW()-Fenetre)="","",Composites!M47/INDEX(Composites!M:M,ROW()-Fenetre)-1))</f>
        <v/>
      </c>
      <c r="S47" s="34">
        <f>IF(OR(Composites!N47="",ROW()-Fenetre&lt;6),"",IF(INDEX(Composites!N:N,ROW()-Fenetre)="","",Composites!N47/INDEX(Composites!N:N,ROW()-Fenetre)-1))</f>
        <v/>
      </c>
      <c r="T47" s="34">
        <f>IF(OR(Composites!O47="",ROW()-Fenetre&lt;6),"",IF(INDEX(Composites!O:O,ROW()-Fenetre)="","",Composites!O47/INDEX(Composites!O:O,ROW()-Fenetre)-1))</f>
        <v/>
      </c>
      <c r="U47" s="34">
        <f>IF(OR(Composites!P47="",ROW()-Fenetre&lt;6),"",IF(INDEX(Composites!P:P,ROW()-Fenetre)="","",Composites!P47/INDEX(Composites!P:P,ROW()-Fenetre)-1))</f>
        <v/>
      </c>
      <c r="V47" s="34">
        <f>IF('Historique ajusté'!C47="","",'Historique ajusté'!C47/MAX('Historique ajusté'!C$6:C47)-1)</f>
        <v/>
      </c>
      <c r="W47" s="34">
        <f>IF('Historique ajusté'!D47="","",'Historique ajusté'!D47/MAX('Historique ajusté'!D$6:D47)-1)</f>
        <v/>
      </c>
      <c r="X47" s="34">
        <f>IF('Historique ajusté'!E47="","",'Historique ajusté'!E47/MAX('Historique ajusté'!E$6:E47)-1)</f>
        <v/>
      </c>
      <c r="Y47" s="34">
        <f>IF('Historique ajusté'!F47="","",'Historique ajusté'!F47/MAX('Historique ajusté'!F$6:F47)-1)</f>
        <v/>
      </c>
      <c r="Z47" s="34">
        <f>IF('Historique ajusté'!G47="","",'Historique ajusté'!G47/MAX('Historique ajusté'!G$6:G47)-1)</f>
        <v/>
      </c>
      <c r="AA47" s="34">
        <f>IF('Historique ajusté'!H47="","",'Historique ajusté'!H47/MAX('Historique ajusté'!H$6:H47)-1)</f>
        <v/>
      </c>
      <c r="AB47" s="34">
        <f>IF('Historique ajusté'!I47="","",'Historique ajusté'!I47/MAX('Historique ajusté'!I$6:I47)-1)</f>
        <v/>
      </c>
      <c r="AC47" s="34">
        <f>IF('Historique ajusté'!J47="","",'Historique ajusté'!J47/MAX('Historique ajusté'!J$6:J47)-1)</f>
        <v/>
      </c>
      <c r="AD47" s="34">
        <f>IF('Historique ajusté'!K47="","",'Historique ajusté'!K47/MAX('Historique ajusté'!K$6:K47)-1)</f>
        <v/>
      </c>
      <c r="AE47" s="34">
        <f>IF('Historique ajusté'!L47="","",'Historique ajusté'!L47/MAX('Historique ajusté'!L$6:L47)-1)</f>
        <v/>
      </c>
      <c r="AF47" s="34">
        <f>IF('Historique ajusté'!M47="","",'Historique ajusté'!M47/MAX('Historique ajusté'!M$6:M47)-1)</f>
        <v/>
      </c>
      <c r="AG47" s="34">
        <f>IF('Historique ajusté'!N47="","",'Historique ajusté'!N47/MAX('Historique ajusté'!N$6:N47)-1)</f>
        <v/>
      </c>
      <c r="AH47" s="34">
        <f>IF('Historique ajusté'!O47="","",'Historique ajusté'!O47/MAX('Historique ajusté'!O$6:O47)-1)</f>
        <v/>
      </c>
      <c r="AI47" s="34">
        <f>IF('Historique ajusté'!P47="","",'Historique ajusté'!P47/MAX('Historique ajusté'!P$6:P47)-1)</f>
        <v/>
      </c>
      <c r="AJ47" s="34">
        <f>IF(Composites!L47="","",Composites!L47/MAX(Composites!L$6:L47)-1)</f>
        <v/>
      </c>
      <c r="AK47" s="34">
        <f>IF(Composites!M47="","",Composites!M47/MAX(Composites!M$6:M47)-1)</f>
        <v/>
      </c>
      <c r="AL47" s="34">
        <f>IF(Composites!N47="","",Composites!N47/MAX(Composites!N$6:N47)-1)</f>
        <v/>
      </c>
      <c r="AM47" s="34">
        <f>IF(Composites!O47="","",Composites!O47/MAX(Composites!O$6:O47)-1)</f>
        <v/>
      </c>
      <c r="AN47" s="34">
        <f>IF(Composites!P47="","",Composites!P47/MAX(Composites!P$6:P47)-1)</f>
        <v/>
      </c>
    </row>
    <row r="48">
      <c r="B48" s="32">
        <f>'Historique ajusté'!B48</f>
        <v/>
      </c>
      <c r="C48" s="34">
        <f>IF(OR('Historique ajusté'!C48="",ROW()-Fenetre&lt;6),"",IF(INDEX('Historique ajusté'!C:C,ROW()-Fenetre)="","",'Historique ajusté'!C48/INDEX('Historique ajusté'!C:C,ROW()-Fenetre)-1))</f>
        <v/>
      </c>
      <c r="D48" s="34">
        <f>IF(OR('Historique ajusté'!D48="",ROW()-Fenetre&lt;6),"",IF(INDEX('Historique ajusté'!D:D,ROW()-Fenetre)="","",'Historique ajusté'!D48/INDEX('Historique ajusté'!D:D,ROW()-Fenetre)-1))</f>
        <v/>
      </c>
      <c r="E48" s="34">
        <f>IF(OR('Historique ajusté'!E48="",ROW()-Fenetre&lt;6),"",IF(INDEX('Historique ajusté'!E:E,ROW()-Fenetre)="","",'Historique ajusté'!E48/INDEX('Historique ajusté'!E:E,ROW()-Fenetre)-1))</f>
        <v/>
      </c>
      <c r="F48" s="34">
        <f>IF(OR('Historique ajusté'!F48="",ROW()-Fenetre&lt;6),"",IF(INDEX('Historique ajusté'!F:F,ROW()-Fenetre)="","",'Historique ajusté'!F48/INDEX('Historique ajusté'!F:F,ROW()-Fenetre)-1))</f>
        <v/>
      </c>
      <c r="G48" s="34">
        <f>IF(OR('Historique ajusté'!G48="",ROW()-Fenetre&lt;6),"",IF(INDEX('Historique ajusté'!G:G,ROW()-Fenetre)="","",'Historique ajusté'!G48/INDEX('Historique ajusté'!G:G,ROW()-Fenetre)-1))</f>
        <v/>
      </c>
      <c r="H48" s="34">
        <f>IF(OR('Historique ajusté'!H48="",ROW()-Fenetre&lt;6),"",IF(INDEX('Historique ajusté'!H:H,ROW()-Fenetre)="","",'Historique ajusté'!H48/INDEX('Historique ajusté'!H:H,ROW()-Fenetre)-1))</f>
        <v/>
      </c>
      <c r="I48" s="34">
        <f>IF(OR('Historique ajusté'!I48="",ROW()-Fenetre&lt;6),"",IF(INDEX('Historique ajusté'!I:I,ROW()-Fenetre)="","",'Historique ajusté'!I48/INDEX('Historique ajusté'!I:I,ROW()-Fenetre)-1))</f>
        <v/>
      </c>
      <c r="J48" s="34">
        <f>IF(OR('Historique ajusté'!J48="",ROW()-Fenetre&lt;6),"",IF(INDEX('Historique ajusté'!J:J,ROW()-Fenetre)="","",'Historique ajusté'!J48/INDEX('Historique ajusté'!J:J,ROW()-Fenetre)-1))</f>
        <v/>
      </c>
      <c r="K48" s="34">
        <f>IF(OR('Historique ajusté'!K48="",ROW()-Fenetre&lt;6),"",IF(INDEX('Historique ajusté'!K:K,ROW()-Fenetre)="","",'Historique ajusté'!K48/INDEX('Historique ajusté'!K:K,ROW()-Fenetre)-1))</f>
        <v/>
      </c>
      <c r="L48" s="34">
        <f>IF(OR('Historique ajusté'!L48="",ROW()-Fenetre&lt;6),"",IF(INDEX('Historique ajusté'!L:L,ROW()-Fenetre)="","",'Historique ajusté'!L48/INDEX('Historique ajusté'!L:L,ROW()-Fenetre)-1))</f>
        <v/>
      </c>
      <c r="M48" s="34">
        <f>IF(OR('Historique ajusté'!M48="",ROW()-Fenetre&lt;6),"",IF(INDEX('Historique ajusté'!M:M,ROW()-Fenetre)="","",'Historique ajusté'!M48/INDEX('Historique ajusté'!M:M,ROW()-Fenetre)-1))</f>
        <v/>
      </c>
      <c r="N48" s="34">
        <f>IF(OR('Historique ajusté'!N48="",ROW()-Fenetre&lt;6),"",IF(INDEX('Historique ajusté'!N:N,ROW()-Fenetre)="","",'Historique ajusté'!N48/INDEX('Historique ajusté'!N:N,ROW()-Fenetre)-1))</f>
        <v/>
      </c>
      <c r="O48" s="34">
        <f>IF(OR('Historique ajusté'!O48="",ROW()-Fenetre&lt;6),"",IF(INDEX('Historique ajusté'!O:O,ROW()-Fenetre)="","",'Historique ajusté'!O48/INDEX('Historique ajusté'!O:O,ROW()-Fenetre)-1))</f>
        <v/>
      </c>
      <c r="P48" s="34">
        <f>IF(OR('Historique ajusté'!P48="",ROW()-Fenetre&lt;6),"",IF(INDEX('Historique ajusté'!P:P,ROW()-Fenetre)="","",'Historique ajusté'!P48/INDEX('Historique ajusté'!P:P,ROW()-Fenetre)-1))</f>
        <v/>
      </c>
      <c r="Q48" s="34">
        <f>IF(OR(Composites!L48="",ROW()-Fenetre&lt;6),"",IF(INDEX(Composites!L:L,ROW()-Fenetre)="","",Composites!L48/INDEX(Composites!L:L,ROW()-Fenetre)-1))</f>
        <v/>
      </c>
      <c r="R48" s="34">
        <f>IF(OR(Composites!M48="",ROW()-Fenetre&lt;6),"",IF(INDEX(Composites!M:M,ROW()-Fenetre)="","",Composites!M48/INDEX(Composites!M:M,ROW()-Fenetre)-1))</f>
        <v/>
      </c>
      <c r="S48" s="34">
        <f>IF(OR(Composites!N48="",ROW()-Fenetre&lt;6),"",IF(INDEX(Composites!N:N,ROW()-Fenetre)="","",Composites!N48/INDEX(Composites!N:N,ROW()-Fenetre)-1))</f>
        <v/>
      </c>
      <c r="T48" s="34">
        <f>IF(OR(Composites!O48="",ROW()-Fenetre&lt;6),"",IF(INDEX(Composites!O:O,ROW()-Fenetre)="","",Composites!O48/INDEX(Composites!O:O,ROW()-Fenetre)-1))</f>
        <v/>
      </c>
      <c r="U48" s="34">
        <f>IF(OR(Composites!P48="",ROW()-Fenetre&lt;6),"",IF(INDEX(Composites!P:P,ROW()-Fenetre)="","",Composites!P48/INDEX(Composites!P:P,ROW()-Fenetre)-1))</f>
        <v/>
      </c>
      <c r="V48" s="34">
        <f>IF('Historique ajusté'!C48="","",'Historique ajusté'!C48/MAX('Historique ajusté'!C$6:C48)-1)</f>
        <v/>
      </c>
      <c r="W48" s="34">
        <f>IF('Historique ajusté'!D48="","",'Historique ajusté'!D48/MAX('Historique ajusté'!D$6:D48)-1)</f>
        <v/>
      </c>
      <c r="X48" s="34">
        <f>IF('Historique ajusté'!E48="","",'Historique ajusté'!E48/MAX('Historique ajusté'!E$6:E48)-1)</f>
        <v/>
      </c>
      <c r="Y48" s="34">
        <f>IF('Historique ajusté'!F48="","",'Historique ajusté'!F48/MAX('Historique ajusté'!F$6:F48)-1)</f>
        <v/>
      </c>
      <c r="Z48" s="34">
        <f>IF('Historique ajusté'!G48="","",'Historique ajusté'!G48/MAX('Historique ajusté'!G$6:G48)-1)</f>
        <v/>
      </c>
      <c r="AA48" s="34">
        <f>IF('Historique ajusté'!H48="","",'Historique ajusté'!H48/MAX('Historique ajusté'!H$6:H48)-1)</f>
        <v/>
      </c>
      <c r="AB48" s="34">
        <f>IF('Historique ajusté'!I48="","",'Historique ajusté'!I48/MAX('Historique ajusté'!I$6:I48)-1)</f>
        <v/>
      </c>
      <c r="AC48" s="34">
        <f>IF('Historique ajusté'!J48="","",'Historique ajusté'!J48/MAX('Historique ajusté'!J$6:J48)-1)</f>
        <v/>
      </c>
      <c r="AD48" s="34">
        <f>IF('Historique ajusté'!K48="","",'Historique ajusté'!K48/MAX('Historique ajusté'!K$6:K48)-1)</f>
        <v/>
      </c>
      <c r="AE48" s="34">
        <f>IF('Historique ajusté'!L48="","",'Historique ajusté'!L48/MAX('Historique ajusté'!L$6:L48)-1)</f>
        <v/>
      </c>
      <c r="AF48" s="34">
        <f>IF('Historique ajusté'!M48="","",'Historique ajusté'!M48/MAX('Historique ajusté'!M$6:M48)-1)</f>
        <v/>
      </c>
      <c r="AG48" s="34">
        <f>IF('Historique ajusté'!N48="","",'Historique ajusté'!N48/MAX('Historique ajusté'!N$6:N48)-1)</f>
        <v/>
      </c>
      <c r="AH48" s="34">
        <f>IF('Historique ajusté'!O48="","",'Historique ajusté'!O48/MAX('Historique ajusté'!O$6:O48)-1)</f>
        <v/>
      </c>
      <c r="AI48" s="34">
        <f>IF('Historique ajusté'!P48="","",'Historique ajusté'!P48/MAX('Historique ajusté'!P$6:P48)-1)</f>
        <v/>
      </c>
      <c r="AJ48" s="34">
        <f>IF(Composites!L48="","",Composites!L48/MAX(Composites!L$6:L48)-1)</f>
        <v/>
      </c>
      <c r="AK48" s="34">
        <f>IF(Composites!M48="","",Composites!M48/MAX(Composites!M$6:M48)-1)</f>
        <v/>
      </c>
      <c r="AL48" s="34">
        <f>IF(Composites!N48="","",Composites!N48/MAX(Composites!N$6:N48)-1)</f>
        <v/>
      </c>
      <c r="AM48" s="34">
        <f>IF(Composites!O48="","",Composites!O48/MAX(Composites!O$6:O48)-1)</f>
        <v/>
      </c>
      <c r="AN48" s="34">
        <f>IF(Composites!P48="","",Composites!P48/MAX(Composites!P$6:P48)-1)</f>
        <v/>
      </c>
    </row>
    <row r="49">
      <c r="B49" s="32">
        <f>'Historique ajusté'!B49</f>
        <v/>
      </c>
      <c r="C49" s="34">
        <f>IF(OR('Historique ajusté'!C49="",ROW()-Fenetre&lt;6),"",IF(INDEX('Historique ajusté'!C:C,ROW()-Fenetre)="","",'Historique ajusté'!C49/INDEX('Historique ajusté'!C:C,ROW()-Fenetre)-1))</f>
        <v/>
      </c>
      <c r="D49" s="34">
        <f>IF(OR('Historique ajusté'!D49="",ROW()-Fenetre&lt;6),"",IF(INDEX('Historique ajusté'!D:D,ROW()-Fenetre)="","",'Historique ajusté'!D49/INDEX('Historique ajusté'!D:D,ROW()-Fenetre)-1))</f>
        <v/>
      </c>
      <c r="E49" s="34">
        <f>IF(OR('Historique ajusté'!E49="",ROW()-Fenetre&lt;6),"",IF(INDEX('Historique ajusté'!E:E,ROW()-Fenetre)="","",'Historique ajusté'!E49/INDEX('Historique ajusté'!E:E,ROW()-Fenetre)-1))</f>
        <v/>
      </c>
      <c r="F49" s="34">
        <f>IF(OR('Historique ajusté'!F49="",ROW()-Fenetre&lt;6),"",IF(INDEX('Historique ajusté'!F:F,ROW()-Fenetre)="","",'Historique ajusté'!F49/INDEX('Historique ajusté'!F:F,ROW()-Fenetre)-1))</f>
        <v/>
      </c>
      <c r="G49" s="34">
        <f>IF(OR('Historique ajusté'!G49="",ROW()-Fenetre&lt;6),"",IF(INDEX('Historique ajusté'!G:G,ROW()-Fenetre)="","",'Historique ajusté'!G49/INDEX('Historique ajusté'!G:G,ROW()-Fenetre)-1))</f>
        <v/>
      </c>
      <c r="H49" s="34">
        <f>IF(OR('Historique ajusté'!H49="",ROW()-Fenetre&lt;6),"",IF(INDEX('Historique ajusté'!H:H,ROW()-Fenetre)="","",'Historique ajusté'!H49/INDEX('Historique ajusté'!H:H,ROW()-Fenetre)-1))</f>
        <v/>
      </c>
      <c r="I49" s="34">
        <f>IF(OR('Historique ajusté'!I49="",ROW()-Fenetre&lt;6),"",IF(INDEX('Historique ajusté'!I:I,ROW()-Fenetre)="","",'Historique ajusté'!I49/INDEX('Historique ajusté'!I:I,ROW()-Fenetre)-1))</f>
        <v/>
      </c>
      <c r="J49" s="34">
        <f>IF(OR('Historique ajusté'!J49="",ROW()-Fenetre&lt;6),"",IF(INDEX('Historique ajusté'!J:J,ROW()-Fenetre)="","",'Historique ajusté'!J49/INDEX('Historique ajusté'!J:J,ROW()-Fenetre)-1))</f>
        <v/>
      </c>
      <c r="K49" s="34">
        <f>IF(OR('Historique ajusté'!K49="",ROW()-Fenetre&lt;6),"",IF(INDEX('Historique ajusté'!K:K,ROW()-Fenetre)="","",'Historique ajusté'!K49/INDEX('Historique ajusté'!K:K,ROW()-Fenetre)-1))</f>
        <v/>
      </c>
      <c r="L49" s="34">
        <f>IF(OR('Historique ajusté'!L49="",ROW()-Fenetre&lt;6),"",IF(INDEX('Historique ajusté'!L:L,ROW()-Fenetre)="","",'Historique ajusté'!L49/INDEX('Historique ajusté'!L:L,ROW()-Fenetre)-1))</f>
        <v/>
      </c>
      <c r="M49" s="34">
        <f>IF(OR('Historique ajusté'!M49="",ROW()-Fenetre&lt;6),"",IF(INDEX('Historique ajusté'!M:M,ROW()-Fenetre)="","",'Historique ajusté'!M49/INDEX('Historique ajusté'!M:M,ROW()-Fenetre)-1))</f>
        <v/>
      </c>
      <c r="N49" s="34">
        <f>IF(OR('Historique ajusté'!N49="",ROW()-Fenetre&lt;6),"",IF(INDEX('Historique ajusté'!N:N,ROW()-Fenetre)="","",'Historique ajusté'!N49/INDEX('Historique ajusté'!N:N,ROW()-Fenetre)-1))</f>
        <v/>
      </c>
      <c r="O49" s="34">
        <f>IF(OR('Historique ajusté'!O49="",ROW()-Fenetre&lt;6),"",IF(INDEX('Historique ajusté'!O:O,ROW()-Fenetre)="","",'Historique ajusté'!O49/INDEX('Historique ajusté'!O:O,ROW()-Fenetre)-1))</f>
        <v/>
      </c>
      <c r="P49" s="34">
        <f>IF(OR('Historique ajusté'!P49="",ROW()-Fenetre&lt;6),"",IF(INDEX('Historique ajusté'!P:P,ROW()-Fenetre)="","",'Historique ajusté'!P49/INDEX('Historique ajusté'!P:P,ROW()-Fenetre)-1))</f>
        <v/>
      </c>
      <c r="Q49" s="34">
        <f>IF(OR(Composites!L49="",ROW()-Fenetre&lt;6),"",IF(INDEX(Composites!L:L,ROW()-Fenetre)="","",Composites!L49/INDEX(Composites!L:L,ROW()-Fenetre)-1))</f>
        <v/>
      </c>
      <c r="R49" s="34">
        <f>IF(OR(Composites!M49="",ROW()-Fenetre&lt;6),"",IF(INDEX(Composites!M:M,ROW()-Fenetre)="","",Composites!M49/INDEX(Composites!M:M,ROW()-Fenetre)-1))</f>
        <v/>
      </c>
      <c r="S49" s="34">
        <f>IF(OR(Composites!N49="",ROW()-Fenetre&lt;6),"",IF(INDEX(Composites!N:N,ROW()-Fenetre)="","",Composites!N49/INDEX(Composites!N:N,ROW()-Fenetre)-1))</f>
        <v/>
      </c>
      <c r="T49" s="34">
        <f>IF(OR(Composites!O49="",ROW()-Fenetre&lt;6),"",IF(INDEX(Composites!O:O,ROW()-Fenetre)="","",Composites!O49/INDEX(Composites!O:O,ROW()-Fenetre)-1))</f>
        <v/>
      </c>
      <c r="U49" s="34">
        <f>IF(OR(Composites!P49="",ROW()-Fenetre&lt;6),"",IF(INDEX(Composites!P:P,ROW()-Fenetre)="","",Composites!P49/INDEX(Composites!P:P,ROW()-Fenetre)-1))</f>
        <v/>
      </c>
      <c r="V49" s="34">
        <f>IF('Historique ajusté'!C49="","",'Historique ajusté'!C49/MAX('Historique ajusté'!C$6:C49)-1)</f>
        <v/>
      </c>
      <c r="W49" s="34">
        <f>IF('Historique ajusté'!D49="","",'Historique ajusté'!D49/MAX('Historique ajusté'!D$6:D49)-1)</f>
        <v/>
      </c>
      <c r="X49" s="34">
        <f>IF('Historique ajusté'!E49="","",'Historique ajusté'!E49/MAX('Historique ajusté'!E$6:E49)-1)</f>
        <v/>
      </c>
      <c r="Y49" s="34">
        <f>IF('Historique ajusté'!F49="","",'Historique ajusté'!F49/MAX('Historique ajusté'!F$6:F49)-1)</f>
        <v/>
      </c>
      <c r="Z49" s="34">
        <f>IF('Historique ajusté'!G49="","",'Historique ajusté'!G49/MAX('Historique ajusté'!G$6:G49)-1)</f>
        <v/>
      </c>
      <c r="AA49" s="34">
        <f>IF('Historique ajusté'!H49="","",'Historique ajusté'!H49/MAX('Historique ajusté'!H$6:H49)-1)</f>
        <v/>
      </c>
      <c r="AB49" s="34">
        <f>IF('Historique ajusté'!I49="","",'Historique ajusté'!I49/MAX('Historique ajusté'!I$6:I49)-1)</f>
        <v/>
      </c>
      <c r="AC49" s="34">
        <f>IF('Historique ajusté'!J49="","",'Historique ajusté'!J49/MAX('Historique ajusté'!J$6:J49)-1)</f>
        <v/>
      </c>
      <c r="AD49" s="34">
        <f>IF('Historique ajusté'!K49="","",'Historique ajusté'!K49/MAX('Historique ajusté'!K$6:K49)-1)</f>
        <v/>
      </c>
      <c r="AE49" s="34">
        <f>IF('Historique ajusté'!L49="","",'Historique ajusté'!L49/MAX('Historique ajusté'!L$6:L49)-1)</f>
        <v/>
      </c>
      <c r="AF49" s="34">
        <f>IF('Historique ajusté'!M49="","",'Historique ajusté'!M49/MAX('Historique ajusté'!M$6:M49)-1)</f>
        <v/>
      </c>
      <c r="AG49" s="34">
        <f>IF('Historique ajusté'!N49="","",'Historique ajusté'!N49/MAX('Historique ajusté'!N$6:N49)-1)</f>
        <v/>
      </c>
      <c r="AH49" s="34">
        <f>IF('Historique ajusté'!O49="","",'Historique ajusté'!O49/MAX('Historique ajusté'!O$6:O49)-1)</f>
        <v/>
      </c>
      <c r="AI49" s="34">
        <f>IF('Historique ajusté'!P49="","",'Historique ajusté'!P49/MAX('Historique ajusté'!P$6:P49)-1)</f>
        <v/>
      </c>
      <c r="AJ49" s="34">
        <f>IF(Composites!L49="","",Composites!L49/MAX(Composites!L$6:L49)-1)</f>
        <v/>
      </c>
      <c r="AK49" s="34">
        <f>IF(Composites!M49="","",Composites!M49/MAX(Composites!M$6:M49)-1)</f>
        <v/>
      </c>
      <c r="AL49" s="34">
        <f>IF(Composites!N49="","",Composites!N49/MAX(Composites!N$6:N49)-1)</f>
        <v/>
      </c>
      <c r="AM49" s="34">
        <f>IF(Composites!O49="","",Composites!O49/MAX(Composites!O$6:O49)-1)</f>
        <v/>
      </c>
      <c r="AN49" s="34">
        <f>IF(Composites!P49="","",Composites!P49/MAX(Composites!P$6:P49)-1)</f>
        <v/>
      </c>
    </row>
    <row r="50">
      <c r="B50" s="32">
        <f>'Historique ajusté'!B50</f>
        <v/>
      </c>
      <c r="C50" s="34">
        <f>IF(OR('Historique ajusté'!C50="",ROW()-Fenetre&lt;6),"",IF(INDEX('Historique ajusté'!C:C,ROW()-Fenetre)="","",'Historique ajusté'!C50/INDEX('Historique ajusté'!C:C,ROW()-Fenetre)-1))</f>
        <v/>
      </c>
      <c r="D50" s="34">
        <f>IF(OR('Historique ajusté'!D50="",ROW()-Fenetre&lt;6),"",IF(INDEX('Historique ajusté'!D:D,ROW()-Fenetre)="","",'Historique ajusté'!D50/INDEX('Historique ajusté'!D:D,ROW()-Fenetre)-1))</f>
        <v/>
      </c>
      <c r="E50" s="34">
        <f>IF(OR('Historique ajusté'!E50="",ROW()-Fenetre&lt;6),"",IF(INDEX('Historique ajusté'!E:E,ROW()-Fenetre)="","",'Historique ajusté'!E50/INDEX('Historique ajusté'!E:E,ROW()-Fenetre)-1))</f>
        <v/>
      </c>
      <c r="F50" s="34">
        <f>IF(OR('Historique ajusté'!F50="",ROW()-Fenetre&lt;6),"",IF(INDEX('Historique ajusté'!F:F,ROW()-Fenetre)="","",'Historique ajusté'!F50/INDEX('Historique ajusté'!F:F,ROW()-Fenetre)-1))</f>
        <v/>
      </c>
      <c r="G50" s="34">
        <f>IF(OR('Historique ajusté'!G50="",ROW()-Fenetre&lt;6),"",IF(INDEX('Historique ajusté'!G:G,ROW()-Fenetre)="","",'Historique ajusté'!G50/INDEX('Historique ajusté'!G:G,ROW()-Fenetre)-1))</f>
        <v/>
      </c>
      <c r="H50" s="34">
        <f>IF(OR('Historique ajusté'!H50="",ROW()-Fenetre&lt;6),"",IF(INDEX('Historique ajusté'!H:H,ROW()-Fenetre)="","",'Historique ajusté'!H50/INDEX('Historique ajusté'!H:H,ROW()-Fenetre)-1))</f>
        <v/>
      </c>
      <c r="I50" s="34">
        <f>IF(OR('Historique ajusté'!I50="",ROW()-Fenetre&lt;6),"",IF(INDEX('Historique ajusté'!I:I,ROW()-Fenetre)="","",'Historique ajusté'!I50/INDEX('Historique ajusté'!I:I,ROW()-Fenetre)-1))</f>
        <v/>
      </c>
      <c r="J50" s="34">
        <f>IF(OR('Historique ajusté'!J50="",ROW()-Fenetre&lt;6),"",IF(INDEX('Historique ajusté'!J:J,ROW()-Fenetre)="","",'Historique ajusté'!J50/INDEX('Historique ajusté'!J:J,ROW()-Fenetre)-1))</f>
        <v/>
      </c>
      <c r="K50" s="34">
        <f>IF(OR('Historique ajusté'!K50="",ROW()-Fenetre&lt;6),"",IF(INDEX('Historique ajusté'!K:K,ROW()-Fenetre)="","",'Historique ajusté'!K50/INDEX('Historique ajusté'!K:K,ROW()-Fenetre)-1))</f>
        <v/>
      </c>
      <c r="L50" s="34">
        <f>IF(OR('Historique ajusté'!L50="",ROW()-Fenetre&lt;6),"",IF(INDEX('Historique ajusté'!L:L,ROW()-Fenetre)="","",'Historique ajusté'!L50/INDEX('Historique ajusté'!L:L,ROW()-Fenetre)-1))</f>
        <v/>
      </c>
      <c r="M50" s="34">
        <f>IF(OR('Historique ajusté'!M50="",ROW()-Fenetre&lt;6),"",IF(INDEX('Historique ajusté'!M:M,ROW()-Fenetre)="","",'Historique ajusté'!M50/INDEX('Historique ajusté'!M:M,ROW()-Fenetre)-1))</f>
        <v/>
      </c>
      <c r="N50" s="34">
        <f>IF(OR('Historique ajusté'!N50="",ROW()-Fenetre&lt;6),"",IF(INDEX('Historique ajusté'!N:N,ROW()-Fenetre)="","",'Historique ajusté'!N50/INDEX('Historique ajusté'!N:N,ROW()-Fenetre)-1))</f>
        <v/>
      </c>
      <c r="O50" s="34">
        <f>IF(OR('Historique ajusté'!O50="",ROW()-Fenetre&lt;6),"",IF(INDEX('Historique ajusté'!O:O,ROW()-Fenetre)="","",'Historique ajusté'!O50/INDEX('Historique ajusté'!O:O,ROW()-Fenetre)-1))</f>
        <v/>
      </c>
      <c r="P50" s="34">
        <f>IF(OR('Historique ajusté'!P50="",ROW()-Fenetre&lt;6),"",IF(INDEX('Historique ajusté'!P:P,ROW()-Fenetre)="","",'Historique ajusté'!P50/INDEX('Historique ajusté'!P:P,ROW()-Fenetre)-1))</f>
        <v/>
      </c>
      <c r="Q50" s="34">
        <f>IF(OR(Composites!L50="",ROW()-Fenetre&lt;6),"",IF(INDEX(Composites!L:L,ROW()-Fenetre)="","",Composites!L50/INDEX(Composites!L:L,ROW()-Fenetre)-1))</f>
        <v/>
      </c>
      <c r="R50" s="34">
        <f>IF(OR(Composites!M50="",ROW()-Fenetre&lt;6),"",IF(INDEX(Composites!M:M,ROW()-Fenetre)="","",Composites!M50/INDEX(Composites!M:M,ROW()-Fenetre)-1))</f>
        <v/>
      </c>
      <c r="S50" s="34">
        <f>IF(OR(Composites!N50="",ROW()-Fenetre&lt;6),"",IF(INDEX(Composites!N:N,ROW()-Fenetre)="","",Composites!N50/INDEX(Composites!N:N,ROW()-Fenetre)-1))</f>
        <v/>
      </c>
      <c r="T50" s="34">
        <f>IF(OR(Composites!O50="",ROW()-Fenetre&lt;6),"",IF(INDEX(Composites!O:O,ROW()-Fenetre)="","",Composites!O50/INDEX(Composites!O:O,ROW()-Fenetre)-1))</f>
        <v/>
      </c>
      <c r="U50" s="34">
        <f>IF(OR(Composites!P50="",ROW()-Fenetre&lt;6),"",IF(INDEX(Composites!P:P,ROW()-Fenetre)="","",Composites!P50/INDEX(Composites!P:P,ROW()-Fenetre)-1))</f>
        <v/>
      </c>
      <c r="V50" s="34">
        <f>IF('Historique ajusté'!C50="","",'Historique ajusté'!C50/MAX('Historique ajusté'!C$6:C50)-1)</f>
        <v/>
      </c>
      <c r="W50" s="34">
        <f>IF('Historique ajusté'!D50="","",'Historique ajusté'!D50/MAX('Historique ajusté'!D$6:D50)-1)</f>
        <v/>
      </c>
      <c r="X50" s="34">
        <f>IF('Historique ajusté'!E50="","",'Historique ajusté'!E50/MAX('Historique ajusté'!E$6:E50)-1)</f>
        <v/>
      </c>
      <c r="Y50" s="34">
        <f>IF('Historique ajusté'!F50="","",'Historique ajusté'!F50/MAX('Historique ajusté'!F$6:F50)-1)</f>
        <v/>
      </c>
      <c r="Z50" s="34">
        <f>IF('Historique ajusté'!G50="","",'Historique ajusté'!G50/MAX('Historique ajusté'!G$6:G50)-1)</f>
        <v/>
      </c>
      <c r="AA50" s="34">
        <f>IF('Historique ajusté'!H50="","",'Historique ajusté'!H50/MAX('Historique ajusté'!H$6:H50)-1)</f>
        <v/>
      </c>
      <c r="AB50" s="34">
        <f>IF('Historique ajusté'!I50="","",'Historique ajusté'!I50/MAX('Historique ajusté'!I$6:I50)-1)</f>
        <v/>
      </c>
      <c r="AC50" s="34">
        <f>IF('Historique ajusté'!J50="","",'Historique ajusté'!J50/MAX('Historique ajusté'!J$6:J50)-1)</f>
        <v/>
      </c>
      <c r="AD50" s="34">
        <f>IF('Historique ajusté'!K50="","",'Historique ajusté'!K50/MAX('Historique ajusté'!K$6:K50)-1)</f>
        <v/>
      </c>
      <c r="AE50" s="34">
        <f>IF('Historique ajusté'!L50="","",'Historique ajusté'!L50/MAX('Historique ajusté'!L$6:L50)-1)</f>
        <v/>
      </c>
      <c r="AF50" s="34">
        <f>IF('Historique ajusté'!M50="","",'Historique ajusté'!M50/MAX('Historique ajusté'!M$6:M50)-1)</f>
        <v/>
      </c>
      <c r="AG50" s="34">
        <f>IF('Historique ajusté'!N50="","",'Historique ajusté'!N50/MAX('Historique ajusté'!N$6:N50)-1)</f>
        <v/>
      </c>
      <c r="AH50" s="34">
        <f>IF('Historique ajusté'!O50="","",'Historique ajusté'!O50/MAX('Historique ajusté'!O$6:O50)-1)</f>
        <v/>
      </c>
      <c r="AI50" s="34">
        <f>IF('Historique ajusté'!P50="","",'Historique ajusté'!P50/MAX('Historique ajusté'!P$6:P50)-1)</f>
        <v/>
      </c>
      <c r="AJ50" s="34">
        <f>IF(Composites!L50="","",Composites!L50/MAX(Composites!L$6:L50)-1)</f>
        <v/>
      </c>
      <c r="AK50" s="34">
        <f>IF(Composites!M50="","",Composites!M50/MAX(Composites!M$6:M50)-1)</f>
        <v/>
      </c>
      <c r="AL50" s="34">
        <f>IF(Composites!N50="","",Composites!N50/MAX(Composites!N$6:N50)-1)</f>
        <v/>
      </c>
      <c r="AM50" s="34">
        <f>IF(Composites!O50="","",Composites!O50/MAX(Composites!O$6:O50)-1)</f>
        <v/>
      </c>
      <c r="AN50" s="34">
        <f>IF(Composites!P50="","",Composites!P50/MAX(Composites!P$6:P50)-1)</f>
        <v/>
      </c>
    </row>
    <row r="51">
      <c r="B51" s="32">
        <f>'Historique ajusté'!B51</f>
        <v/>
      </c>
      <c r="C51" s="34">
        <f>IF(OR('Historique ajusté'!C51="",ROW()-Fenetre&lt;6),"",IF(INDEX('Historique ajusté'!C:C,ROW()-Fenetre)="","",'Historique ajusté'!C51/INDEX('Historique ajusté'!C:C,ROW()-Fenetre)-1))</f>
        <v/>
      </c>
      <c r="D51" s="34">
        <f>IF(OR('Historique ajusté'!D51="",ROW()-Fenetre&lt;6),"",IF(INDEX('Historique ajusté'!D:D,ROW()-Fenetre)="","",'Historique ajusté'!D51/INDEX('Historique ajusté'!D:D,ROW()-Fenetre)-1))</f>
        <v/>
      </c>
      <c r="E51" s="34">
        <f>IF(OR('Historique ajusté'!E51="",ROW()-Fenetre&lt;6),"",IF(INDEX('Historique ajusté'!E:E,ROW()-Fenetre)="","",'Historique ajusté'!E51/INDEX('Historique ajusté'!E:E,ROW()-Fenetre)-1))</f>
        <v/>
      </c>
      <c r="F51" s="34">
        <f>IF(OR('Historique ajusté'!F51="",ROW()-Fenetre&lt;6),"",IF(INDEX('Historique ajusté'!F:F,ROW()-Fenetre)="","",'Historique ajusté'!F51/INDEX('Historique ajusté'!F:F,ROW()-Fenetre)-1))</f>
        <v/>
      </c>
      <c r="G51" s="34">
        <f>IF(OR('Historique ajusté'!G51="",ROW()-Fenetre&lt;6),"",IF(INDEX('Historique ajusté'!G:G,ROW()-Fenetre)="","",'Historique ajusté'!G51/INDEX('Historique ajusté'!G:G,ROW()-Fenetre)-1))</f>
        <v/>
      </c>
      <c r="H51" s="34">
        <f>IF(OR('Historique ajusté'!H51="",ROW()-Fenetre&lt;6),"",IF(INDEX('Historique ajusté'!H:H,ROW()-Fenetre)="","",'Historique ajusté'!H51/INDEX('Historique ajusté'!H:H,ROW()-Fenetre)-1))</f>
        <v/>
      </c>
      <c r="I51" s="34">
        <f>IF(OR('Historique ajusté'!I51="",ROW()-Fenetre&lt;6),"",IF(INDEX('Historique ajusté'!I:I,ROW()-Fenetre)="","",'Historique ajusté'!I51/INDEX('Historique ajusté'!I:I,ROW()-Fenetre)-1))</f>
        <v/>
      </c>
      <c r="J51" s="34">
        <f>IF(OR('Historique ajusté'!J51="",ROW()-Fenetre&lt;6),"",IF(INDEX('Historique ajusté'!J:J,ROW()-Fenetre)="","",'Historique ajusté'!J51/INDEX('Historique ajusté'!J:J,ROW()-Fenetre)-1))</f>
        <v/>
      </c>
      <c r="K51" s="34">
        <f>IF(OR('Historique ajusté'!K51="",ROW()-Fenetre&lt;6),"",IF(INDEX('Historique ajusté'!K:K,ROW()-Fenetre)="","",'Historique ajusté'!K51/INDEX('Historique ajusté'!K:K,ROW()-Fenetre)-1))</f>
        <v/>
      </c>
      <c r="L51" s="34">
        <f>IF(OR('Historique ajusté'!L51="",ROW()-Fenetre&lt;6),"",IF(INDEX('Historique ajusté'!L:L,ROW()-Fenetre)="","",'Historique ajusté'!L51/INDEX('Historique ajusté'!L:L,ROW()-Fenetre)-1))</f>
        <v/>
      </c>
      <c r="M51" s="34">
        <f>IF(OR('Historique ajusté'!M51="",ROW()-Fenetre&lt;6),"",IF(INDEX('Historique ajusté'!M:M,ROW()-Fenetre)="","",'Historique ajusté'!M51/INDEX('Historique ajusté'!M:M,ROW()-Fenetre)-1))</f>
        <v/>
      </c>
      <c r="N51" s="34">
        <f>IF(OR('Historique ajusté'!N51="",ROW()-Fenetre&lt;6),"",IF(INDEX('Historique ajusté'!N:N,ROW()-Fenetre)="","",'Historique ajusté'!N51/INDEX('Historique ajusté'!N:N,ROW()-Fenetre)-1))</f>
        <v/>
      </c>
      <c r="O51" s="34">
        <f>IF(OR('Historique ajusté'!O51="",ROW()-Fenetre&lt;6),"",IF(INDEX('Historique ajusté'!O:O,ROW()-Fenetre)="","",'Historique ajusté'!O51/INDEX('Historique ajusté'!O:O,ROW()-Fenetre)-1))</f>
        <v/>
      </c>
      <c r="P51" s="34">
        <f>IF(OR('Historique ajusté'!P51="",ROW()-Fenetre&lt;6),"",IF(INDEX('Historique ajusté'!P:P,ROW()-Fenetre)="","",'Historique ajusté'!P51/INDEX('Historique ajusté'!P:P,ROW()-Fenetre)-1))</f>
        <v/>
      </c>
      <c r="Q51" s="34">
        <f>IF(OR(Composites!L51="",ROW()-Fenetre&lt;6),"",IF(INDEX(Composites!L:L,ROW()-Fenetre)="","",Composites!L51/INDEX(Composites!L:L,ROW()-Fenetre)-1))</f>
        <v/>
      </c>
      <c r="R51" s="34">
        <f>IF(OR(Composites!M51="",ROW()-Fenetre&lt;6),"",IF(INDEX(Composites!M:M,ROW()-Fenetre)="","",Composites!M51/INDEX(Composites!M:M,ROW()-Fenetre)-1))</f>
        <v/>
      </c>
      <c r="S51" s="34">
        <f>IF(OR(Composites!N51="",ROW()-Fenetre&lt;6),"",IF(INDEX(Composites!N:N,ROW()-Fenetre)="","",Composites!N51/INDEX(Composites!N:N,ROW()-Fenetre)-1))</f>
        <v/>
      </c>
      <c r="T51" s="34">
        <f>IF(OR(Composites!O51="",ROW()-Fenetre&lt;6),"",IF(INDEX(Composites!O:O,ROW()-Fenetre)="","",Composites!O51/INDEX(Composites!O:O,ROW()-Fenetre)-1))</f>
        <v/>
      </c>
      <c r="U51" s="34">
        <f>IF(OR(Composites!P51="",ROW()-Fenetre&lt;6),"",IF(INDEX(Composites!P:P,ROW()-Fenetre)="","",Composites!P51/INDEX(Composites!P:P,ROW()-Fenetre)-1))</f>
        <v/>
      </c>
      <c r="V51" s="34">
        <f>IF('Historique ajusté'!C51="","",'Historique ajusté'!C51/MAX('Historique ajusté'!C$6:C51)-1)</f>
        <v/>
      </c>
      <c r="W51" s="34">
        <f>IF('Historique ajusté'!D51="","",'Historique ajusté'!D51/MAX('Historique ajusté'!D$6:D51)-1)</f>
        <v/>
      </c>
      <c r="X51" s="34">
        <f>IF('Historique ajusté'!E51="","",'Historique ajusté'!E51/MAX('Historique ajusté'!E$6:E51)-1)</f>
        <v/>
      </c>
      <c r="Y51" s="34">
        <f>IF('Historique ajusté'!F51="","",'Historique ajusté'!F51/MAX('Historique ajusté'!F$6:F51)-1)</f>
        <v/>
      </c>
      <c r="Z51" s="34">
        <f>IF('Historique ajusté'!G51="","",'Historique ajusté'!G51/MAX('Historique ajusté'!G$6:G51)-1)</f>
        <v/>
      </c>
      <c r="AA51" s="34">
        <f>IF('Historique ajusté'!H51="","",'Historique ajusté'!H51/MAX('Historique ajusté'!H$6:H51)-1)</f>
        <v/>
      </c>
      <c r="AB51" s="34">
        <f>IF('Historique ajusté'!I51="","",'Historique ajusté'!I51/MAX('Historique ajusté'!I$6:I51)-1)</f>
        <v/>
      </c>
      <c r="AC51" s="34">
        <f>IF('Historique ajusté'!J51="","",'Historique ajusté'!J51/MAX('Historique ajusté'!J$6:J51)-1)</f>
        <v/>
      </c>
      <c r="AD51" s="34">
        <f>IF('Historique ajusté'!K51="","",'Historique ajusté'!K51/MAX('Historique ajusté'!K$6:K51)-1)</f>
        <v/>
      </c>
      <c r="AE51" s="34">
        <f>IF('Historique ajusté'!L51="","",'Historique ajusté'!L51/MAX('Historique ajusté'!L$6:L51)-1)</f>
        <v/>
      </c>
      <c r="AF51" s="34">
        <f>IF('Historique ajusté'!M51="","",'Historique ajusté'!M51/MAX('Historique ajusté'!M$6:M51)-1)</f>
        <v/>
      </c>
      <c r="AG51" s="34">
        <f>IF('Historique ajusté'!N51="","",'Historique ajusté'!N51/MAX('Historique ajusté'!N$6:N51)-1)</f>
        <v/>
      </c>
      <c r="AH51" s="34">
        <f>IF('Historique ajusté'!O51="","",'Historique ajusté'!O51/MAX('Historique ajusté'!O$6:O51)-1)</f>
        <v/>
      </c>
      <c r="AI51" s="34">
        <f>IF('Historique ajusté'!P51="","",'Historique ajusté'!P51/MAX('Historique ajusté'!P$6:P51)-1)</f>
        <v/>
      </c>
      <c r="AJ51" s="34">
        <f>IF(Composites!L51="","",Composites!L51/MAX(Composites!L$6:L51)-1)</f>
        <v/>
      </c>
      <c r="AK51" s="34">
        <f>IF(Composites!M51="","",Composites!M51/MAX(Composites!M$6:M51)-1)</f>
        <v/>
      </c>
      <c r="AL51" s="34">
        <f>IF(Composites!N51="","",Composites!N51/MAX(Composites!N$6:N51)-1)</f>
        <v/>
      </c>
      <c r="AM51" s="34">
        <f>IF(Composites!O51="","",Composites!O51/MAX(Composites!O$6:O51)-1)</f>
        <v/>
      </c>
      <c r="AN51" s="34">
        <f>IF(Composites!P51="","",Composites!P51/MAX(Composites!P$6:P51)-1)</f>
        <v/>
      </c>
    </row>
    <row r="52">
      <c r="B52" s="32">
        <f>'Historique ajusté'!B52</f>
        <v/>
      </c>
      <c r="C52" s="34">
        <f>IF(OR('Historique ajusté'!C52="",ROW()-Fenetre&lt;6),"",IF(INDEX('Historique ajusté'!C:C,ROW()-Fenetre)="","",'Historique ajusté'!C52/INDEX('Historique ajusté'!C:C,ROW()-Fenetre)-1))</f>
        <v/>
      </c>
      <c r="D52" s="34">
        <f>IF(OR('Historique ajusté'!D52="",ROW()-Fenetre&lt;6),"",IF(INDEX('Historique ajusté'!D:D,ROW()-Fenetre)="","",'Historique ajusté'!D52/INDEX('Historique ajusté'!D:D,ROW()-Fenetre)-1))</f>
        <v/>
      </c>
      <c r="E52" s="34">
        <f>IF(OR('Historique ajusté'!E52="",ROW()-Fenetre&lt;6),"",IF(INDEX('Historique ajusté'!E:E,ROW()-Fenetre)="","",'Historique ajusté'!E52/INDEX('Historique ajusté'!E:E,ROW()-Fenetre)-1))</f>
        <v/>
      </c>
      <c r="F52" s="34">
        <f>IF(OR('Historique ajusté'!F52="",ROW()-Fenetre&lt;6),"",IF(INDEX('Historique ajusté'!F:F,ROW()-Fenetre)="","",'Historique ajusté'!F52/INDEX('Historique ajusté'!F:F,ROW()-Fenetre)-1))</f>
        <v/>
      </c>
      <c r="G52" s="34">
        <f>IF(OR('Historique ajusté'!G52="",ROW()-Fenetre&lt;6),"",IF(INDEX('Historique ajusté'!G:G,ROW()-Fenetre)="","",'Historique ajusté'!G52/INDEX('Historique ajusté'!G:G,ROW()-Fenetre)-1))</f>
        <v/>
      </c>
      <c r="H52" s="34">
        <f>IF(OR('Historique ajusté'!H52="",ROW()-Fenetre&lt;6),"",IF(INDEX('Historique ajusté'!H:H,ROW()-Fenetre)="","",'Historique ajusté'!H52/INDEX('Historique ajusté'!H:H,ROW()-Fenetre)-1))</f>
        <v/>
      </c>
      <c r="I52" s="34">
        <f>IF(OR('Historique ajusté'!I52="",ROW()-Fenetre&lt;6),"",IF(INDEX('Historique ajusté'!I:I,ROW()-Fenetre)="","",'Historique ajusté'!I52/INDEX('Historique ajusté'!I:I,ROW()-Fenetre)-1))</f>
        <v/>
      </c>
      <c r="J52" s="34">
        <f>IF(OR('Historique ajusté'!J52="",ROW()-Fenetre&lt;6),"",IF(INDEX('Historique ajusté'!J:J,ROW()-Fenetre)="","",'Historique ajusté'!J52/INDEX('Historique ajusté'!J:J,ROW()-Fenetre)-1))</f>
        <v/>
      </c>
      <c r="K52" s="34">
        <f>IF(OR('Historique ajusté'!K52="",ROW()-Fenetre&lt;6),"",IF(INDEX('Historique ajusté'!K:K,ROW()-Fenetre)="","",'Historique ajusté'!K52/INDEX('Historique ajusté'!K:K,ROW()-Fenetre)-1))</f>
        <v/>
      </c>
      <c r="L52" s="34">
        <f>IF(OR('Historique ajusté'!L52="",ROW()-Fenetre&lt;6),"",IF(INDEX('Historique ajusté'!L:L,ROW()-Fenetre)="","",'Historique ajusté'!L52/INDEX('Historique ajusté'!L:L,ROW()-Fenetre)-1))</f>
        <v/>
      </c>
      <c r="M52" s="34">
        <f>IF(OR('Historique ajusté'!M52="",ROW()-Fenetre&lt;6),"",IF(INDEX('Historique ajusté'!M:M,ROW()-Fenetre)="","",'Historique ajusté'!M52/INDEX('Historique ajusté'!M:M,ROW()-Fenetre)-1))</f>
        <v/>
      </c>
      <c r="N52" s="34">
        <f>IF(OR('Historique ajusté'!N52="",ROW()-Fenetre&lt;6),"",IF(INDEX('Historique ajusté'!N:N,ROW()-Fenetre)="","",'Historique ajusté'!N52/INDEX('Historique ajusté'!N:N,ROW()-Fenetre)-1))</f>
        <v/>
      </c>
      <c r="O52" s="34">
        <f>IF(OR('Historique ajusté'!O52="",ROW()-Fenetre&lt;6),"",IF(INDEX('Historique ajusté'!O:O,ROW()-Fenetre)="","",'Historique ajusté'!O52/INDEX('Historique ajusté'!O:O,ROW()-Fenetre)-1))</f>
        <v/>
      </c>
      <c r="P52" s="34">
        <f>IF(OR('Historique ajusté'!P52="",ROW()-Fenetre&lt;6),"",IF(INDEX('Historique ajusté'!P:P,ROW()-Fenetre)="","",'Historique ajusté'!P52/INDEX('Historique ajusté'!P:P,ROW()-Fenetre)-1))</f>
        <v/>
      </c>
      <c r="Q52" s="34">
        <f>IF(OR(Composites!L52="",ROW()-Fenetre&lt;6),"",IF(INDEX(Composites!L:L,ROW()-Fenetre)="","",Composites!L52/INDEX(Composites!L:L,ROW()-Fenetre)-1))</f>
        <v/>
      </c>
      <c r="R52" s="34">
        <f>IF(OR(Composites!M52="",ROW()-Fenetre&lt;6),"",IF(INDEX(Composites!M:M,ROW()-Fenetre)="","",Composites!M52/INDEX(Composites!M:M,ROW()-Fenetre)-1))</f>
        <v/>
      </c>
      <c r="S52" s="34">
        <f>IF(OR(Composites!N52="",ROW()-Fenetre&lt;6),"",IF(INDEX(Composites!N:N,ROW()-Fenetre)="","",Composites!N52/INDEX(Composites!N:N,ROW()-Fenetre)-1))</f>
        <v/>
      </c>
      <c r="T52" s="34">
        <f>IF(OR(Composites!O52="",ROW()-Fenetre&lt;6),"",IF(INDEX(Composites!O:O,ROW()-Fenetre)="","",Composites!O52/INDEX(Composites!O:O,ROW()-Fenetre)-1))</f>
        <v/>
      </c>
      <c r="U52" s="34">
        <f>IF(OR(Composites!P52="",ROW()-Fenetre&lt;6),"",IF(INDEX(Composites!P:P,ROW()-Fenetre)="","",Composites!P52/INDEX(Composites!P:P,ROW()-Fenetre)-1))</f>
        <v/>
      </c>
      <c r="V52" s="34">
        <f>IF('Historique ajusté'!C52="","",'Historique ajusté'!C52/MAX('Historique ajusté'!C$6:C52)-1)</f>
        <v/>
      </c>
      <c r="W52" s="34">
        <f>IF('Historique ajusté'!D52="","",'Historique ajusté'!D52/MAX('Historique ajusté'!D$6:D52)-1)</f>
        <v/>
      </c>
      <c r="X52" s="34">
        <f>IF('Historique ajusté'!E52="","",'Historique ajusté'!E52/MAX('Historique ajusté'!E$6:E52)-1)</f>
        <v/>
      </c>
      <c r="Y52" s="34">
        <f>IF('Historique ajusté'!F52="","",'Historique ajusté'!F52/MAX('Historique ajusté'!F$6:F52)-1)</f>
        <v/>
      </c>
      <c r="Z52" s="34">
        <f>IF('Historique ajusté'!G52="","",'Historique ajusté'!G52/MAX('Historique ajusté'!G$6:G52)-1)</f>
        <v/>
      </c>
      <c r="AA52" s="34">
        <f>IF('Historique ajusté'!H52="","",'Historique ajusté'!H52/MAX('Historique ajusté'!H$6:H52)-1)</f>
        <v/>
      </c>
      <c r="AB52" s="34">
        <f>IF('Historique ajusté'!I52="","",'Historique ajusté'!I52/MAX('Historique ajusté'!I$6:I52)-1)</f>
        <v/>
      </c>
      <c r="AC52" s="34">
        <f>IF('Historique ajusté'!J52="","",'Historique ajusté'!J52/MAX('Historique ajusté'!J$6:J52)-1)</f>
        <v/>
      </c>
      <c r="AD52" s="34">
        <f>IF('Historique ajusté'!K52="","",'Historique ajusté'!K52/MAX('Historique ajusté'!K$6:K52)-1)</f>
        <v/>
      </c>
      <c r="AE52" s="34">
        <f>IF('Historique ajusté'!L52="","",'Historique ajusté'!L52/MAX('Historique ajusté'!L$6:L52)-1)</f>
        <v/>
      </c>
      <c r="AF52" s="34">
        <f>IF('Historique ajusté'!M52="","",'Historique ajusté'!M52/MAX('Historique ajusté'!M$6:M52)-1)</f>
        <v/>
      </c>
      <c r="AG52" s="34">
        <f>IF('Historique ajusté'!N52="","",'Historique ajusté'!N52/MAX('Historique ajusté'!N$6:N52)-1)</f>
        <v/>
      </c>
      <c r="AH52" s="34">
        <f>IF('Historique ajusté'!O52="","",'Historique ajusté'!O52/MAX('Historique ajusté'!O$6:O52)-1)</f>
        <v/>
      </c>
      <c r="AI52" s="34">
        <f>IF('Historique ajusté'!P52="","",'Historique ajusté'!P52/MAX('Historique ajusté'!P$6:P52)-1)</f>
        <v/>
      </c>
      <c r="AJ52" s="34">
        <f>IF(Composites!L52="","",Composites!L52/MAX(Composites!L$6:L52)-1)</f>
        <v/>
      </c>
      <c r="AK52" s="34">
        <f>IF(Composites!M52="","",Composites!M52/MAX(Composites!M$6:M52)-1)</f>
        <v/>
      </c>
      <c r="AL52" s="34">
        <f>IF(Composites!N52="","",Composites!N52/MAX(Composites!N$6:N52)-1)</f>
        <v/>
      </c>
      <c r="AM52" s="34">
        <f>IF(Composites!O52="","",Composites!O52/MAX(Composites!O$6:O52)-1)</f>
        <v/>
      </c>
      <c r="AN52" s="34">
        <f>IF(Composites!P52="","",Composites!P52/MAX(Composites!P$6:P52)-1)</f>
        <v/>
      </c>
    </row>
    <row r="53">
      <c r="B53" s="32">
        <f>'Historique ajusté'!B53</f>
        <v/>
      </c>
      <c r="C53" s="34">
        <f>IF(OR('Historique ajusté'!C53="",ROW()-Fenetre&lt;6),"",IF(INDEX('Historique ajusté'!C:C,ROW()-Fenetre)="","",'Historique ajusté'!C53/INDEX('Historique ajusté'!C:C,ROW()-Fenetre)-1))</f>
        <v/>
      </c>
      <c r="D53" s="34">
        <f>IF(OR('Historique ajusté'!D53="",ROW()-Fenetre&lt;6),"",IF(INDEX('Historique ajusté'!D:D,ROW()-Fenetre)="","",'Historique ajusté'!D53/INDEX('Historique ajusté'!D:D,ROW()-Fenetre)-1))</f>
        <v/>
      </c>
      <c r="E53" s="34">
        <f>IF(OR('Historique ajusté'!E53="",ROW()-Fenetre&lt;6),"",IF(INDEX('Historique ajusté'!E:E,ROW()-Fenetre)="","",'Historique ajusté'!E53/INDEX('Historique ajusté'!E:E,ROW()-Fenetre)-1))</f>
        <v/>
      </c>
      <c r="F53" s="34">
        <f>IF(OR('Historique ajusté'!F53="",ROW()-Fenetre&lt;6),"",IF(INDEX('Historique ajusté'!F:F,ROW()-Fenetre)="","",'Historique ajusté'!F53/INDEX('Historique ajusté'!F:F,ROW()-Fenetre)-1))</f>
        <v/>
      </c>
      <c r="G53" s="34">
        <f>IF(OR('Historique ajusté'!G53="",ROW()-Fenetre&lt;6),"",IF(INDEX('Historique ajusté'!G:G,ROW()-Fenetre)="","",'Historique ajusté'!G53/INDEX('Historique ajusté'!G:G,ROW()-Fenetre)-1))</f>
        <v/>
      </c>
      <c r="H53" s="34">
        <f>IF(OR('Historique ajusté'!H53="",ROW()-Fenetre&lt;6),"",IF(INDEX('Historique ajusté'!H:H,ROW()-Fenetre)="","",'Historique ajusté'!H53/INDEX('Historique ajusté'!H:H,ROW()-Fenetre)-1))</f>
        <v/>
      </c>
      <c r="I53" s="34">
        <f>IF(OR('Historique ajusté'!I53="",ROW()-Fenetre&lt;6),"",IF(INDEX('Historique ajusté'!I:I,ROW()-Fenetre)="","",'Historique ajusté'!I53/INDEX('Historique ajusté'!I:I,ROW()-Fenetre)-1))</f>
        <v/>
      </c>
      <c r="J53" s="34">
        <f>IF(OR('Historique ajusté'!J53="",ROW()-Fenetre&lt;6),"",IF(INDEX('Historique ajusté'!J:J,ROW()-Fenetre)="","",'Historique ajusté'!J53/INDEX('Historique ajusté'!J:J,ROW()-Fenetre)-1))</f>
        <v/>
      </c>
      <c r="K53" s="34">
        <f>IF(OR('Historique ajusté'!K53="",ROW()-Fenetre&lt;6),"",IF(INDEX('Historique ajusté'!K:K,ROW()-Fenetre)="","",'Historique ajusté'!K53/INDEX('Historique ajusté'!K:K,ROW()-Fenetre)-1))</f>
        <v/>
      </c>
      <c r="L53" s="34">
        <f>IF(OR('Historique ajusté'!L53="",ROW()-Fenetre&lt;6),"",IF(INDEX('Historique ajusté'!L:L,ROW()-Fenetre)="","",'Historique ajusté'!L53/INDEX('Historique ajusté'!L:L,ROW()-Fenetre)-1))</f>
        <v/>
      </c>
      <c r="M53" s="34">
        <f>IF(OR('Historique ajusté'!M53="",ROW()-Fenetre&lt;6),"",IF(INDEX('Historique ajusté'!M:M,ROW()-Fenetre)="","",'Historique ajusté'!M53/INDEX('Historique ajusté'!M:M,ROW()-Fenetre)-1))</f>
        <v/>
      </c>
      <c r="N53" s="34">
        <f>IF(OR('Historique ajusté'!N53="",ROW()-Fenetre&lt;6),"",IF(INDEX('Historique ajusté'!N:N,ROW()-Fenetre)="","",'Historique ajusté'!N53/INDEX('Historique ajusté'!N:N,ROW()-Fenetre)-1))</f>
        <v/>
      </c>
      <c r="O53" s="34">
        <f>IF(OR('Historique ajusté'!O53="",ROW()-Fenetre&lt;6),"",IF(INDEX('Historique ajusté'!O:O,ROW()-Fenetre)="","",'Historique ajusté'!O53/INDEX('Historique ajusté'!O:O,ROW()-Fenetre)-1))</f>
        <v/>
      </c>
      <c r="P53" s="34">
        <f>IF(OR('Historique ajusté'!P53="",ROW()-Fenetre&lt;6),"",IF(INDEX('Historique ajusté'!P:P,ROW()-Fenetre)="","",'Historique ajusté'!P53/INDEX('Historique ajusté'!P:P,ROW()-Fenetre)-1))</f>
        <v/>
      </c>
      <c r="Q53" s="34">
        <f>IF(OR(Composites!L53="",ROW()-Fenetre&lt;6),"",IF(INDEX(Composites!L:L,ROW()-Fenetre)="","",Composites!L53/INDEX(Composites!L:L,ROW()-Fenetre)-1))</f>
        <v/>
      </c>
      <c r="R53" s="34">
        <f>IF(OR(Composites!M53="",ROW()-Fenetre&lt;6),"",IF(INDEX(Composites!M:M,ROW()-Fenetre)="","",Composites!M53/INDEX(Composites!M:M,ROW()-Fenetre)-1))</f>
        <v/>
      </c>
      <c r="S53" s="34">
        <f>IF(OR(Composites!N53="",ROW()-Fenetre&lt;6),"",IF(INDEX(Composites!N:N,ROW()-Fenetre)="","",Composites!N53/INDEX(Composites!N:N,ROW()-Fenetre)-1))</f>
        <v/>
      </c>
      <c r="T53" s="34">
        <f>IF(OR(Composites!O53="",ROW()-Fenetre&lt;6),"",IF(INDEX(Composites!O:O,ROW()-Fenetre)="","",Composites!O53/INDEX(Composites!O:O,ROW()-Fenetre)-1))</f>
        <v/>
      </c>
      <c r="U53" s="34">
        <f>IF(OR(Composites!P53="",ROW()-Fenetre&lt;6),"",IF(INDEX(Composites!P:P,ROW()-Fenetre)="","",Composites!P53/INDEX(Composites!P:P,ROW()-Fenetre)-1))</f>
        <v/>
      </c>
      <c r="V53" s="34">
        <f>IF('Historique ajusté'!C53="","",'Historique ajusté'!C53/MAX('Historique ajusté'!C$6:C53)-1)</f>
        <v/>
      </c>
      <c r="W53" s="34">
        <f>IF('Historique ajusté'!D53="","",'Historique ajusté'!D53/MAX('Historique ajusté'!D$6:D53)-1)</f>
        <v/>
      </c>
      <c r="X53" s="34">
        <f>IF('Historique ajusté'!E53="","",'Historique ajusté'!E53/MAX('Historique ajusté'!E$6:E53)-1)</f>
        <v/>
      </c>
      <c r="Y53" s="34">
        <f>IF('Historique ajusté'!F53="","",'Historique ajusté'!F53/MAX('Historique ajusté'!F$6:F53)-1)</f>
        <v/>
      </c>
      <c r="Z53" s="34">
        <f>IF('Historique ajusté'!G53="","",'Historique ajusté'!G53/MAX('Historique ajusté'!G$6:G53)-1)</f>
        <v/>
      </c>
      <c r="AA53" s="34">
        <f>IF('Historique ajusté'!H53="","",'Historique ajusté'!H53/MAX('Historique ajusté'!H$6:H53)-1)</f>
        <v/>
      </c>
      <c r="AB53" s="34">
        <f>IF('Historique ajusté'!I53="","",'Historique ajusté'!I53/MAX('Historique ajusté'!I$6:I53)-1)</f>
        <v/>
      </c>
      <c r="AC53" s="34">
        <f>IF('Historique ajusté'!J53="","",'Historique ajusté'!J53/MAX('Historique ajusté'!J$6:J53)-1)</f>
        <v/>
      </c>
      <c r="AD53" s="34">
        <f>IF('Historique ajusté'!K53="","",'Historique ajusté'!K53/MAX('Historique ajusté'!K$6:K53)-1)</f>
        <v/>
      </c>
      <c r="AE53" s="34">
        <f>IF('Historique ajusté'!L53="","",'Historique ajusté'!L53/MAX('Historique ajusté'!L$6:L53)-1)</f>
        <v/>
      </c>
      <c r="AF53" s="34">
        <f>IF('Historique ajusté'!M53="","",'Historique ajusté'!M53/MAX('Historique ajusté'!M$6:M53)-1)</f>
        <v/>
      </c>
      <c r="AG53" s="34">
        <f>IF('Historique ajusté'!N53="","",'Historique ajusté'!N53/MAX('Historique ajusté'!N$6:N53)-1)</f>
        <v/>
      </c>
      <c r="AH53" s="34">
        <f>IF('Historique ajusté'!O53="","",'Historique ajusté'!O53/MAX('Historique ajusté'!O$6:O53)-1)</f>
        <v/>
      </c>
      <c r="AI53" s="34">
        <f>IF('Historique ajusté'!P53="","",'Historique ajusté'!P53/MAX('Historique ajusté'!P$6:P53)-1)</f>
        <v/>
      </c>
      <c r="AJ53" s="34">
        <f>IF(Composites!L53="","",Composites!L53/MAX(Composites!L$6:L53)-1)</f>
        <v/>
      </c>
      <c r="AK53" s="34">
        <f>IF(Composites!M53="","",Composites!M53/MAX(Composites!M$6:M53)-1)</f>
        <v/>
      </c>
      <c r="AL53" s="34">
        <f>IF(Composites!N53="","",Composites!N53/MAX(Composites!N$6:N53)-1)</f>
        <v/>
      </c>
      <c r="AM53" s="34">
        <f>IF(Composites!O53="","",Composites!O53/MAX(Composites!O$6:O53)-1)</f>
        <v/>
      </c>
      <c r="AN53" s="34">
        <f>IF(Composites!P53="","",Composites!P53/MAX(Composites!P$6:P53)-1)</f>
        <v/>
      </c>
    </row>
    <row r="54">
      <c r="B54" s="32">
        <f>'Historique ajusté'!B54</f>
        <v/>
      </c>
      <c r="C54" s="34">
        <f>IF(OR('Historique ajusté'!C54="",ROW()-Fenetre&lt;6),"",IF(INDEX('Historique ajusté'!C:C,ROW()-Fenetre)="","",'Historique ajusté'!C54/INDEX('Historique ajusté'!C:C,ROW()-Fenetre)-1))</f>
        <v/>
      </c>
      <c r="D54" s="34">
        <f>IF(OR('Historique ajusté'!D54="",ROW()-Fenetre&lt;6),"",IF(INDEX('Historique ajusté'!D:D,ROW()-Fenetre)="","",'Historique ajusté'!D54/INDEX('Historique ajusté'!D:D,ROW()-Fenetre)-1))</f>
        <v/>
      </c>
      <c r="E54" s="34">
        <f>IF(OR('Historique ajusté'!E54="",ROW()-Fenetre&lt;6),"",IF(INDEX('Historique ajusté'!E:E,ROW()-Fenetre)="","",'Historique ajusté'!E54/INDEX('Historique ajusté'!E:E,ROW()-Fenetre)-1))</f>
        <v/>
      </c>
      <c r="F54" s="34">
        <f>IF(OR('Historique ajusté'!F54="",ROW()-Fenetre&lt;6),"",IF(INDEX('Historique ajusté'!F:F,ROW()-Fenetre)="","",'Historique ajusté'!F54/INDEX('Historique ajusté'!F:F,ROW()-Fenetre)-1))</f>
        <v/>
      </c>
      <c r="G54" s="34">
        <f>IF(OR('Historique ajusté'!G54="",ROW()-Fenetre&lt;6),"",IF(INDEX('Historique ajusté'!G:G,ROW()-Fenetre)="","",'Historique ajusté'!G54/INDEX('Historique ajusté'!G:G,ROW()-Fenetre)-1))</f>
        <v/>
      </c>
      <c r="H54" s="34">
        <f>IF(OR('Historique ajusté'!H54="",ROW()-Fenetre&lt;6),"",IF(INDEX('Historique ajusté'!H:H,ROW()-Fenetre)="","",'Historique ajusté'!H54/INDEX('Historique ajusté'!H:H,ROW()-Fenetre)-1))</f>
        <v/>
      </c>
      <c r="I54" s="34">
        <f>IF(OR('Historique ajusté'!I54="",ROW()-Fenetre&lt;6),"",IF(INDEX('Historique ajusté'!I:I,ROW()-Fenetre)="","",'Historique ajusté'!I54/INDEX('Historique ajusté'!I:I,ROW()-Fenetre)-1))</f>
        <v/>
      </c>
      <c r="J54" s="34">
        <f>IF(OR('Historique ajusté'!J54="",ROW()-Fenetre&lt;6),"",IF(INDEX('Historique ajusté'!J:J,ROW()-Fenetre)="","",'Historique ajusté'!J54/INDEX('Historique ajusté'!J:J,ROW()-Fenetre)-1))</f>
        <v/>
      </c>
      <c r="K54" s="34">
        <f>IF(OR('Historique ajusté'!K54="",ROW()-Fenetre&lt;6),"",IF(INDEX('Historique ajusté'!K:K,ROW()-Fenetre)="","",'Historique ajusté'!K54/INDEX('Historique ajusté'!K:K,ROW()-Fenetre)-1))</f>
        <v/>
      </c>
      <c r="L54" s="34">
        <f>IF(OR('Historique ajusté'!L54="",ROW()-Fenetre&lt;6),"",IF(INDEX('Historique ajusté'!L:L,ROW()-Fenetre)="","",'Historique ajusté'!L54/INDEX('Historique ajusté'!L:L,ROW()-Fenetre)-1))</f>
        <v/>
      </c>
      <c r="M54" s="34">
        <f>IF(OR('Historique ajusté'!M54="",ROW()-Fenetre&lt;6),"",IF(INDEX('Historique ajusté'!M:M,ROW()-Fenetre)="","",'Historique ajusté'!M54/INDEX('Historique ajusté'!M:M,ROW()-Fenetre)-1))</f>
        <v/>
      </c>
      <c r="N54" s="34">
        <f>IF(OR('Historique ajusté'!N54="",ROW()-Fenetre&lt;6),"",IF(INDEX('Historique ajusté'!N:N,ROW()-Fenetre)="","",'Historique ajusté'!N54/INDEX('Historique ajusté'!N:N,ROW()-Fenetre)-1))</f>
        <v/>
      </c>
      <c r="O54" s="34">
        <f>IF(OR('Historique ajusté'!O54="",ROW()-Fenetre&lt;6),"",IF(INDEX('Historique ajusté'!O:O,ROW()-Fenetre)="","",'Historique ajusté'!O54/INDEX('Historique ajusté'!O:O,ROW()-Fenetre)-1))</f>
        <v/>
      </c>
      <c r="P54" s="34">
        <f>IF(OR('Historique ajusté'!P54="",ROW()-Fenetre&lt;6),"",IF(INDEX('Historique ajusté'!P:P,ROW()-Fenetre)="","",'Historique ajusté'!P54/INDEX('Historique ajusté'!P:P,ROW()-Fenetre)-1))</f>
        <v/>
      </c>
      <c r="Q54" s="34">
        <f>IF(OR(Composites!L54="",ROW()-Fenetre&lt;6),"",IF(INDEX(Composites!L:L,ROW()-Fenetre)="","",Composites!L54/INDEX(Composites!L:L,ROW()-Fenetre)-1))</f>
        <v/>
      </c>
      <c r="R54" s="34">
        <f>IF(OR(Composites!M54="",ROW()-Fenetre&lt;6),"",IF(INDEX(Composites!M:M,ROW()-Fenetre)="","",Composites!M54/INDEX(Composites!M:M,ROW()-Fenetre)-1))</f>
        <v/>
      </c>
      <c r="S54" s="34">
        <f>IF(OR(Composites!N54="",ROW()-Fenetre&lt;6),"",IF(INDEX(Composites!N:N,ROW()-Fenetre)="","",Composites!N54/INDEX(Composites!N:N,ROW()-Fenetre)-1))</f>
        <v/>
      </c>
      <c r="T54" s="34">
        <f>IF(OR(Composites!O54="",ROW()-Fenetre&lt;6),"",IF(INDEX(Composites!O:O,ROW()-Fenetre)="","",Composites!O54/INDEX(Composites!O:O,ROW()-Fenetre)-1))</f>
        <v/>
      </c>
      <c r="U54" s="34">
        <f>IF(OR(Composites!P54="",ROW()-Fenetre&lt;6),"",IF(INDEX(Composites!P:P,ROW()-Fenetre)="","",Composites!P54/INDEX(Composites!P:P,ROW()-Fenetre)-1))</f>
        <v/>
      </c>
      <c r="V54" s="34">
        <f>IF('Historique ajusté'!C54="","",'Historique ajusté'!C54/MAX('Historique ajusté'!C$6:C54)-1)</f>
        <v/>
      </c>
      <c r="W54" s="34">
        <f>IF('Historique ajusté'!D54="","",'Historique ajusté'!D54/MAX('Historique ajusté'!D$6:D54)-1)</f>
        <v/>
      </c>
      <c r="X54" s="34">
        <f>IF('Historique ajusté'!E54="","",'Historique ajusté'!E54/MAX('Historique ajusté'!E$6:E54)-1)</f>
        <v/>
      </c>
      <c r="Y54" s="34">
        <f>IF('Historique ajusté'!F54="","",'Historique ajusté'!F54/MAX('Historique ajusté'!F$6:F54)-1)</f>
        <v/>
      </c>
      <c r="Z54" s="34">
        <f>IF('Historique ajusté'!G54="","",'Historique ajusté'!G54/MAX('Historique ajusté'!G$6:G54)-1)</f>
        <v/>
      </c>
      <c r="AA54" s="34">
        <f>IF('Historique ajusté'!H54="","",'Historique ajusté'!H54/MAX('Historique ajusté'!H$6:H54)-1)</f>
        <v/>
      </c>
      <c r="AB54" s="34">
        <f>IF('Historique ajusté'!I54="","",'Historique ajusté'!I54/MAX('Historique ajusté'!I$6:I54)-1)</f>
        <v/>
      </c>
      <c r="AC54" s="34">
        <f>IF('Historique ajusté'!J54="","",'Historique ajusté'!J54/MAX('Historique ajusté'!J$6:J54)-1)</f>
        <v/>
      </c>
      <c r="AD54" s="34">
        <f>IF('Historique ajusté'!K54="","",'Historique ajusté'!K54/MAX('Historique ajusté'!K$6:K54)-1)</f>
        <v/>
      </c>
      <c r="AE54" s="34">
        <f>IF('Historique ajusté'!L54="","",'Historique ajusté'!L54/MAX('Historique ajusté'!L$6:L54)-1)</f>
        <v/>
      </c>
      <c r="AF54" s="34">
        <f>IF('Historique ajusté'!M54="","",'Historique ajusté'!M54/MAX('Historique ajusté'!M$6:M54)-1)</f>
        <v/>
      </c>
      <c r="AG54" s="34">
        <f>IF('Historique ajusté'!N54="","",'Historique ajusté'!N54/MAX('Historique ajusté'!N$6:N54)-1)</f>
        <v/>
      </c>
      <c r="AH54" s="34">
        <f>IF('Historique ajusté'!O54="","",'Historique ajusté'!O54/MAX('Historique ajusté'!O$6:O54)-1)</f>
        <v/>
      </c>
      <c r="AI54" s="34">
        <f>IF('Historique ajusté'!P54="","",'Historique ajusté'!P54/MAX('Historique ajusté'!P$6:P54)-1)</f>
        <v/>
      </c>
      <c r="AJ54" s="34">
        <f>IF(Composites!L54="","",Composites!L54/MAX(Composites!L$6:L54)-1)</f>
        <v/>
      </c>
      <c r="AK54" s="34">
        <f>IF(Composites!M54="","",Composites!M54/MAX(Composites!M$6:M54)-1)</f>
        <v/>
      </c>
      <c r="AL54" s="34">
        <f>IF(Composites!N54="","",Composites!N54/MAX(Composites!N$6:N54)-1)</f>
        <v/>
      </c>
      <c r="AM54" s="34">
        <f>IF(Composites!O54="","",Composites!O54/MAX(Composites!O$6:O54)-1)</f>
        <v/>
      </c>
      <c r="AN54" s="34">
        <f>IF(Composites!P54="","",Composites!P54/MAX(Composites!P$6:P54)-1)</f>
        <v/>
      </c>
    </row>
    <row r="55">
      <c r="B55" s="32">
        <f>'Historique ajusté'!B55</f>
        <v/>
      </c>
      <c r="C55" s="34">
        <f>IF(OR('Historique ajusté'!C55="",ROW()-Fenetre&lt;6),"",IF(INDEX('Historique ajusté'!C:C,ROW()-Fenetre)="","",'Historique ajusté'!C55/INDEX('Historique ajusté'!C:C,ROW()-Fenetre)-1))</f>
        <v/>
      </c>
      <c r="D55" s="34">
        <f>IF(OR('Historique ajusté'!D55="",ROW()-Fenetre&lt;6),"",IF(INDEX('Historique ajusté'!D:D,ROW()-Fenetre)="","",'Historique ajusté'!D55/INDEX('Historique ajusté'!D:D,ROW()-Fenetre)-1))</f>
        <v/>
      </c>
      <c r="E55" s="34">
        <f>IF(OR('Historique ajusté'!E55="",ROW()-Fenetre&lt;6),"",IF(INDEX('Historique ajusté'!E:E,ROW()-Fenetre)="","",'Historique ajusté'!E55/INDEX('Historique ajusté'!E:E,ROW()-Fenetre)-1))</f>
        <v/>
      </c>
      <c r="F55" s="34">
        <f>IF(OR('Historique ajusté'!F55="",ROW()-Fenetre&lt;6),"",IF(INDEX('Historique ajusté'!F:F,ROW()-Fenetre)="","",'Historique ajusté'!F55/INDEX('Historique ajusté'!F:F,ROW()-Fenetre)-1))</f>
        <v/>
      </c>
      <c r="G55" s="34">
        <f>IF(OR('Historique ajusté'!G55="",ROW()-Fenetre&lt;6),"",IF(INDEX('Historique ajusté'!G:G,ROW()-Fenetre)="","",'Historique ajusté'!G55/INDEX('Historique ajusté'!G:G,ROW()-Fenetre)-1))</f>
        <v/>
      </c>
      <c r="H55" s="34">
        <f>IF(OR('Historique ajusté'!H55="",ROW()-Fenetre&lt;6),"",IF(INDEX('Historique ajusté'!H:H,ROW()-Fenetre)="","",'Historique ajusté'!H55/INDEX('Historique ajusté'!H:H,ROW()-Fenetre)-1))</f>
        <v/>
      </c>
      <c r="I55" s="34">
        <f>IF(OR('Historique ajusté'!I55="",ROW()-Fenetre&lt;6),"",IF(INDEX('Historique ajusté'!I:I,ROW()-Fenetre)="","",'Historique ajusté'!I55/INDEX('Historique ajusté'!I:I,ROW()-Fenetre)-1))</f>
        <v/>
      </c>
      <c r="J55" s="34">
        <f>IF(OR('Historique ajusté'!J55="",ROW()-Fenetre&lt;6),"",IF(INDEX('Historique ajusté'!J:J,ROW()-Fenetre)="","",'Historique ajusté'!J55/INDEX('Historique ajusté'!J:J,ROW()-Fenetre)-1))</f>
        <v/>
      </c>
      <c r="K55" s="34">
        <f>IF(OR('Historique ajusté'!K55="",ROW()-Fenetre&lt;6),"",IF(INDEX('Historique ajusté'!K:K,ROW()-Fenetre)="","",'Historique ajusté'!K55/INDEX('Historique ajusté'!K:K,ROW()-Fenetre)-1))</f>
        <v/>
      </c>
      <c r="L55" s="34">
        <f>IF(OR('Historique ajusté'!L55="",ROW()-Fenetre&lt;6),"",IF(INDEX('Historique ajusté'!L:L,ROW()-Fenetre)="","",'Historique ajusté'!L55/INDEX('Historique ajusté'!L:L,ROW()-Fenetre)-1))</f>
        <v/>
      </c>
      <c r="M55" s="34">
        <f>IF(OR('Historique ajusté'!M55="",ROW()-Fenetre&lt;6),"",IF(INDEX('Historique ajusté'!M:M,ROW()-Fenetre)="","",'Historique ajusté'!M55/INDEX('Historique ajusté'!M:M,ROW()-Fenetre)-1))</f>
        <v/>
      </c>
      <c r="N55" s="34">
        <f>IF(OR('Historique ajusté'!N55="",ROW()-Fenetre&lt;6),"",IF(INDEX('Historique ajusté'!N:N,ROW()-Fenetre)="","",'Historique ajusté'!N55/INDEX('Historique ajusté'!N:N,ROW()-Fenetre)-1))</f>
        <v/>
      </c>
      <c r="O55" s="34">
        <f>IF(OR('Historique ajusté'!O55="",ROW()-Fenetre&lt;6),"",IF(INDEX('Historique ajusté'!O:O,ROW()-Fenetre)="","",'Historique ajusté'!O55/INDEX('Historique ajusté'!O:O,ROW()-Fenetre)-1))</f>
        <v/>
      </c>
      <c r="P55" s="34">
        <f>IF(OR('Historique ajusté'!P55="",ROW()-Fenetre&lt;6),"",IF(INDEX('Historique ajusté'!P:P,ROW()-Fenetre)="","",'Historique ajusté'!P55/INDEX('Historique ajusté'!P:P,ROW()-Fenetre)-1))</f>
        <v/>
      </c>
      <c r="Q55" s="34">
        <f>IF(OR(Composites!L55="",ROW()-Fenetre&lt;6),"",IF(INDEX(Composites!L:L,ROW()-Fenetre)="","",Composites!L55/INDEX(Composites!L:L,ROW()-Fenetre)-1))</f>
        <v/>
      </c>
      <c r="R55" s="34">
        <f>IF(OR(Composites!M55="",ROW()-Fenetre&lt;6),"",IF(INDEX(Composites!M:M,ROW()-Fenetre)="","",Composites!M55/INDEX(Composites!M:M,ROW()-Fenetre)-1))</f>
        <v/>
      </c>
      <c r="S55" s="34">
        <f>IF(OR(Composites!N55="",ROW()-Fenetre&lt;6),"",IF(INDEX(Composites!N:N,ROW()-Fenetre)="","",Composites!N55/INDEX(Composites!N:N,ROW()-Fenetre)-1))</f>
        <v/>
      </c>
      <c r="T55" s="34">
        <f>IF(OR(Composites!O55="",ROW()-Fenetre&lt;6),"",IF(INDEX(Composites!O:O,ROW()-Fenetre)="","",Composites!O55/INDEX(Composites!O:O,ROW()-Fenetre)-1))</f>
        <v/>
      </c>
      <c r="U55" s="34">
        <f>IF(OR(Composites!P55="",ROW()-Fenetre&lt;6),"",IF(INDEX(Composites!P:P,ROW()-Fenetre)="","",Composites!P55/INDEX(Composites!P:P,ROW()-Fenetre)-1))</f>
        <v/>
      </c>
      <c r="V55" s="34">
        <f>IF('Historique ajusté'!C55="","",'Historique ajusté'!C55/MAX('Historique ajusté'!C$6:C55)-1)</f>
        <v/>
      </c>
      <c r="W55" s="34">
        <f>IF('Historique ajusté'!D55="","",'Historique ajusté'!D55/MAX('Historique ajusté'!D$6:D55)-1)</f>
        <v/>
      </c>
      <c r="X55" s="34">
        <f>IF('Historique ajusté'!E55="","",'Historique ajusté'!E55/MAX('Historique ajusté'!E$6:E55)-1)</f>
        <v/>
      </c>
      <c r="Y55" s="34">
        <f>IF('Historique ajusté'!F55="","",'Historique ajusté'!F55/MAX('Historique ajusté'!F$6:F55)-1)</f>
        <v/>
      </c>
      <c r="Z55" s="34">
        <f>IF('Historique ajusté'!G55="","",'Historique ajusté'!G55/MAX('Historique ajusté'!G$6:G55)-1)</f>
        <v/>
      </c>
      <c r="AA55" s="34">
        <f>IF('Historique ajusté'!H55="","",'Historique ajusté'!H55/MAX('Historique ajusté'!H$6:H55)-1)</f>
        <v/>
      </c>
      <c r="AB55" s="34">
        <f>IF('Historique ajusté'!I55="","",'Historique ajusté'!I55/MAX('Historique ajusté'!I$6:I55)-1)</f>
        <v/>
      </c>
      <c r="AC55" s="34">
        <f>IF('Historique ajusté'!J55="","",'Historique ajusté'!J55/MAX('Historique ajusté'!J$6:J55)-1)</f>
        <v/>
      </c>
      <c r="AD55" s="34">
        <f>IF('Historique ajusté'!K55="","",'Historique ajusté'!K55/MAX('Historique ajusté'!K$6:K55)-1)</f>
        <v/>
      </c>
      <c r="AE55" s="34">
        <f>IF('Historique ajusté'!L55="","",'Historique ajusté'!L55/MAX('Historique ajusté'!L$6:L55)-1)</f>
        <v/>
      </c>
      <c r="AF55" s="34">
        <f>IF('Historique ajusté'!M55="","",'Historique ajusté'!M55/MAX('Historique ajusté'!M$6:M55)-1)</f>
        <v/>
      </c>
      <c r="AG55" s="34">
        <f>IF('Historique ajusté'!N55="","",'Historique ajusté'!N55/MAX('Historique ajusté'!N$6:N55)-1)</f>
        <v/>
      </c>
      <c r="AH55" s="34">
        <f>IF('Historique ajusté'!O55="","",'Historique ajusté'!O55/MAX('Historique ajusté'!O$6:O55)-1)</f>
        <v/>
      </c>
      <c r="AI55" s="34">
        <f>IF('Historique ajusté'!P55="","",'Historique ajusté'!P55/MAX('Historique ajusté'!P$6:P55)-1)</f>
        <v/>
      </c>
      <c r="AJ55" s="34">
        <f>IF(Composites!L55="","",Composites!L55/MAX(Composites!L$6:L55)-1)</f>
        <v/>
      </c>
      <c r="AK55" s="34">
        <f>IF(Composites!M55="","",Composites!M55/MAX(Composites!M$6:M55)-1)</f>
        <v/>
      </c>
      <c r="AL55" s="34">
        <f>IF(Composites!N55="","",Composites!N55/MAX(Composites!N$6:N55)-1)</f>
        <v/>
      </c>
      <c r="AM55" s="34">
        <f>IF(Composites!O55="","",Composites!O55/MAX(Composites!O$6:O55)-1)</f>
        <v/>
      </c>
      <c r="AN55" s="34">
        <f>IF(Composites!P55="","",Composites!P55/MAX(Composites!P$6:P55)-1)</f>
        <v/>
      </c>
    </row>
    <row r="56">
      <c r="B56" s="32">
        <f>'Historique ajusté'!B56</f>
        <v/>
      </c>
      <c r="C56" s="34">
        <f>IF(OR('Historique ajusté'!C56="",ROW()-Fenetre&lt;6),"",IF(INDEX('Historique ajusté'!C:C,ROW()-Fenetre)="","",'Historique ajusté'!C56/INDEX('Historique ajusté'!C:C,ROW()-Fenetre)-1))</f>
        <v/>
      </c>
      <c r="D56" s="34">
        <f>IF(OR('Historique ajusté'!D56="",ROW()-Fenetre&lt;6),"",IF(INDEX('Historique ajusté'!D:D,ROW()-Fenetre)="","",'Historique ajusté'!D56/INDEX('Historique ajusté'!D:D,ROW()-Fenetre)-1))</f>
        <v/>
      </c>
      <c r="E56" s="34">
        <f>IF(OR('Historique ajusté'!E56="",ROW()-Fenetre&lt;6),"",IF(INDEX('Historique ajusté'!E:E,ROW()-Fenetre)="","",'Historique ajusté'!E56/INDEX('Historique ajusté'!E:E,ROW()-Fenetre)-1))</f>
        <v/>
      </c>
      <c r="F56" s="34">
        <f>IF(OR('Historique ajusté'!F56="",ROW()-Fenetre&lt;6),"",IF(INDEX('Historique ajusté'!F:F,ROW()-Fenetre)="","",'Historique ajusté'!F56/INDEX('Historique ajusté'!F:F,ROW()-Fenetre)-1))</f>
        <v/>
      </c>
      <c r="G56" s="34">
        <f>IF(OR('Historique ajusté'!G56="",ROW()-Fenetre&lt;6),"",IF(INDEX('Historique ajusté'!G:G,ROW()-Fenetre)="","",'Historique ajusté'!G56/INDEX('Historique ajusté'!G:G,ROW()-Fenetre)-1))</f>
        <v/>
      </c>
      <c r="H56" s="34">
        <f>IF(OR('Historique ajusté'!H56="",ROW()-Fenetre&lt;6),"",IF(INDEX('Historique ajusté'!H:H,ROW()-Fenetre)="","",'Historique ajusté'!H56/INDEX('Historique ajusté'!H:H,ROW()-Fenetre)-1))</f>
        <v/>
      </c>
      <c r="I56" s="34">
        <f>IF(OR('Historique ajusté'!I56="",ROW()-Fenetre&lt;6),"",IF(INDEX('Historique ajusté'!I:I,ROW()-Fenetre)="","",'Historique ajusté'!I56/INDEX('Historique ajusté'!I:I,ROW()-Fenetre)-1))</f>
        <v/>
      </c>
      <c r="J56" s="34">
        <f>IF(OR('Historique ajusté'!J56="",ROW()-Fenetre&lt;6),"",IF(INDEX('Historique ajusté'!J:J,ROW()-Fenetre)="","",'Historique ajusté'!J56/INDEX('Historique ajusté'!J:J,ROW()-Fenetre)-1))</f>
        <v/>
      </c>
      <c r="K56" s="34">
        <f>IF(OR('Historique ajusté'!K56="",ROW()-Fenetre&lt;6),"",IF(INDEX('Historique ajusté'!K:K,ROW()-Fenetre)="","",'Historique ajusté'!K56/INDEX('Historique ajusté'!K:K,ROW()-Fenetre)-1))</f>
        <v/>
      </c>
      <c r="L56" s="34">
        <f>IF(OR('Historique ajusté'!L56="",ROW()-Fenetre&lt;6),"",IF(INDEX('Historique ajusté'!L:L,ROW()-Fenetre)="","",'Historique ajusté'!L56/INDEX('Historique ajusté'!L:L,ROW()-Fenetre)-1))</f>
        <v/>
      </c>
      <c r="M56" s="34">
        <f>IF(OR('Historique ajusté'!M56="",ROW()-Fenetre&lt;6),"",IF(INDEX('Historique ajusté'!M:M,ROW()-Fenetre)="","",'Historique ajusté'!M56/INDEX('Historique ajusté'!M:M,ROW()-Fenetre)-1))</f>
        <v/>
      </c>
      <c r="N56" s="34">
        <f>IF(OR('Historique ajusté'!N56="",ROW()-Fenetre&lt;6),"",IF(INDEX('Historique ajusté'!N:N,ROW()-Fenetre)="","",'Historique ajusté'!N56/INDEX('Historique ajusté'!N:N,ROW()-Fenetre)-1))</f>
        <v/>
      </c>
      <c r="O56" s="34">
        <f>IF(OR('Historique ajusté'!O56="",ROW()-Fenetre&lt;6),"",IF(INDEX('Historique ajusté'!O:O,ROW()-Fenetre)="","",'Historique ajusté'!O56/INDEX('Historique ajusté'!O:O,ROW()-Fenetre)-1))</f>
        <v/>
      </c>
      <c r="P56" s="34">
        <f>IF(OR('Historique ajusté'!P56="",ROW()-Fenetre&lt;6),"",IF(INDEX('Historique ajusté'!P:P,ROW()-Fenetre)="","",'Historique ajusté'!P56/INDEX('Historique ajusté'!P:P,ROW()-Fenetre)-1))</f>
        <v/>
      </c>
      <c r="Q56" s="34">
        <f>IF(OR(Composites!L56="",ROW()-Fenetre&lt;6),"",IF(INDEX(Composites!L:L,ROW()-Fenetre)="","",Composites!L56/INDEX(Composites!L:L,ROW()-Fenetre)-1))</f>
        <v/>
      </c>
      <c r="R56" s="34">
        <f>IF(OR(Composites!M56="",ROW()-Fenetre&lt;6),"",IF(INDEX(Composites!M:M,ROW()-Fenetre)="","",Composites!M56/INDEX(Composites!M:M,ROW()-Fenetre)-1))</f>
        <v/>
      </c>
      <c r="S56" s="34">
        <f>IF(OR(Composites!N56="",ROW()-Fenetre&lt;6),"",IF(INDEX(Composites!N:N,ROW()-Fenetre)="","",Composites!N56/INDEX(Composites!N:N,ROW()-Fenetre)-1))</f>
        <v/>
      </c>
      <c r="T56" s="34">
        <f>IF(OR(Composites!O56="",ROW()-Fenetre&lt;6),"",IF(INDEX(Composites!O:O,ROW()-Fenetre)="","",Composites!O56/INDEX(Composites!O:O,ROW()-Fenetre)-1))</f>
        <v/>
      </c>
      <c r="U56" s="34">
        <f>IF(OR(Composites!P56="",ROW()-Fenetre&lt;6),"",IF(INDEX(Composites!P:P,ROW()-Fenetre)="","",Composites!P56/INDEX(Composites!P:P,ROW()-Fenetre)-1))</f>
        <v/>
      </c>
      <c r="V56" s="34">
        <f>IF('Historique ajusté'!C56="","",'Historique ajusté'!C56/MAX('Historique ajusté'!C$6:C56)-1)</f>
        <v/>
      </c>
      <c r="W56" s="34">
        <f>IF('Historique ajusté'!D56="","",'Historique ajusté'!D56/MAX('Historique ajusté'!D$6:D56)-1)</f>
        <v/>
      </c>
      <c r="X56" s="34">
        <f>IF('Historique ajusté'!E56="","",'Historique ajusté'!E56/MAX('Historique ajusté'!E$6:E56)-1)</f>
        <v/>
      </c>
      <c r="Y56" s="34">
        <f>IF('Historique ajusté'!F56="","",'Historique ajusté'!F56/MAX('Historique ajusté'!F$6:F56)-1)</f>
        <v/>
      </c>
      <c r="Z56" s="34">
        <f>IF('Historique ajusté'!G56="","",'Historique ajusté'!G56/MAX('Historique ajusté'!G$6:G56)-1)</f>
        <v/>
      </c>
      <c r="AA56" s="34">
        <f>IF('Historique ajusté'!H56="","",'Historique ajusté'!H56/MAX('Historique ajusté'!H$6:H56)-1)</f>
        <v/>
      </c>
      <c r="AB56" s="34">
        <f>IF('Historique ajusté'!I56="","",'Historique ajusté'!I56/MAX('Historique ajusté'!I$6:I56)-1)</f>
        <v/>
      </c>
      <c r="AC56" s="34">
        <f>IF('Historique ajusté'!J56="","",'Historique ajusté'!J56/MAX('Historique ajusté'!J$6:J56)-1)</f>
        <v/>
      </c>
      <c r="AD56" s="34">
        <f>IF('Historique ajusté'!K56="","",'Historique ajusté'!K56/MAX('Historique ajusté'!K$6:K56)-1)</f>
        <v/>
      </c>
      <c r="AE56" s="34">
        <f>IF('Historique ajusté'!L56="","",'Historique ajusté'!L56/MAX('Historique ajusté'!L$6:L56)-1)</f>
        <v/>
      </c>
      <c r="AF56" s="34">
        <f>IF('Historique ajusté'!M56="","",'Historique ajusté'!M56/MAX('Historique ajusté'!M$6:M56)-1)</f>
        <v/>
      </c>
      <c r="AG56" s="34">
        <f>IF('Historique ajusté'!N56="","",'Historique ajusté'!N56/MAX('Historique ajusté'!N$6:N56)-1)</f>
        <v/>
      </c>
      <c r="AH56" s="34">
        <f>IF('Historique ajusté'!O56="","",'Historique ajusté'!O56/MAX('Historique ajusté'!O$6:O56)-1)</f>
        <v/>
      </c>
      <c r="AI56" s="34">
        <f>IF('Historique ajusté'!P56="","",'Historique ajusté'!P56/MAX('Historique ajusté'!P$6:P56)-1)</f>
        <v/>
      </c>
      <c r="AJ56" s="34">
        <f>IF(Composites!L56="","",Composites!L56/MAX(Composites!L$6:L56)-1)</f>
        <v/>
      </c>
      <c r="AK56" s="34">
        <f>IF(Composites!M56="","",Composites!M56/MAX(Composites!M$6:M56)-1)</f>
        <v/>
      </c>
      <c r="AL56" s="34">
        <f>IF(Composites!N56="","",Composites!N56/MAX(Composites!N$6:N56)-1)</f>
        <v/>
      </c>
      <c r="AM56" s="34">
        <f>IF(Composites!O56="","",Composites!O56/MAX(Composites!O$6:O56)-1)</f>
        <v/>
      </c>
      <c r="AN56" s="34">
        <f>IF(Composites!P56="","",Composites!P56/MAX(Composites!P$6:P56)-1)</f>
        <v/>
      </c>
    </row>
    <row r="57">
      <c r="B57" s="32">
        <f>'Historique ajusté'!B57</f>
        <v/>
      </c>
      <c r="C57" s="34">
        <f>IF(OR('Historique ajusté'!C57="",ROW()-Fenetre&lt;6),"",IF(INDEX('Historique ajusté'!C:C,ROW()-Fenetre)="","",'Historique ajusté'!C57/INDEX('Historique ajusté'!C:C,ROW()-Fenetre)-1))</f>
        <v/>
      </c>
      <c r="D57" s="34">
        <f>IF(OR('Historique ajusté'!D57="",ROW()-Fenetre&lt;6),"",IF(INDEX('Historique ajusté'!D:D,ROW()-Fenetre)="","",'Historique ajusté'!D57/INDEX('Historique ajusté'!D:D,ROW()-Fenetre)-1))</f>
        <v/>
      </c>
      <c r="E57" s="34">
        <f>IF(OR('Historique ajusté'!E57="",ROW()-Fenetre&lt;6),"",IF(INDEX('Historique ajusté'!E:E,ROW()-Fenetre)="","",'Historique ajusté'!E57/INDEX('Historique ajusté'!E:E,ROW()-Fenetre)-1))</f>
        <v/>
      </c>
      <c r="F57" s="34">
        <f>IF(OR('Historique ajusté'!F57="",ROW()-Fenetre&lt;6),"",IF(INDEX('Historique ajusté'!F:F,ROW()-Fenetre)="","",'Historique ajusté'!F57/INDEX('Historique ajusté'!F:F,ROW()-Fenetre)-1))</f>
        <v/>
      </c>
      <c r="G57" s="34">
        <f>IF(OR('Historique ajusté'!G57="",ROW()-Fenetre&lt;6),"",IF(INDEX('Historique ajusté'!G:G,ROW()-Fenetre)="","",'Historique ajusté'!G57/INDEX('Historique ajusté'!G:G,ROW()-Fenetre)-1))</f>
        <v/>
      </c>
      <c r="H57" s="34">
        <f>IF(OR('Historique ajusté'!H57="",ROW()-Fenetre&lt;6),"",IF(INDEX('Historique ajusté'!H:H,ROW()-Fenetre)="","",'Historique ajusté'!H57/INDEX('Historique ajusté'!H:H,ROW()-Fenetre)-1))</f>
        <v/>
      </c>
      <c r="I57" s="34">
        <f>IF(OR('Historique ajusté'!I57="",ROW()-Fenetre&lt;6),"",IF(INDEX('Historique ajusté'!I:I,ROW()-Fenetre)="","",'Historique ajusté'!I57/INDEX('Historique ajusté'!I:I,ROW()-Fenetre)-1))</f>
        <v/>
      </c>
      <c r="J57" s="34">
        <f>IF(OR('Historique ajusté'!J57="",ROW()-Fenetre&lt;6),"",IF(INDEX('Historique ajusté'!J:J,ROW()-Fenetre)="","",'Historique ajusté'!J57/INDEX('Historique ajusté'!J:J,ROW()-Fenetre)-1))</f>
        <v/>
      </c>
      <c r="K57" s="34">
        <f>IF(OR('Historique ajusté'!K57="",ROW()-Fenetre&lt;6),"",IF(INDEX('Historique ajusté'!K:K,ROW()-Fenetre)="","",'Historique ajusté'!K57/INDEX('Historique ajusté'!K:K,ROW()-Fenetre)-1))</f>
        <v/>
      </c>
      <c r="L57" s="34">
        <f>IF(OR('Historique ajusté'!L57="",ROW()-Fenetre&lt;6),"",IF(INDEX('Historique ajusté'!L:L,ROW()-Fenetre)="","",'Historique ajusté'!L57/INDEX('Historique ajusté'!L:L,ROW()-Fenetre)-1))</f>
        <v/>
      </c>
      <c r="M57" s="34">
        <f>IF(OR('Historique ajusté'!M57="",ROW()-Fenetre&lt;6),"",IF(INDEX('Historique ajusté'!M:M,ROW()-Fenetre)="","",'Historique ajusté'!M57/INDEX('Historique ajusté'!M:M,ROW()-Fenetre)-1))</f>
        <v/>
      </c>
      <c r="N57" s="34">
        <f>IF(OR('Historique ajusté'!N57="",ROW()-Fenetre&lt;6),"",IF(INDEX('Historique ajusté'!N:N,ROW()-Fenetre)="","",'Historique ajusté'!N57/INDEX('Historique ajusté'!N:N,ROW()-Fenetre)-1))</f>
        <v/>
      </c>
      <c r="O57" s="34">
        <f>IF(OR('Historique ajusté'!O57="",ROW()-Fenetre&lt;6),"",IF(INDEX('Historique ajusté'!O:O,ROW()-Fenetre)="","",'Historique ajusté'!O57/INDEX('Historique ajusté'!O:O,ROW()-Fenetre)-1))</f>
        <v/>
      </c>
      <c r="P57" s="34">
        <f>IF(OR('Historique ajusté'!P57="",ROW()-Fenetre&lt;6),"",IF(INDEX('Historique ajusté'!P:P,ROW()-Fenetre)="","",'Historique ajusté'!P57/INDEX('Historique ajusté'!P:P,ROW()-Fenetre)-1))</f>
        <v/>
      </c>
      <c r="Q57" s="34">
        <f>IF(OR(Composites!L57="",ROW()-Fenetre&lt;6),"",IF(INDEX(Composites!L:L,ROW()-Fenetre)="","",Composites!L57/INDEX(Composites!L:L,ROW()-Fenetre)-1))</f>
        <v/>
      </c>
      <c r="R57" s="34">
        <f>IF(OR(Composites!M57="",ROW()-Fenetre&lt;6),"",IF(INDEX(Composites!M:M,ROW()-Fenetre)="","",Composites!M57/INDEX(Composites!M:M,ROW()-Fenetre)-1))</f>
        <v/>
      </c>
      <c r="S57" s="34">
        <f>IF(OR(Composites!N57="",ROW()-Fenetre&lt;6),"",IF(INDEX(Composites!N:N,ROW()-Fenetre)="","",Composites!N57/INDEX(Composites!N:N,ROW()-Fenetre)-1))</f>
        <v/>
      </c>
      <c r="T57" s="34">
        <f>IF(OR(Composites!O57="",ROW()-Fenetre&lt;6),"",IF(INDEX(Composites!O:O,ROW()-Fenetre)="","",Composites!O57/INDEX(Composites!O:O,ROW()-Fenetre)-1))</f>
        <v/>
      </c>
      <c r="U57" s="34">
        <f>IF(OR(Composites!P57="",ROW()-Fenetre&lt;6),"",IF(INDEX(Composites!P:P,ROW()-Fenetre)="","",Composites!P57/INDEX(Composites!P:P,ROW()-Fenetre)-1))</f>
        <v/>
      </c>
      <c r="V57" s="34">
        <f>IF('Historique ajusté'!C57="","",'Historique ajusté'!C57/MAX('Historique ajusté'!C$6:C57)-1)</f>
        <v/>
      </c>
      <c r="W57" s="34">
        <f>IF('Historique ajusté'!D57="","",'Historique ajusté'!D57/MAX('Historique ajusté'!D$6:D57)-1)</f>
        <v/>
      </c>
      <c r="X57" s="34">
        <f>IF('Historique ajusté'!E57="","",'Historique ajusté'!E57/MAX('Historique ajusté'!E$6:E57)-1)</f>
        <v/>
      </c>
      <c r="Y57" s="34">
        <f>IF('Historique ajusté'!F57="","",'Historique ajusté'!F57/MAX('Historique ajusté'!F$6:F57)-1)</f>
        <v/>
      </c>
      <c r="Z57" s="34">
        <f>IF('Historique ajusté'!G57="","",'Historique ajusté'!G57/MAX('Historique ajusté'!G$6:G57)-1)</f>
        <v/>
      </c>
      <c r="AA57" s="34">
        <f>IF('Historique ajusté'!H57="","",'Historique ajusté'!H57/MAX('Historique ajusté'!H$6:H57)-1)</f>
        <v/>
      </c>
      <c r="AB57" s="34">
        <f>IF('Historique ajusté'!I57="","",'Historique ajusté'!I57/MAX('Historique ajusté'!I$6:I57)-1)</f>
        <v/>
      </c>
      <c r="AC57" s="34">
        <f>IF('Historique ajusté'!J57="","",'Historique ajusté'!J57/MAX('Historique ajusté'!J$6:J57)-1)</f>
        <v/>
      </c>
      <c r="AD57" s="34">
        <f>IF('Historique ajusté'!K57="","",'Historique ajusté'!K57/MAX('Historique ajusté'!K$6:K57)-1)</f>
        <v/>
      </c>
      <c r="AE57" s="34">
        <f>IF('Historique ajusté'!L57="","",'Historique ajusté'!L57/MAX('Historique ajusté'!L$6:L57)-1)</f>
        <v/>
      </c>
      <c r="AF57" s="34">
        <f>IF('Historique ajusté'!M57="","",'Historique ajusté'!M57/MAX('Historique ajusté'!M$6:M57)-1)</f>
        <v/>
      </c>
      <c r="AG57" s="34">
        <f>IF('Historique ajusté'!N57="","",'Historique ajusté'!N57/MAX('Historique ajusté'!N$6:N57)-1)</f>
        <v/>
      </c>
      <c r="AH57" s="34">
        <f>IF('Historique ajusté'!O57="","",'Historique ajusté'!O57/MAX('Historique ajusté'!O$6:O57)-1)</f>
        <v/>
      </c>
      <c r="AI57" s="34">
        <f>IF('Historique ajusté'!P57="","",'Historique ajusté'!P57/MAX('Historique ajusté'!P$6:P57)-1)</f>
        <v/>
      </c>
      <c r="AJ57" s="34">
        <f>IF(Composites!L57="","",Composites!L57/MAX(Composites!L$6:L57)-1)</f>
        <v/>
      </c>
      <c r="AK57" s="34">
        <f>IF(Composites!M57="","",Composites!M57/MAX(Composites!M$6:M57)-1)</f>
        <v/>
      </c>
      <c r="AL57" s="34">
        <f>IF(Composites!N57="","",Composites!N57/MAX(Composites!N$6:N57)-1)</f>
        <v/>
      </c>
      <c r="AM57" s="34">
        <f>IF(Composites!O57="","",Composites!O57/MAX(Composites!O$6:O57)-1)</f>
        <v/>
      </c>
      <c r="AN57" s="34">
        <f>IF(Composites!P57="","",Composites!P57/MAX(Composites!P$6:P57)-1)</f>
        <v/>
      </c>
    </row>
    <row r="58">
      <c r="B58" s="32">
        <f>'Historique ajusté'!B58</f>
        <v/>
      </c>
      <c r="C58" s="34">
        <f>IF(OR('Historique ajusté'!C58="",ROW()-Fenetre&lt;6),"",IF(INDEX('Historique ajusté'!C:C,ROW()-Fenetre)="","",'Historique ajusté'!C58/INDEX('Historique ajusté'!C:C,ROW()-Fenetre)-1))</f>
        <v/>
      </c>
      <c r="D58" s="34">
        <f>IF(OR('Historique ajusté'!D58="",ROW()-Fenetre&lt;6),"",IF(INDEX('Historique ajusté'!D:D,ROW()-Fenetre)="","",'Historique ajusté'!D58/INDEX('Historique ajusté'!D:D,ROW()-Fenetre)-1))</f>
        <v/>
      </c>
      <c r="E58" s="34">
        <f>IF(OR('Historique ajusté'!E58="",ROW()-Fenetre&lt;6),"",IF(INDEX('Historique ajusté'!E:E,ROW()-Fenetre)="","",'Historique ajusté'!E58/INDEX('Historique ajusté'!E:E,ROW()-Fenetre)-1))</f>
        <v/>
      </c>
      <c r="F58" s="34">
        <f>IF(OR('Historique ajusté'!F58="",ROW()-Fenetre&lt;6),"",IF(INDEX('Historique ajusté'!F:F,ROW()-Fenetre)="","",'Historique ajusté'!F58/INDEX('Historique ajusté'!F:F,ROW()-Fenetre)-1))</f>
        <v/>
      </c>
      <c r="G58" s="34">
        <f>IF(OR('Historique ajusté'!G58="",ROW()-Fenetre&lt;6),"",IF(INDEX('Historique ajusté'!G:G,ROW()-Fenetre)="","",'Historique ajusté'!G58/INDEX('Historique ajusté'!G:G,ROW()-Fenetre)-1))</f>
        <v/>
      </c>
      <c r="H58" s="34">
        <f>IF(OR('Historique ajusté'!H58="",ROW()-Fenetre&lt;6),"",IF(INDEX('Historique ajusté'!H:H,ROW()-Fenetre)="","",'Historique ajusté'!H58/INDEX('Historique ajusté'!H:H,ROW()-Fenetre)-1))</f>
        <v/>
      </c>
      <c r="I58" s="34">
        <f>IF(OR('Historique ajusté'!I58="",ROW()-Fenetre&lt;6),"",IF(INDEX('Historique ajusté'!I:I,ROW()-Fenetre)="","",'Historique ajusté'!I58/INDEX('Historique ajusté'!I:I,ROW()-Fenetre)-1))</f>
        <v/>
      </c>
      <c r="J58" s="34">
        <f>IF(OR('Historique ajusté'!J58="",ROW()-Fenetre&lt;6),"",IF(INDEX('Historique ajusté'!J:J,ROW()-Fenetre)="","",'Historique ajusté'!J58/INDEX('Historique ajusté'!J:J,ROW()-Fenetre)-1))</f>
        <v/>
      </c>
      <c r="K58" s="34">
        <f>IF(OR('Historique ajusté'!K58="",ROW()-Fenetre&lt;6),"",IF(INDEX('Historique ajusté'!K:K,ROW()-Fenetre)="","",'Historique ajusté'!K58/INDEX('Historique ajusté'!K:K,ROW()-Fenetre)-1))</f>
        <v/>
      </c>
      <c r="L58" s="34">
        <f>IF(OR('Historique ajusté'!L58="",ROW()-Fenetre&lt;6),"",IF(INDEX('Historique ajusté'!L:L,ROW()-Fenetre)="","",'Historique ajusté'!L58/INDEX('Historique ajusté'!L:L,ROW()-Fenetre)-1))</f>
        <v/>
      </c>
      <c r="M58" s="34">
        <f>IF(OR('Historique ajusté'!M58="",ROW()-Fenetre&lt;6),"",IF(INDEX('Historique ajusté'!M:M,ROW()-Fenetre)="","",'Historique ajusté'!M58/INDEX('Historique ajusté'!M:M,ROW()-Fenetre)-1))</f>
        <v/>
      </c>
      <c r="N58" s="34">
        <f>IF(OR('Historique ajusté'!N58="",ROW()-Fenetre&lt;6),"",IF(INDEX('Historique ajusté'!N:N,ROW()-Fenetre)="","",'Historique ajusté'!N58/INDEX('Historique ajusté'!N:N,ROW()-Fenetre)-1))</f>
        <v/>
      </c>
      <c r="O58" s="34">
        <f>IF(OR('Historique ajusté'!O58="",ROW()-Fenetre&lt;6),"",IF(INDEX('Historique ajusté'!O:O,ROW()-Fenetre)="","",'Historique ajusté'!O58/INDEX('Historique ajusté'!O:O,ROW()-Fenetre)-1))</f>
        <v/>
      </c>
      <c r="P58" s="34">
        <f>IF(OR('Historique ajusté'!P58="",ROW()-Fenetre&lt;6),"",IF(INDEX('Historique ajusté'!P:P,ROW()-Fenetre)="","",'Historique ajusté'!P58/INDEX('Historique ajusté'!P:P,ROW()-Fenetre)-1))</f>
        <v/>
      </c>
      <c r="Q58" s="34">
        <f>IF(OR(Composites!L58="",ROW()-Fenetre&lt;6),"",IF(INDEX(Composites!L:L,ROW()-Fenetre)="","",Composites!L58/INDEX(Composites!L:L,ROW()-Fenetre)-1))</f>
        <v/>
      </c>
      <c r="R58" s="34">
        <f>IF(OR(Composites!M58="",ROW()-Fenetre&lt;6),"",IF(INDEX(Composites!M:M,ROW()-Fenetre)="","",Composites!M58/INDEX(Composites!M:M,ROW()-Fenetre)-1))</f>
        <v/>
      </c>
      <c r="S58" s="34">
        <f>IF(OR(Composites!N58="",ROW()-Fenetre&lt;6),"",IF(INDEX(Composites!N:N,ROW()-Fenetre)="","",Composites!N58/INDEX(Composites!N:N,ROW()-Fenetre)-1))</f>
        <v/>
      </c>
      <c r="T58" s="34">
        <f>IF(OR(Composites!O58="",ROW()-Fenetre&lt;6),"",IF(INDEX(Composites!O:O,ROW()-Fenetre)="","",Composites!O58/INDEX(Composites!O:O,ROW()-Fenetre)-1))</f>
        <v/>
      </c>
      <c r="U58" s="34">
        <f>IF(OR(Composites!P58="",ROW()-Fenetre&lt;6),"",IF(INDEX(Composites!P:P,ROW()-Fenetre)="","",Composites!P58/INDEX(Composites!P:P,ROW()-Fenetre)-1))</f>
        <v/>
      </c>
      <c r="V58" s="34">
        <f>IF('Historique ajusté'!C58="","",'Historique ajusté'!C58/MAX('Historique ajusté'!C$6:C58)-1)</f>
        <v/>
      </c>
      <c r="W58" s="34">
        <f>IF('Historique ajusté'!D58="","",'Historique ajusté'!D58/MAX('Historique ajusté'!D$6:D58)-1)</f>
        <v/>
      </c>
      <c r="X58" s="34">
        <f>IF('Historique ajusté'!E58="","",'Historique ajusté'!E58/MAX('Historique ajusté'!E$6:E58)-1)</f>
        <v/>
      </c>
      <c r="Y58" s="34">
        <f>IF('Historique ajusté'!F58="","",'Historique ajusté'!F58/MAX('Historique ajusté'!F$6:F58)-1)</f>
        <v/>
      </c>
      <c r="Z58" s="34">
        <f>IF('Historique ajusté'!G58="","",'Historique ajusté'!G58/MAX('Historique ajusté'!G$6:G58)-1)</f>
        <v/>
      </c>
      <c r="AA58" s="34">
        <f>IF('Historique ajusté'!H58="","",'Historique ajusté'!H58/MAX('Historique ajusté'!H$6:H58)-1)</f>
        <v/>
      </c>
      <c r="AB58" s="34">
        <f>IF('Historique ajusté'!I58="","",'Historique ajusté'!I58/MAX('Historique ajusté'!I$6:I58)-1)</f>
        <v/>
      </c>
      <c r="AC58" s="34">
        <f>IF('Historique ajusté'!J58="","",'Historique ajusté'!J58/MAX('Historique ajusté'!J$6:J58)-1)</f>
        <v/>
      </c>
      <c r="AD58" s="34">
        <f>IF('Historique ajusté'!K58="","",'Historique ajusté'!K58/MAX('Historique ajusté'!K$6:K58)-1)</f>
        <v/>
      </c>
      <c r="AE58" s="34">
        <f>IF('Historique ajusté'!L58="","",'Historique ajusté'!L58/MAX('Historique ajusté'!L$6:L58)-1)</f>
        <v/>
      </c>
      <c r="AF58" s="34">
        <f>IF('Historique ajusté'!M58="","",'Historique ajusté'!M58/MAX('Historique ajusté'!M$6:M58)-1)</f>
        <v/>
      </c>
      <c r="AG58" s="34">
        <f>IF('Historique ajusté'!N58="","",'Historique ajusté'!N58/MAX('Historique ajusté'!N$6:N58)-1)</f>
        <v/>
      </c>
      <c r="AH58" s="34">
        <f>IF('Historique ajusté'!O58="","",'Historique ajusté'!O58/MAX('Historique ajusté'!O$6:O58)-1)</f>
        <v/>
      </c>
      <c r="AI58" s="34">
        <f>IF('Historique ajusté'!P58="","",'Historique ajusté'!P58/MAX('Historique ajusté'!P$6:P58)-1)</f>
        <v/>
      </c>
      <c r="AJ58" s="34">
        <f>IF(Composites!L58="","",Composites!L58/MAX(Composites!L$6:L58)-1)</f>
        <v/>
      </c>
      <c r="AK58" s="34">
        <f>IF(Composites!M58="","",Composites!M58/MAX(Composites!M$6:M58)-1)</f>
        <v/>
      </c>
      <c r="AL58" s="34">
        <f>IF(Composites!N58="","",Composites!N58/MAX(Composites!N$6:N58)-1)</f>
        <v/>
      </c>
      <c r="AM58" s="34">
        <f>IF(Composites!O58="","",Composites!O58/MAX(Composites!O$6:O58)-1)</f>
        <v/>
      </c>
      <c r="AN58" s="34">
        <f>IF(Composites!P58="","",Composites!P58/MAX(Composites!P$6:P58)-1)</f>
        <v/>
      </c>
    </row>
    <row r="59">
      <c r="B59" s="32">
        <f>'Historique ajusté'!B59</f>
        <v/>
      </c>
      <c r="C59" s="34">
        <f>IF(OR('Historique ajusté'!C59="",ROW()-Fenetre&lt;6),"",IF(INDEX('Historique ajusté'!C:C,ROW()-Fenetre)="","",'Historique ajusté'!C59/INDEX('Historique ajusté'!C:C,ROW()-Fenetre)-1))</f>
        <v/>
      </c>
      <c r="D59" s="34">
        <f>IF(OR('Historique ajusté'!D59="",ROW()-Fenetre&lt;6),"",IF(INDEX('Historique ajusté'!D:D,ROW()-Fenetre)="","",'Historique ajusté'!D59/INDEX('Historique ajusté'!D:D,ROW()-Fenetre)-1))</f>
        <v/>
      </c>
      <c r="E59" s="34">
        <f>IF(OR('Historique ajusté'!E59="",ROW()-Fenetre&lt;6),"",IF(INDEX('Historique ajusté'!E:E,ROW()-Fenetre)="","",'Historique ajusté'!E59/INDEX('Historique ajusté'!E:E,ROW()-Fenetre)-1))</f>
        <v/>
      </c>
      <c r="F59" s="34">
        <f>IF(OR('Historique ajusté'!F59="",ROW()-Fenetre&lt;6),"",IF(INDEX('Historique ajusté'!F:F,ROW()-Fenetre)="","",'Historique ajusté'!F59/INDEX('Historique ajusté'!F:F,ROW()-Fenetre)-1))</f>
        <v/>
      </c>
      <c r="G59" s="34">
        <f>IF(OR('Historique ajusté'!G59="",ROW()-Fenetre&lt;6),"",IF(INDEX('Historique ajusté'!G:G,ROW()-Fenetre)="","",'Historique ajusté'!G59/INDEX('Historique ajusté'!G:G,ROW()-Fenetre)-1))</f>
        <v/>
      </c>
      <c r="H59" s="34">
        <f>IF(OR('Historique ajusté'!H59="",ROW()-Fenetre&lt;6),"",IF(INDEX('Historique ajusté'!H:H,ROW()-Fenetre)="","",'Historique ajusté'!H59/INDEX('Historique ajusté'!H:H,ROW()-Fenetre)-1))</f>
        <v/>
      </c>
      <c r="I59" s="34">
        <f>IF(OR('Historique ajusté'!I59="",ROW()-Fenetre&lt;6),"",IF(INDEX('Historique ajusté'!I:I,ROW()-Fenetre)="","",'Historique ajusté'!I59/INDEX('Historique ajusté'!I:I,ROW()-Fenetre)-1))</f>
        <v/>
      </c>
      <c r="J59" s="34">
        <f>IF(OR('Historique ajusté'!J59="",ROW()-Fenetre&lt;6),"",IF(INDEX('Historique ajusté'!J:J,ROW()-Fenetre)="","",'Historique ajusté'!J59/INDEX('Historique ajusté'!J:J,ROW()-Fenetre)-1))</f>
        <v/>
      </c>
      <c r="K59" s="34">
        <f>IF(OR('Historique ajusté'!K59="",ROW()-Fenetre&lt;6),"",IF(INDEX('Historique ajusté'!K:K,ROW()-Fenetre)="","",'Historique ajusté'!K59/INDEX('Historique ajusté'!K:K,ROW()-Fenetre)-1))</f>
        <v/>
      </c>
      <c r="L59" s="34">
        <f>IF(OR('Historique ajusté'!L59="",ROW()-Fenetre&lt;6),"",IF(INDEX('Historique ajusté'!L:L,ROW()-Fenetre)="","",'Historique ajusté'!L59/INDEX('Historique ajusté'!L:L,ROW()-Fenetre)-1))</f>
        <v/>
      </c>
      <c r="M59" s="34">
        <f>IF(OR('Historique ajusté'!M59="",ROW()-Fenetre&lt;6),"",IF(INDEX('Historique ajusté'!M:M,ROW()-Fenetre)="","",'Historique ajusté'!M59/INDEX('Historique ajusté'!M:M,ROW()-Fenetre)-1))</f>
        <v/>
      </c>
      <c r="N59" s="34">
        <f>IF(OR('Historique ajusté'!N59="",ROW()-Fenetre&lt;6),"",IF(INDEX('Historique ajusté'!N:N,ROW()-Fenetre)="","",'Historique ajusté'!N59/INDEX('Historique ajusté'!N:N,ROW()-Fenetre)-1))</f>
        <v/>
      </c>
      <c r="O59" s="34">
        <f>IF(OR('Historique ajusté'!O59="",ROW()-Fenetre&lt;6),"",IF(INDEX('Historique ajusté'!O:O,ROW()-Fenetre)="","",'Historique ajusté'!O59/INDEX('Historique ajusté'!O:O,ROW()-Fenetre)-1))</f>
        <v/>
      </c>
      <c r="P59" s="34">
        <f>IF(OR('Historique ajusté'!P59="",ROW()-Fenetre&lt;6),"",IF(INDEX('Historique ajusté'!P:P,ROW()-Fenetre)="","",'Historique ajusté'!P59/INDEX('Historique ajusté'!P:P,ROW()-Fenetre)-1))</f>
        <v/>
      </c>
      <c r="Q59" s="34">
        <f>IF(OR(Composites!L59="",ROW()-Fenetre&lt;6),"",IF(INDEX(Composites!L:L,ROW()-Fenetre)="","",Composites!L59/INDEX(Composites!L:L,ROW()-Fenetre)-1))</f>
        <v/>
      </c>
      <c r="R59" s="34">
        <f>IF(OR(Composites!M59="",ROW()-Fenetre&lt;6),"",IF(INDEX(Composites!M:M,ROW()-Fenetre)="","",Composites!M59/INDEX(Composites!M:M,ROW()-Fenetre)-1))</f>
        <v/>
      </c>
      <c r="S59" s="34">
        <f>IF(OR(Composites!N59="",ROW()-Fenetre&lt;6),"",IF(INDEX(Composites!N:N,ROW()-Fenetre)="","",Composites!N59/INDEX(Composites!N:N,ROW()-Fenetre)-1))</f>
        <v/>
      </c>
      <c r="T59" s="34">
        <f>IF(OR(Composites!O59="",ROW()-Fenetre&lt;6),"",IF(INDEX(Composites!O:O,ROW()-Fenetre)="","",Composites!O59/INDEX(Composites!O:O,ROW()-Fenetre)-1))</f>
        <v/>
      </c>
      <c r="U59" s="34">
        <f>IF(OR(Composites!P59="",ROW()-Fenetre&lt;6),"",IF(INDEX(Composites!P:P,ROW()-Fenetre)="","",Composites!P59/INDEX(Composites!P:P,ROW()-Fenetre)-1))</f>
        <v/>
      </c>
      <c r="V59" s="34">
        <f>IF('Historique ajusté'!C59="","",'Historique ajusté'!C59/MAX('Historique ajusté'!C$6:C59)-1)</f>
        <v/>
      </c>
      <c r="W59" s="34">
        <f>IF('Historique ajusté'!D59="","",'Historique ajusté'!D59/MAX('Historique ajusté'!D$6:D59)-1)</f>
        <v/>
      </c>
      <c r="X59" s="34">
        <f>IF('Historique ajusté'!E59="","",'Historique ajusté'!E59/MAX('Historique ajusté'!E$6:E59)-1)</f>
        <v/>
      </c>
      <c r="Y59" s="34">
        <f>IF('Historique ajusté'!F59="","",'Historique ajusté'!F59/MAX('Historique ajusté'!F$6:F59)-1)</f>
        <v/>
      </c>
      <c r="Z59" s="34">
        <f>IF('Historique ajusté'!G59="","",'Historique ajusté'!G59/MAX('Historique ajusté'!G$6:G59)-1)</f>
        <v/>
      </c>
      <c r="AA59" s="34">
        <f>IF('Historique ajusté'!H59="","",'Historique ajusté'!H59/MAX('Historique ajusté'!H$6:H59)-1)</f>
        <v/>
      </c>
      <c r="AB59" s="34">
        <f>IF('Historique ajusté'!I59="","",'Historique ajusté'!I59/MAX('Historique ajusté'!I$6:I59)-1)</f>
        <v/>
      </c>
      <c r="AC59" s="34">
        <f>IF('Historique ajusté'!J59="","",'Historique ajusté'!J59/MAX('Historique ajusté'!J$6:J59)-1)</f>
        <v/>
      </c>
      <c r="AD59" s="34">
        <f>IF('Historique ajusté'!K59="","",'Historique ajusté'!K59/MAX('Historique ajusté'!K$6:K59)-1)</f>
        <v/>
      </c>
      <c r="AE59" s="34">
        <f>IF('Historique ajusté'!L59="","",'Historique ajusté'!L59/MAX('Historique ajusté'!L$6:L59)-1)</f>
        <v/>
      </c>
      <c r="AF59" s="34">
        <f>IF('Historique ajusté'!M59="","",'Historique ajusté'!M59/MAX('Historique ajusté'!M$6:M59)-1)</f>
        <v/>
      </c>
      <c r="AG59" s="34">
        <f>IF('Historique ajusté'!N59="","",'Historique ajusté'!N59/MAX('Historique ajusté'!N$6:N59)-1)</f>
        <v/>
      </c>
      <c r="AH59" s="34">
        <f>IF('Historique ajusté'!O59="","",'Historique ajusté'!O59/MAX('Historique ajusté'!O$6:O59)-1)</f>
        <v/>
      </c>
      <c r="AI59" s="34">
        <f>IF('Historique ajusté'!P59="","",'Historique ajusté'!P59/MAX('Historique ajusté'!P$6:P59)-1)</f>
        <v/>
      </c>
      <c r="AJ59" s="34">
        <f>IF(Composites!L59="","",Composites!L59/MAX(Composites!L$6:L59)-1)</f>
        <v/>
      </c>
      <c r="AK59" s="34">
        <f>IF(Composites!M59="","",Composites!M59/MAX(Composites!M$6:M59)-1)</f>
        <v/>
      </c>
      <c r="AL59" s="34">
        <f>IF(Composites!N59="","",Composites!N59/MAX(Composites!N$6:N59)-1)</f>
        <v/>
      </c>
      <c r="AM59" s="34">
        <f>IF(Composites!O59="","",Composites!O59/MAX(Composites!O$6:O59)-1)</f>
        <v/>
      </c>
      <c r="AN59" s="34">
        <f>IF(Composites!P59="","",Composites!P59/MAX(Composites!P$6:P59)-1)</f>
        <v/>
      </c>
    </row>
    <row r="60">
      <c r="B60" s="32">
        <f>'Historique ajusté'!B60</f>
        <v/>
      </c>
      <c r="C60" s="34">
        <f>IF(OR('Historique ajusté'!C60="",ROW()-Fenetre&lt;6),"",IF(INDEX('Historique ajusté'!C:C,ROW()-Fenetre)="","",'Historique ajusté'!C60/INDEX('Historique ajusté'!C:C,ROW()-Fenetre)-1))</f>
        <v/>
      </c>
      <c r="D60" s="34">
        <f>IF(OR('Historique ajusté'!D60="",ROW()-Fenetre&lt;6),"",IF(INDEX('Historique ajusté'!D:D,ROW()-Fenetre)="","",'Historique ajusté'!D60/INDEX('Historique ajusté'!D:D,ROW()-Fenetre)-1))</f>
        <v/>
      </c>
      <c r="E60" s="34">
        <f>IF(OR('Historique ajusté'!E60="",ROW()-Fenetre&lt;6),"",IF(INDEX('Historique ajusté'!E:E,ROW()-Fenetre)="","",'Historique ajusté'!E60/INDEX('Historique ajusté'!E:E,ROW()-Fenetre)-1))</f>
        <v/>
      </c>
      <c r="F60" s="34">
        <f>IF(OR('Historique ajusté'!F60="",ROW()-Fenetre&lt;6),"",IF(INDEX('Historique ajusté'!F:F,ROW()-Fenetre)="","",'Historique ajusté'!F60/INDEX('Historique ajusté'!F:F,ROW()-Fenetre)-1))</f>
        <v/>
      </c>
      <c r="G60" s="34">
        <f>IF(OR('Historique ajusté'!G60="",ROW()-Fenetre&lt;6),"",IF(INDEX('Historique ajusté'!G:G,ROW()-Fenetre)="","",'Historique ajusté'!G60/INDEX('Historique ajusté'!G:G,ROW()-Fenetre)-1))</f>
        <v/>
      </c>
      <c r="H60" s="34">
        <f>IF(OR('Historique ajusté'!H60="",ROW()-Fenetre&lt;6),"",IF(INDEX('Historique ajusté'!H:H,ROW()-Fenetre)="","",'Historique ajusté'!H60/INDEX('Historique ajusté'!H:H,ROW()-Fenetre)-1))</f>
        <v/>
      </c>
      <c r="I60" s="34">
        <f>IF(OR('Historique ajusté'!I60="",ROW()-Fenetre&lt;6),"",IF(INDEX('Historique ajusté'!I:I,ROW()-Fenetre)="","",'Historique ajusté'!I60/INDEX('Historique ajusté'!I:I,ROW()-Fenetre)-1))</f>
        <v/>
      </c>
      <c r="J60" s="34">
        <f>IF(OR('Historique ajusté'!J60="",ROW()-Fenetre&lt;6),"",IF(INDEX('Historique ajusté'!J:J,ROW()-Fenetre)="","",'Historique ajusté'!J60/INDEX('Historique ajusté'!J:J,ROW()-Fenetre)-1))</f>
        <v/>
      </c>
      <c r="K60" s="34">
        <f>IF(OR('Historique ajusté'!K60="",ROW()-Fenetre&lt;6),"",IF(INDEX('Historique ajusté'!K:K,ROW()-Fenetre)="","",'Historique ajusté'!K60/INDEX('Historique ajusté'!K:K,ROW()-Fenetre)-1))</f>
        <v/>
      </c>
      <c r="L60" s="34">
        <f>IF(OR('Historique ajusté'!L60="",ROW()-Fenetre&lt;6),"",IF(INDEX('Historique ajusté'!L:L,ROW()-Fenetre)="","",'Historique ajusté'!L60/INDEX('Historique ajusté'!L:L,ROW()-Fenetre)-1))</f>
        <v/>
      </c>
      <c r="M60" s="34">
        <f>IF(OR('Historique ajusté'!M60="",ROW()-Fenetre&lt;6),"",IF(INDEX('Historique ajusté'!M:M,ROW()-Fenetre)="","",'Historique ajusté'!M60/INDEX('Historique ajusté'!M:M,ROW()-Fenetre)-1))</f>
        <v/>
      </c>
      <c r="N60" s="34">
        <f>IF(OR('Historique ajusté'!N60="",ROW()-Fenetre&lt;6),"",IF(INDEX('Historique ajusté'!N:N,ROW()-Fenetre)="","",'Historique ajusté'!N60/INDEX('Historique ajusté'!N:N,ROW()-Fenetre)-1))</f>
        <v/>
      </c>
      <c r="O60" s="34">
        <f>IF(OR('Historique ajusté'!O60="",ROW()-Fenetre&lt;6),"",IF(INDEX('Historique ajusté'!O:O,ROW()-Fenetre)="","",'Historique ajusté'!O60/INDEX('Historique ajusté'!O:O,ROW()-Fenetre)-1))</f>
        <v/>
      </c>
      <c r="P60" s="34">
        <f>IF(OR('Historique ajusté'!P60="",ROW()-Fenetre&lt;6),"",IF(INDEX('Historique ajusté'!P:P,ROW()-Fenetre)="","",'Historique ajusté'!P60/INDEX('Historique ajusté'!P:P,ROW()-Fenetre)-1))</f>
        <v/>
      </c>
      <c r="Q60" s="34">
        <f>IF(OR(Composites!L60="",ROW()-Fenetre&lt;6),"",IF(INDEX(Composites!L:L,ROW()-Fenetre)="","",Composites!L60/INDEX(Composites!L:L,ROW()-Fenetre)-1))</f>
        <v/>
      </c>
      <c r="R60" s="34">
        <f>IF(OR(Composites!M60="",ROW()-Fenetre&lt;6),"",IF(INDEX(Composites!M:M,ROW()-Fenetre)="","",Composites!M60/INDEX(Composites!M:M,ROW()-Fenetre)-1))</f>
        <v/>
      </c>
      <c r="S60" s="34">
        <f>IF(OR(Composites!N60="",ROW()-Fenetre&lt;6),"",IF(INDEX(Composites!N:N,ROW()-Fenetre)="","",Composites!N60/INDEX(Composites!N:N,ROW()-Fenetre)-1))</f>
        <v/>
      </c>
      <c r="T60" s="34">
        <f>IF(OR(Composites!O60="",ROW()-Fenetre&lt;6),"",IF(INDEX(Composites!O:O,ROW()-Fenetre)="","",Composites!O60/INDEX(Composites!O:O,ROW()-Fenetre)-1))</f>
        <v/>
      </c>
      <c r="U60" s="34">
        <f>IF(OR(Composites!P60="",ROW()-Fenetre&lt;6),"",IF(INDEX(Composites!P:P,ROW()-Fenetre)="","",Composites!P60/INDEX(Composites!P:P,ROW()-Fenetre)-1))</f>
        <v/>
      </c>
      <c r="V60" s="34">
        <f>IF('Historique ajusté'!C60="","",'Historique ajusté'!C60/MAX('Historique ajusté'!C$6:C60)-1)</f>
        <v/>
      </c>
      <c r="W60" s="34">
        <f>IF('Historique ajusté'!D60="","",'Historique ajusté'!D60/MAX('Historique ajusté'!D$6:D60)-1)</f>
        <v/>
      </c>
      <c r="X60" s="34">
        <f>IF('Historique ajusté'!E60="","",'Historique ajusté'!E60/MAX('Historique ajusté'!E$6:E60)-1)</f>
        <v/>
      </c>
      <c r="Y60" s="34">
        <f>IF('Historique ajusté'!F60="","",'Historique ajusté'!F60/MAX('Historique ajusté'!F$6:F60)-1)</f>
        <v/>
      </c>
      <c r="Z60" s="34">
        <f>IF('Historique ajusté'!G60="","",'Historique ajusté'!G60/MAX('Historique ajusté'!G$6:G60)-1)</f>
        <v/>
      </c>
      <c r="AA60" s="34">
        <f>IF('Historique ajusté'!H60="","",'Historique ajusté'!H60/MAX('Historique ajusté'!H$6:H60)-1)</f>
        <v/>
      </c>
      <c r="AB60" s="34">
        <f>IF('Historique ajusté'!I60="","",'Historique ajusté'!I60/MAX('Historique ajusté'!I$6:I60)-1)</f>
        <v/>
      </c>
      <c r="AC60" s="34">
        <f>IF('Historique ajusté'!J60="","",'Historique ajusté'!J60/MAX('Historique ajusté'!J$6:J60)-1)</f>
        <v/>
      </c>
      <c r="AD60" s="34">
        <f>IF('Historique ajusté'!K60="","",'Historique ajusté'!K60/MAX('Historique ajusté'!K$6:K60)-1)</f>
        <v/>
      </c>
      <c r="AE60" s="34">
        <f>IF('Historique ajusté'!L60="","",'Historique ajusté'!L60/MAX('Historique ajusté'!L$6:L60)-1)</f>
        <v/>
      </c>
      <c r="AF60" s="34">
        <f>IF('Historique ajusté'!M60="","",'Historique ajusté'!M60/MAX('Historique ajusté'!M$6:M60)-1)</f>
        <v/>
      </c>
      <c r="AG60" s="34">
        <f>IF('Historique ajusté'!N60="","",'Historique ajusté'!N60/MAX('Historique ajusté'!N$6:N60)-1)</f>
        <v/>
      </c>
      <c r="AH60" s="34">
        <f>IF('Historique ajusté'!O60="","",'Historique ajusté'!O60/MAX('Historique ajusté'!O$6:O60)-1)</f>
        <v/>
      </c>
      <c r="AI60" s="34">
        <f>IF('Historique ajusté'!P60="","",'Historique ajusté'!P60/MAX('Historique ajusté'!P$6:P60)-1)</f>
        <v/>
      </c>
      <c r="AJ60" s="34">
        <f>IF(Composites!L60="","",Composites!L60/MAX(Composites!L$6:L60)-1)</f>
        <v/>
      </c>
      <c r="AK60" s="34">
        <f>IF(Composites!M60="","",Composites!M60/MAX(Composites!M$6:M60)-1)</f>
        <v/>
      </c>
      <c r="AL60" s="34">
        <f>IF(Composites!N60="","",Composites!N60/MAX(Composites!N$6:N60)-1)</f>
        <v/>
      </c>
      <c r="AM60" s="34">
        <f>IF(Composites!O60="","",Composites!O60/MAX(Composites!O$6:O60)-1)</f>
        <v/>
      </c>
      <c r="AN60" s="34">
        <f>IF(Composites!P60="","",Composites!P60/MAX(Composites!P$6:P60)-1)</f>
        <v/>
      </c>
    </row>
    <row r="61">
      <c r="B61" s="32">
        <f>'Historique ajusté'!B61</f>
        <v/>
      </c>
      <c r="C61" s="34">
        <f>IF(OR('Historique ajusté'!C61="",ROW()-Fenetre&lt;6),"",IF(INDEX('Historique ajusté'!C:C,ROW()-Fenetre)="","",'Historique ajusté'!C61/INDEX('Historique ajusté'!C:C,ROW()-Fenetre)-1))</f>
        <v/>
      </c>
      <c r="D61" s="34">
        <f>IF(OR('Historique ajusté'!D61="",ROW()-Fenetre&lt;6),"",IF(INDEX('Historique ajusté'!D:D,ROW()-Fenetre)="","",'Historique ajusté'!D61/INDEX('Historique ajusté'!D:D,ROW()-Fenetre)-1))</f>
        <v/>
      </c>
      <c r="E61" s="34">
        <f>IF(OR('Historique ajusté'!E61="",ROW()-Fenetre&lt;6),"",IF(INDEX('Historique ajusté'!E:E,ROW()-Fenetre)="","",'Historique ajusté'!E61/INDEX('Historique ajusté'!E:E,ROW()-Fenetre)-1))</f>
        <v/>
      </c>
      <c r="F61" s="34">
        <f>IF(OR('Historique ajusté'!F61="",ROW()-Fenetre&lt;6),"",IF(INDEX('Historique ajusté'!F:F,ROW()-Fenetre)="","",'Historique ajusté'!F61/INDEX('Historique ajusté'!F:F,ROW()-Fenetre)-1))</f>
        <v/>
      </c>
      <c r="G61" s="34">
        <f>IF(OR('Historique ajusté'!G61="",ROW()-Fenetre&lt;6),"",IF(INDEX('Historique ajusté'!G:G,ROW()-Fenetre)="","",'Historique ajusté'!G61/INDEX('Historique ajusté'!G:G,ROW()-Fenetre)-1))</f>
        <v/>
      </c>
      <c r="H61" s="34">
        <f>IF(OR('Historique ajusté'!H61="",ROW()-Fenetre&lt;6),"",IF(INDEX('Historique ajusté'!H:H,ROW()-Fenetre)="","",'Historique ajusté'!H61/INDEX('Historique ajusté'!H:H,ROW()-Fenetre)-1))</f>
        <v/>
      </c>
      <c r="I61" s="34">
        <f>IF(OR('Historique ajusté'!I61="",ROW()-Fenetre&lt;6),"",IF(INDEX('Historique ajusté'!I:I,ROW()-Fenetre)="","",'Historique ajusté'!I61/INDEX('Historique ajusté'!I:I,ROW()-Fenetre)-1))</f>
        <v/>
      </c>
      <c r="J61" s="34">
        <f>IF(OR('Historique ajusté'!J61="",ROW()-Fenetre&lt;6),"",IF(INDEX('Historique ajusté'!J:J,ROW()-Fenetre)="","",'Historique ajusté'!J61/INDEX('Historique ajusté'!J:J,ROW()-Fenetre)-1))</f>
        <v/>
      </c>
      <c r="K61" s="34">
        <f>IF(OR('Historique ajusté'!K61="",ROW()-Fenetre&lt;6),"",IF(INDEX('Historique ajusté'!K:K,ROW()-Fenetre)="","",'Historique ajusté'!K61/INDEX('Historique ajusté'!K:K,ROW()-Fenetre)-1))</f>
        <v/>
      </c>
      <c r="L61" s="34">
        <f>IF(OR('Historique ajusté'!L61="",ROW()-Fenetre&lt;6),"",IF(INDEX('Historique ajusté'!L:L,ROW()-Fenetre)="","",'Historique ajusté'!L61/INDEX('Historique ajusté'!L:L,ROW()-Fenetre)-1))</f>
        <v/>
      </c>
      <c r="M61" s="34">
        <f>IF(OR('Historique ajusté'!M61="",ROW()-Fenetre&lt;6),"",IF(INDEX('Historique ajusté'!M:M,ROW()-Fenetre)="","",'Historique ajusté'!M61/INDEX('Historique ajusté'!M:M,ROW()-Fenetre)-1))</f>
        <v/>
      </c>
      <c r="N61" s="34">
        <f>IF(OR('Historique ajusté'!N61="",ROW()-Fenetre&lt;6),"",IF(INDEX('Historique ajusté'!N:N,ROW()-Fenetre)="","",'Historique ajusté'!N61/INDEX('Historique ajusté'!N:N,ROW()-Fenetre)-1))</f>
        <v/>
      </c>
      <c r="O61" s="34">
        <f>IF(OR('Historique ajusté'!O61="",ROW()-Fenetre&lt;6),"",IF(INDEX('Historique ajusté'!O:O,ROW()-Fenetre)="","",'Historique ajusté'!O61/INDEX('Historique ajusté'!O:O,ROW()-Fenetre)-1))</f>
        <v/>
      </c>
      <c r="P61" s="34">
        <f>IF(OR('Historique ajusté'!P61="",ROW()-Fenetre&lt;6),"",IF(INDEX('Historique ajusté'!P:P,ROW()-Fenetre)="","",'Historique ajusté'!P61/INDEX('Historique ajusté'!P:P,ROW()-Fenetre)-1))</f>
        <v/>
      </c>
      <c r="Q61" s="34">
        <f>IF(OR(Composites!L61="",ROW()-Fenetre&lt;6),"",IF(INDEX(Composites!L:L,ROW()-Fenetre)="","",Composites!L61/INDEX(Composites!L:L,ROW()-Fenetre)-1))</f>
        <v/>
      </c>
      <c r="R61" s="34">
        <f>IF(OR(Composites!M61="",ROW()-Fenetre&lt;6),"",IF(INDEX(Composites!M:M,ROW()-Fenetre)="","",Composites!M61/INDEX(Composites!M:M,ROW()-Fenetre)-1))</f>
        <v/>
      </c>
      <c r="S61" s="34">
        <f>IF(OR(Composites!N61="",ROW()-Fenetre&lt;6),"",IF(INDEX(Composites!N:N,ROW()-Fenetre)="","",Composites!N61/INDEX(Composites!N:N,ROW()-Fenetre)-1))</f>
        <v/>
      </c>
      <c r="T61" s="34">
        <f>IF(OR(Composites!O61="",ROW()-Fenetre&lt;6),"",IF(INDEX(Composites!O:O,ROW()-Fenetre)="","",Composites!O61/INDEX(Composites!O:O,ROW()-Fenetre)-1))</f>
        <v/>
      </c>
      <c r="U61" s="34">
        <f>IF(OR(Composites!P61="",ROW()-Fenetre&lt;6),"",IF(INDEX(Composites!P:P,ROW()-Fenetre)="","",Composites!P61/INDEX(Composites!P:P,ROW()-Fenetre)-1))</f>
        <v/>
      </c>
      <c r="V61" s="34">
        <f>IF('Historique ajusté'!C61="","",'Historique ajusté'!C61/MAX('Historique ajusté'!C$6:C61)-1)</f>
        <v/>
      </c>
      <c r="W61" s="34">
        <f>IF('Historique ajusté'!D61="","",'Historique ajusté'!D61/MAX('Historique ajusté'!D$6:D61)-1)</f>
        <v/>
      </c>
      <c r="X61" s="34">
        <f>IF('Historique ajusté'!E61="","",'Historique ajusté'!E61/MAX('Historique ajusté'!E$6:E61)-1)</f>
        <v/>
      </c>
      <c r="Y61" s="34">
        <f>IF('Historique ajusté'!F61="","",'Historique ajusté'!F61/MAX('Historique ajusté'!F$6:F61)-1)</f>
        <v/>
      </c>
      <c r="Z61" s="34">
        <f>IF('Historique ajusté'!G61="","",'Historique ajusté'!G61/MAX('Historique ajusté'!G$6:G61)-1)</f>
        <v/>
      </c>
      <c r="AA61" s="34">
        <f>IF('Historique ajusté'!H61="","",'Historique ajusté'!H61/MAX('Historique ajusté'!H$6:H61)-1)</f>
        <v/>
      </c>
      <c r="AB61" s="34">
        <f>IF('Historique ajusté'!I61="","",'Historique ajusté'!I61/MAX('Historique ajusté'!I$6:I61)-1)</f>
        <v/>
      </c>
      <c r="AC61" s="34">
        <f>IF('Historique ajusté'!J61="","",'Historique ajusté'!J61/MAX('Historique ajusté'!J$6:J61)-1)</f>
        <v/>
      </c>
      <c r="AD61" s="34">
        <f>IF('Historique ajusté'!K61="","",'Historique ajusté'!K61/MAX('Historique ajusté'!K$6:K61)-1)</f>
        <v/>
      </c>
      <c r="AE61" s="34">
        <f>IF('Historique ajusté'!L61="","",'Historique ajusté'!L61/MAX('Historique ajusté'!L$6:L61)-1)</f>
        <v/>
      </c>
      <c r="AF61" s="34">
        <f>IF('Historique ajusté'!M61="","",'Historique ajusté'!M61/MAX('Historique ajusté'!M$6:M61)-1)</f>
        <v/>
      </c>
      <c r="AG61" s="34">
        <f>IF('Historique ajusté'!N61="","",'Historique ajusté'!N61/MAX('Historique ajusté'!N$6:N61)-1)</f>
        <v/>
      </c>
      <c r="AH61" s="34">
        <f>IF('Historique ajusté'!O61="","",'Historique ajusté'!O61/MAX('Historique ajusté'!O$6:O61)-1)</f>
        <v/>
      </c>
      <c r="AI61" s="34">
        <f>IF('Historique ajusté'!P61="","",'Historique ajusté'!P61/MAX('Historique ajusté'!P$6:P61)-1)</f>
        <v/>
      </c>
      <c r="AJ61" s="34">
        <f>IF(Composites!L61="","",Composites!L61/MAX(Composites!L$6:L61)-1)</f>
        <v/>
      </c>
      <c r="AK61" s="34">
        <f>IF(Composites!M61="","",Composites!M61/MAX(Composites!M$6:M61)-1)</f>
        <v/>
      </c>
      <c r="AL61" s="34">
        <f>IF(Composites!N61="","",Composites!N61/MAX(Composites!N$6:N61)-1)</f>
        <v/>
      </c>
      <c r="AM61" s="34">
        <f>IF(Composites!O61="","",Composites!O61/MAX(Composites!O$6:O61)-1)</f>
        <v/>
      </c>
      <c r="AN61" s="34">
        <f>IF(Composites!P61="","",Composites!P61/MAX(Composites!P$6:P61)-1)</f>
        <v/>
      </c>
    </row>
    <row r="62">
      <c r="B62" s="32">
        <f>'Historique ajusté'!B62</f>
        <v/>
      </c>
      <c r="C62" s="34">
        <f>IF(OR('Historique ajusté'!C62="",ROW()-Fenetre&lt;6),"",IF(INDEX('Historique ajusté'!C:C,ROW()-Fenetre)="","",'Historique ajusté'!C62/INDEX('Historique ajusté'!C:C,ROW()-Fenetre)-1))</f>
        <v/>
      </c>
      <c r="D62" s="34">
        <f>IF(OR('Historique ajusté'!D62="",ROW()-Fenetre&lt;6),"",IF(INDEX('Historique ajusté'!D:D,ROW()-Fenetre)="","",'Historique ajusté'!D62/INDEX('Historique ajusté'!D:D,ROW()-Fenetre)-1))</f>
        <v/>
      </c>
      <c r="E62" s="34">
        <f>IF(OR('Historique ajusté'!E62="",ROW()-Fenetre&lt;6),"",IF(INDEX('Historique ajusté'!E:E,ROW()-Fenetre)="","",'Historique ajusté'!E62/INDEX('Historique ajusté'!E:E,ROW()-Fenetre)-1))</f>
        <v/>
      </c>
      <c r="F62" s="34">
        <f>IF(OR('Historique ajusté'!F62="",ROW()-Fenetre&lt;6),"",IF(INDEX('Historique ajusté'!F:F,ROW()-Fenetre)="","",'Historique ajusté'!F62/INDEX('Historique ajusté'!F:F,ROW()-Fenetre)-1))</f>
        <v/>
      </c>
      <c r="G62" s="34">
        <f>IF(OR('Historique ajusté'!G62="",ROW()-Fenetre&lt;6),"",IF(INDEX('Historique ajusté'!G:G,ROW()-Fenetre)="","",'Historique ajusté'!G62/INDEX('Historique ajusté'!G:G,ROW()-Fenetre)-1))</f>
        <v/>
      </c>
      <c r="H62" s="34">
        <f>IF(OR('Historique ajusté'!H62="",ROW()-Fenetre&lt;6),"",IF(INDEX('Historique ajusté'!H:H,ROW()-Fenetre)="","",'Historique ajusté'!H62/INDEX('Historique ajusté'!H:H,ROW()-Fenetre)-1))</f>
        <v/>
      </c>
      <c r="I62" s="34">
        <f>IF(OR('Historique ajusté'!I62="",ROW()-Fenetre&lt;6),"",IF(INDEX('Historique ajusté'!I:I,ROW()-Fenetre)="","",'Historique ajusté'!I62/INDEX('Historique ajusté'!I:I,ROW()-Fenetre)-1))</f>
        <v/>
      </c>
      <c r="J62" s="34">
        <f>IF(OR('Historique ajusté'!J62="",ROW()-Fenetre&lt;6),"",IF(INDEX('Historique ajusté'!J:J,ROW()-Fenetre)="","",'Historique ajusté'!J62/INDEX('Historique ajusté'!J:J,ROW()-Fenetre)-1))</f>
        <v/>
      </c>
      <c r="K62" s="34">
        <f>IF(OR('Historique ajusté'!K62="",ROW()-Fenetre&lt;6),"",IF(INDEX('Historique ajusté'!K:K,ROW()-Fenetre)="","",'Historique ajusté'!K62/INDEX('Historique ajusté'!K:K,ROW()-Fenetre)-1))</f>
        <v/>
      </c>
      <c r="L62" s="34">
        <f>IF(OR('Historique ajusté'!L62="",ROW()-Fenetre&lt;6),"",IF(INDEX('Historique ajusté'!L:L,ROW()-Fenetre)="","",'Historique ajusté'!L62/INDEX('Historique ajusté'!L:L,ROW()-Fenetre)-1))</f>
        <v/>
      </c>
      <c r="M62" s="34">
        <f>IF(OR('Historique ajusté'!M62="",ROW()-Fenetre&lt;6),"",IF(INDEX('Historique ajusté'!M:M,ROW()-Fenetre)="","",'Historique ajusté'!M62/INDEX('Historique ajusté'!M:M,ROW()-Fenetre)-1))</f>
        <v/>
      </c>
      <c r="N62" s="34">
        <f>IF(OR('Historique ajusté'!N62="",ROW()-Fenetre&lt;6),"",IF(INDEX('Historique ajusté'!N:N,ROW()-Fenetre)="","",'Historique ajusté'!N62/INDEX('Historique ajusté'!N:N,ROW()-Fenetre)-1))</f>
        <v/>
      </c>
      <c r="O62" s="34">
        <f>IF(OR('Historique ajusté'!O62="",ROW()-Fenetre&lt;6),"",IF(INDEX('Historique ajusté'!O:O,ROW()-Fenetre)="","",'Historique ajusté'!O62/INDEX('Historique ajusté'!O:O,ROW()-Fenetre)-1))</f>
        <v/>
      </c>
      <c r="P62" s="34">
        <f>IF(OR('Historique ajusté'!P62="",ROW()-Fenetre&lt;6),"",IF(INDEX('Historique ajusté'!P:P,ROW()-Fenetre)="","",'Historique ajusté'!P62/INDEX('Historique ajusté'!P:P,ROW()-Fenetre)-1))</f>
        <v/>
      </c>
      <c r="Q62" s="34">
        <f>IF(OR(Composites!L62="",ROW()-Fenetre&lt;6),"",IF(INDEX(Composites!L:L,ROW()-Fenetre)="","",Composites!L62/INDEX(Composites!L:L,ROW()-Fenetre)-1))</f>
        <v/>
      </c>
      <c r="R62" s="34">
        <f>IF(OR(Composites!M62="",ROW()-Fenetre&lt;6),"",IF(INDEX(Composites!M:M,ROW()-Fenetre)="","",Composites!M62/INDEX(Composites!M:M,ROW()-Fenetre)-1))</f>
        <v/>
      </c>
      <c r="S62" s="34">
        <f>IF(OR(Composites!N62="",ROW()-Fenetre&lt;6),"",IF(INDEX(Composites!N:N,ROW()-Fenetre)="","",Composites!N62/INDEX(Composites!N:N,ROW()-Fenetre)-1))</f>
        <v/>
      </c>
      <c r="T62" s="34">
        <f>IF(OR(Composites!O62="",ROW()-Fenetre&lt;6),"",IF(INDEX(Composites!O:O,ROW()-Fenetre)="","",Composites!O62/INDEX(Composites!O:O,ROW()-Fenetre)-1))</f>
        <v/>
      </c>
      <c r="U62" s="34">
        <f>IF(OR(Composites!P62="",ROW()-Fenetre&lt;6),"",IF(INDEX(Composites!P:P,ROW()-Fenetre)="","",Composites!P62/INDEX(Composites!P:P,ROW()-Fenetre)-1))</f>
        <v/>
      </c>
      <c r="V62" s="34">
        <f>IF('Historique ajusté'!C62="","",'Historique ajusté'!C62/MAX('Historique ajusté'!C$6:C62)-1)</f>
        <v/>
      </c>
      <c r="W62" s="34">
        <f>IF('Historique ajusté'!D62="","",'Historique ajusté'!D62/MAX('Historique ajusté'!D$6:D62)-1)</f>
        <v/>
      </c>
      <c r="X62" s="34">
        <f>IF('Historique ajusté'!E62="","",'Historique ajusté'!E62/MAX('Historique ajusté'!E$6:E62)-1)</f>
        <v/>
      </c>
      <c r="Y62" s="34">
        <f>IF('Historique ajusté'!F62="","",'Historique ajusté'!F62/MAX('Historique ajusté'!F$6:F62)-1)</f>
        <v/>
      </c>
      <c r="Z62" s="34">
        <f>IF('Historique ajusté'!G62="","",'Historique ajusté'!G62/MAX('Historique ajusté'!G$6:G62)-1)</f>
        <v/>
      </c>
      <c r="AA62" s="34">
        <f>IF('Historique ajusté'!H62="","",'Historique ajusté'!H62/MAX('Historique ajusté'!H$6:H62)-1)</f>
        <v/>
      </c>
      <c r="AB62" s="34">
        <f>IF('Historique ajusté'!I62="","",'Historique ajusté'!I62/MAX('Historique ajusté'!I$6:I62)-1)</f>
        <v/>
      </c>
      <c r="AC62" s="34">
        <f>IF('Historique ajusté'!J62="","",'Historique ajusté'!J62/MAX('Historique ajusté'!J$6:J62)-1)</f>
        <v/>
      </c>
      <c r="AD62" s="34">
        <f>IF('Historique ajusté'!K62="","",'Historique ajusté'!K62/MAX('Historique ajusté'!K$6:K62)-1)</f>
        <v/>
      </c>
      <c r="AE62" s="34">
        <f>IF('Historique ajusté'!L62="","",'Historique ajusté'!L62/MAX('Historique ajusté'!L$6:L62)-1)</f>
        <v/>
      </c>
      <c r="AF62" s="34">
        <f>IF('Historique ajusté'!M62="","",'Historique ajusté'!M62/MAX('Historique ajusté'!M$6:M62)-1)</f>
        <v/>
      </c>
      <c r="AG62" s="34">
        <f>IF('Historique ajusté'!N62="","",'Historique ajusté'!N62/MAX('Historique ajusté'!N$6:N62)-1)</f>
        <v/>
      </c>
      <c r="AH62" s="34">
        <f>IF('Historique ajusté'!O62="","",'Historique ajusté'!O62/MAX('Historique ajusté'!O$6:O62)-1)</f>
        <v/>
      </c>
      <c r="AI62" s="34">
        <f>IF('Historique ajusté'!P62="","",'Historique ajusté'!P62/MAX('Historique ajusté'!P$6:P62)-1)</f>
        <v/>
      </c>
      <c r="AJ62" s="34">
        <f>IF(Composites!L62="","",Composites!L62/MAX(Composites!L$6:L62)-1)</f>
        <v/>
      </c>
      <c r="AK62" s="34">
        <f>IF(Composites!M62="","",Composites!M62/MAX(Composites!M$6:M62)-1)</f>
        <v/>
      </c>
      <c r="AL62" s="34">
        <f>IF(Composites!N62="","",Composites!N62/MAX(Composites!N$6:N62)-1)</f>
        <v/>
      </c>
      <c r="AM62" s="34">
        <f>IF(Composites!O62="","",Composites!O62/MAX(Composites!O$6:O62)-1)</f>
        <v/>
      </c>
      <c r="AN62" s="34">
        <f>IF(Composites!P62="","",Composites!P62/MAX(Composites!P$6:P62)-1)</f>
        <v/>
      </c>
    </row>
    <row r="63">
      <c r="B63" s="32">
        <f>'Historique ajusté'!B63</f>
        <v/>
      </c>
      <c r="C63" s="34">
        <f>IF(OR('Historique ajusté'!C63="",ROW()-Fenetre&lt;6),"",IF(INDEX('Historique ajusté'!C:C,ROW()-Fenetre)="","",'Historique ajusté'!C63/INDEX('Historique ajusté'!C:C,ROW()-Fenetre)-1))</f>
        <v/>
      </c>
      <c r="D63" s="34">
        <f>IF(OR('Historique ajusté'!D63="",ROW()-Fenetre&lt;6),"",IF(INDEX('Historique ajusté'!D:D,ROW()-Fenetre)="","",'Historique ajusté'!D63/INDEX('Historique ajusté'!D:D,ROW()-Fenetre)-1))</f>
        <v/>
      </c>
      <c r="E63" s="34">
        <f>IF(OR('Historique ajusté'!E63="",ROW()-Fenetre&lt;6),"",IF(INDEX('Historique ajusté'!E:E,ROW()-Fenetre)="","",'Historique ajusté'!E63/INDEX('Historique ajusté'!E:E,ROW()-Fenetre)-1))</f>
        <v/>
      </c>
      <c r="F63" s="34">
        <f>IF(OR('Historique ajusté'!F63="",ROW()-Fenetre&lt;6),"",IF(INDEX('Historique ajusté'!F:F,ROW()-Fenetre)="","",'Historique ajusté'!F63/INDEX('Historique ajusté'!F:F,ROW()-Fenetre)-1))</f>
        <v/>
      </c>
      <c r="G63" s="34">
        <f>IF(OR('Historique ajusté'!G63="",ROW()-Fenetre&lt;6),"",IF(INDEX('Historique ajusté'!G:G,ROW()-Fenetre)="","",'Historique ajusté'!G63/INDEX('Historique ajusté'!G:G,ROW()-Fenetre)-1))</f>
        <v/>
      </c>
      <c r="H63" s="34">
        <f>IF(OR('Historique ajusté'!H63="",ROW()-Fenetre&lt;6),"",IF(INDEX('Historique ajusté'!H:H,ROW()-Fenetre)="","",'Historique ajusté'!H63/INDEX('Historique ajusté'!H:H,ROW()-Fenetre)-1))</f>
        <v/>
      </c>
      <c r="I63" s="34">
        <f>IF(OR('Historique ajusté'!I63="",ROW()-Fenetre&lt;6),"",IF(INDEX('Historique ajusté'!I:I,ROW()-Fenetre)="","",'Historique ajusté'!I63/INDEX('Historique ajusté'!I:I,ROW()-Fenetre)-1))</f>
        <v/>
      </c>
      <c r="J63" s="34">
        <f>IF(OR('Historique ajusté'!J63="",ROW()-Fenetre&lt;6),"",IF(INDEX('Historique ajusté'!J:J,ROW()-Fenetre)="","",'Historique ajusté'!J63/INDEX('Historique ajusté'!J:J,ROW()-Fenetre)-1))</f>
        <v/>
      </c>
      <c r="K63" s="34">
        <f>IF(OR('Historique ajusté'!K63="",ROW()-Fenetre&lt;6),"",IF(INDEX('Historique ajusté'!K:K,ROW()-Fenetre)="","",'Historique ajusté'!K63/INDEX('Historique ajusté'!K:K,ROW()-Fenetre)-1))</f>
        <v/>
      </c>
      <c r="L63" s="34">
        <f>IF(OR('Historique ajusté'!L63="",ROW()-Fenetre&lt;6),"",IF(INDEX('Historique ajusté'!L:L,ROW()-Fenetre)="","",'Historique ajusté'!L63/INDEX('Historique ajusté'!L:L,ROW()-Fenetre)-1))</f>
        <v/>
      </c>
      <c r="M63" s="34">
        <f>IF(OR('Historique ajusté'!M63="",ROW()-Fenetre&lt;6),"",IF(INDEX('Historique ajusté'!M:M,ROW()-Fenetre)="","",'Historique ajusté'!M63/INDEX('Historique ajusté'!M:M,ROW()-Fenetre)-1))</f>
        <v/>
      </c>
      <c r="N63" s="34">
        <f>IF(OR('Historique ajusté'!N63="",ROW()-Fenetre&lt;6),"",IF(INDEX('Historique ajusté'!N:N,ROW()-Fenetre)="","",'Historique ajusté'!N63/INDEX('Historique ajusté'!N:N,ROW()-Fenetre)-1))</f>
        <v/>
      </c>
      <c r="O63" s="34">
        <f>IF(OR('Historique ajusté'!O63="",ROW()-Fenetre&lt;6),"",IF(INDEX('Historique ajusté'!O:O,ROW()-Fenetre)="","",'Historique ajusté'!O63/INDEX('Historique ajusté'!O:O,ROW()-Fenetre)-1))</f>
        <v/>
      </c>
      <c r="P63" s="34">
        <f>IF(OR('Historique ajusté'!P63="",ROW()-Fenetre&lt;6),"",IF(INDEX('Historique ajusté'!P:P,ROW()-Fenetre)="","",'Historique ajusté'!P63/INDEX('Historique ajusté'!P:P,ROW()-Fenetre)-1))</f>
        <v/>
      </c>
      <c r="Q63" s="34">
        <f>IF(OR(Composites!L63="",ROW()-Fenetre&lt;6),"",IF(INDEX(Composites!L:L,ROW()-Fenetre)="","",Composites!L63/INDEX(Composites!L:L,ROW()-Fenetre)-1))</f>
        <v/>
      </c>
      <c r="R63" s="34">
        <f>IF(OR(Composites!M63="",ROW()-Fenetre&lt;6),"",IF(INDEX(Composites!M:M,ROW()-Fenetre)="","",Composites!M63/INDEX(Composites!M:M,ROW()-Fenetre)-1))</f>
        <v/>
      </c>
      <c r="S63" s="34">
        <f>IF(OR(Composites!N63="",ROW()-Fenetre&lt;6),"",IF(INDEX(Composites!N:N,ROW()-Fenetre)="","",Composites!N63/INDEX(Composites!N:N,ROW()-Fenetre)-1))</f>
        <v/>
      </c>
      <c r="T63" s="34">
        <f>IF(OR(Composites!O63="",ROW()-Fenetre&lt;6),"",IF(INDEX(Composites!O:O,ROW()-Fenetre)="","",Composites!O63/INDEX(Composites!O:O,ROW()-Fenetre)-1))</f>
        <v/>
      </c>
      <c r="U63" s="34">
        <f>IF(OR(Composites!P63="",ROW()-Fenetre&lt;6),"",IF(INDEX(Composites!P:P,ROW()-Fenetre)="","",Composites!P63/INDEX(Composites!P:P,ROW()-Fenetre)-1))</f>
        <v/>
      </c>
      <c r="V63" s="34">
        <f>IF('Historique ajusté'!C63="","",'Historique ajusté'!C63/MAX('Historique ajusté'!C$6:C63)-1)</f>
        <v/>
      </c>
      <c r="W63" s="34">
        <f>IF('Historique ajusté'!D63="","",'Historique ajusté'!D63/MAX('Historique ajusté'!D$6:D63)-1)</f>
        <v/>
      </c>
      <c r="X63" s="34">
        <f>IF('Historique ajusté'!E63="","",'Historique ajusté'!E63/MAX('Historique ajusté'!E$6:E63)-1)</f>
        <v/>
      </c>
      <c r="Y63" s="34">
        <f>IF('Historique ajusté'!F63="","",'Historique ajusté'!F63/MAX('Historique ajusté'!F$6:F63)-1)</f>
        <v/>
      </c>
      <c r="Z63" s="34">
        <f>IF('Historique ajusté'!G63="","",'Historique ajusté'!G63/MAX('Historique ajusté'!G$6:G63)-1)</f>
        <v/>
      </c>
      <c r="AA63" s="34">
        <f>IF('Historique ajusté'!H63="","",'Historique ajusté'!H63/MAX('Historique ajusté'!H$6:H63)-1)</f>
        <v/>
      </c>
      <c r="AB63" s="34">
        <f>IF('Historique ajusté'!I63="","",'Historique ajusté'!I63/MAX('Historique ajusté'!I$6:I63)-1)</f>
        <v/>
      </c>
      <c r="AC63" s="34">
        <f>IF('Historique ajusté'!J63="","",'Historique ajusté'!J63/MAX('Historique ajusté'!J$6:J63)-1)</f>
        <v/>
      </c>
      <c r="AD63" s="34">
        <f>IF('Historique ajusté'!K63="","",'Historique ajusté'!K63/MAX('Historique ajusté'!K$6:K63)-1)</f>
        <v/>
      </c>
      <c r="AE63" s="34">
        <f>IF('Historique ajusté'!L63="","",'Historique ajusté'!L63/MAX('Historique ajusté'!L$6:L63)-1)</f>
        <v/>
      </c>
      <c r="AF63" s="34">
        <f>IF('Historique ajusté'!M63="","",'Historique ajusté'!M63/MAX('Historique ajusté'!M$6:M63)-1)</f>
        <v/>
      </c>
      <c r="AG63" s="34">
        <f>IF('Historique ajusté'!N63="","",'Historique ajusté'!N63/MAX('Historique ajusté'!N$6:N63)-1)</f>
        <v/>
      </c>
      <c r="AH63" s="34">
        <f>IF('Historique ajusté'!O63="","",'Historique ajusté'!O63/MAX('Historique ajusté'!O$6:O63)-1)</f>
        <v/>
      </c>
      <c r="AI63" s="34">
        <f>IF('Historique ajusté'!P63="","",'Historique ajusté'!P63/MAX('Historique ajusté'!P$6:P63)-1)</f>
        <v/>
      </c>
      <c r="AJ63" s="34">
        <f>IF(Composites!L63="","",Composites!L63/MAX(Composites!L$6:L63)-1)</f>
        <v/>
      </c>
      <c r="AK63" s="34">
        <f>IF(Composites!M63="","",Composites!M63/MAX(Composites!M$6:M63)-1)</f>
        <v/>
      </c>
      <c r="AL63" s="34">
        <f>IF(Composites!N63="","",Composites!N63/MAX(Composites!N$6:N63)-1)</f>
        <v/>
      </c>
      <c r="AM63" s="34">
        <f>IF(Composites!O63="","",Composites!O63/MAX(Composites!O$6:O63)-1)</f>
        <v/>
      </c>
      <c r="AN63" s="34">
        <f>IF(Composites!P63="","",Composites!P63/MAX(Composites!P$6:P63)-1)</f>
        <v/>
      </c>
    </row>
    <row r="64">
      <c r="B64" s="32">
        <f>'Historique ajusté'!B64</f>
        <v/>
      </c>
      <c r="C64" s="34">
        <f>IF(OR('Historique ajusté'!C64="",ROW()-Fenetre&lt;6),"",IF(INDEX('Historique ajusté'!C:C,ROW()-Fenetre)="","",'Historique ajusté'!C64/INDEX('Historique ajusté'!C:C,ROW()-Fenetre)-1))</f>
        <v/>
      </c>
      <c r="D64" s="34">
        <f>IF(OR('Historique ajusté'!D64="",ROW()-Fenetre&lt;6),"",IF(INDEX('Historique ajusté'!D:D,ROW()-Fenetre)="","",'Historique ajusté'!D64/INDEX('Historique ajusté'!D:D,ROW()-Fenetre)-1))</f>
        <v/>
      </c>
      <c r="E64" s="34">
        <f>IF(OR('Historique ajusté'!E64="",ROW()-Fenetre&lt;6),"",IF(INDEX('Historique ajusté'!E:E,ROW()-Fenetre)="","",'Historique ajusté'!E64/INDEX('Historique ajusté'!E:E,ROW()-Fenetre)-1))</f>
        <v/>
      </c>
      <c r="F64" s="34">
        <f>IF(OR('Historique ajusté'!F64="",ROW()-Fenetre&lt;6),"",IF(INDEX('Historique ajusté'!F:F,ROW()-Fenetre)="","",'Historique ajusté'!F64/INDEX('Historique ajusté'!F:F,ROW()-Fenetre)-1))</f>
        <v/>
      </c>
      <c r="G64" s="34">
        <f>IF(OR('Historique ajusté'!G64="",ROW()-Fenetre&lt;6),"",IF(INDEX('Historique ajusté'!G:G,ROW()-Fenetre)="","",'Historique ajusté'!G64/INDEX('Historique ajusté'!G:G,ROW()-Fenetre)-1))</f>
        <v/>
      </c>
      <c r="H64" s="34">
        <f>IF(OR('Historique ajusté'!H64="",ROW()-Fenetre&lt;6),"",IF(INDEX('Historique ajusté'!H:H,ROW()-Fenetre)="","",'Historique ajusté'!H64/INDEX('Historique ajusté'!H:H,ROW()-Fenetre)-1))</f>
        <v/>
      </c>
      <c r="I64" s="34">
        <f>IF(OR('Historique ajusté'!I64="",ROW()-Fenetre&lt;6),"",IF(INDEX('Historique ajusté'!I:I,ROW()-Fenetre)="","",'Historique ajusté'!I64/INDEX('Historique ajusté'!I:I,ROW()-Fenetre)-1))</f>
        <v/>
      </c>
      <c r="J64" s="34">
        <f>IF(OR('Historique ajusté'!J64="",ROW()-Fenetre&lt;6),"",IF(INDEX('Historique ajusté'!J:J,ROW()-Fenetre)="","",'Historique ajusté'!J64/INDEX('Historique ajusté'!J:J,ROW()-Fenetre)-1))</f>
        <v/>
      </c>
      <c r="K64" s="34">
        <f>IF(OR('Historique ajusté'!K64="",ROW()-Fenetre&lt;6),"",IF(INDEX('Historique ajusté'!K:K,ROW()-Fenetre)="","",'Historique ajusté'!K64/INDEX('Historique ajusté'!K:K,ROW()-Fenetre)-1))</f>
        <v/>
      </c>
      <c r="L64" s="34">
        <f>IF(OR('Historique ajusté'!L64="",ROW()-Fenetre&lt;6),"",IF(INDEX('Historique ajusté'!L:L,ROW()-Fenetre)="","",'Historique ajusté'!L64/INDEX('Historique ajusté'!L:L,ROW()-Fenetre)-1))</f>
        <v/>
      </c>
      <c r="M64" s="34">
        <f>IF(OR('Historique ajusté'!M64="",ROW()-Fenetre&lt;6),"",IF(INDEX('Historique ajusté'!M:M,ROW()-Fenetre)="","",'Historique ajusté'!M64/INDEX('Historique ajusté'!M:M,ROW()-Fenetre)-1))</f>
        <v/>
      </c>
      <c r="N64" s="34">
        <f>IF(OR('Historique ajusté'!N64="",ROW()-Fenetre&lt;6),"",IF(INDEX('Historique ajusté'!N:N,ROW()-Fenetre)="","",'Historique ajusté'!N64/INDEX('Historique ajusté'!N:N,ROW()-Fenetre)-1))</f>
        <v/>
      </c>
      <c r="O64" s="34">
        <f>IF(OR('Historique ajusté'!O64="",ROW()-Fenetre&lt;6),"",IF(INDEX('Historique ajusté'!O:O,ROW()-Fenetre)="","",'Historique ajusté'!O64/INDEX('Historique ajusté'!O:O,ROW()-Fenetre)-1))</f>
        <v/>
      </c>
      <c r="P64" s="34">
        <f>IF(OR('Historique ajusté'!P64="",ROW()-Fenetre&lt;6),"",IF(INDEX('Historique ajusté'!P:P,ROW()-Fenetre)="","",'Historique ajusté'!P64/INDEX('Historique ajusté'!P:P,ROW()-Fenetre)-1))</f>
        <v/>
      </c>
      <c r="Q64" s="34">
        <f>IF(OR(Composites!L64="",ROW()-Fenetre&lt;6),"",IF(INDEX(Composites!L:L,ROW()-Fenetre)="","",Composites!L64/INDEX(Composites!L:L,ROW()-Fenetre)-1))</f>
        <v/>
      </c>
      <c r="R64" s="34">
        <f>IF(OR(Composites!M64="",ROW()-Fenetre&lt;6),"",IF(INDEX(Composites!M:M,ROW()-Fenetre)="","",Composites!M64/INDEX(Composites!M:M,ROW()-Fenetre)-1))</f>
        <v/>
      </c>
      <c r="S64" s="34">
        <f>IF(OR(Composites!N64="",ROW()-Fenetre&lt;6),"",IF(INDEX(Composites!N:N,ROW()-Fenetre)="","",Composites!N64/INDEX(Composites!N:N,ROW()-Fenetre)-1))</f>
        <v/>
      </c>
      <c r="T64" s="34">
        <f>IF(OR(Composites!O64="",ROW()-Fenetre&lt;6),"",IF(INDEX(Composites!O:O,ROW()-Fenetre)="","",Composites!O64/INDEX(Composites!O:O,ROW()-Fenetre)-1))</f>
        <v/>
      </c>
      <c r="U64" s="34">
        <f>IF(OR(Composites!P64="",ROW()-Fenetre&lt;6),"",IF(INDEX(Composites!P:P,ROW()-Fenetre)="","",Composites!P64/INDEX(Composites!P:P,ROW()-Fenetre)-1))</f>
        <v/>
      </c>
      <c r="V64" s="34">
        <f>IF('Historique ajusté'!C64="","",'Historique ajusté'!C64/MAX('Historique ajusté'!C$6:C64)-1)</f>
        <v/>
      </c>
      <c r="W64" s="34">
        <f>IF('Historique ajusté'!D64="","",'Historique ajusté'!D64/MAX('Historique ajusté'!D$6:D64)-1)</f>
        <v/>
      </c>
      <c r="X64" s="34">
        <f>IF('Historique ajusté'!E64="","",'Historique ajusté'!E64/MAX('Historique ajusté'!E$6:E64)-1)</f>
        <v/>
      </c>
      <c r="Y64" s="34">
        <f>IF('Historique ajusté'!F64="","",'Historique ajusté'!F64/MAX('Historique ajusté'!F$6:F64)-1)</f>
        <v/>
      </c>
      <c r="Z64" s="34">
        <f>IF('Historique ajusté'!G64="","",'Historique ajusté'!G64/MAX('Historique ajusté'!G$6:G64)-1)</f>
        <v/>
      </c>
      <c r="AA64" s="34">
        <f>IF('Historique ajusté'!H64="","",'Historique ajusté'!H64/MAX('Historique ajusté'!H$6:H64)-1)</f>
        <v/>
      </c>
      <c r="AB64" s="34">
        <f>IF('Historique ajusté'!I64="","",'Historique ajusté'!I64/MAX('Historique ajusté'!I$6:I64)-1)</f>
        <v/>
      </c>
      <c r="AC64" s="34">
        <f>IF('Historique ajusté'!J64="","",'Historique ajusté'!J64/MAX('Historique ajusté'!J$6:J64)-1)</f>
        <v/>
      </c>
      <c r="AD64" s="34">
        <f>IF('Historique ajusté'!K64="","",'Historique ajusté'!K64/MAX('Historique ajusté'!K$6:K64)-1)</f>
        <v/>
      </c>
      <c r="AE64" s="34">
        <f>IF('Historique ajusté'!L64="","",'Historique ajusté'!L64/MAX('Historique ajusté'!L$6:L64)-1)</f>
        <v/>
      </c>
      <c r="AF64" s="34">
        <f>IF('Historique ajusté'!M64="","",'Historique ajusté'!M64/MAX('Historique ajusté'!M$6:M64)-1)</f>
        <v/>
      </c>
      <c r="AG64" s="34">
        <f>IF('Historique ajusté'!N64="","",'Historique ajusté'!N64/MAX('Historique ajusté'!N$6:N64)-1)</f>
        <v/>
      </c>
      <c r="AH64" s="34">
        <f>IF('Historique ajusté'!O64="","",'Historique ajusté'!O64/MAX('Historique ajusté'!O$6:O64)-1)</f>
        <v/>
      </c>
      <c r="AI64" s="34">
        <f>IF('Historique ajusté'!P64="","",'Historique ajusté'!P64/MAX('Historique ajusté'!P$6:P64)-1)</f>
        <v/>
      </c>
      <c r="AJ64" s="34">
        <f>IF(Composites!L64="","",Composites!L64/MAX(Composites!L$6:L64)-1)</f>
        <v/>
      </c>
      <c r="AK64" s="34">
        <f>IF(Composites!M64="","",Composites!M64/MAX(Composites!M$6:M64)-1)</f>
        <v/>
      </c>
      <c r="AL64" s="34">
        <f>IF(Composites!N64="","",Composites!N64/MAX(Composites!N$6:N64)-1)</f>
        <v/>
      </c>
      <c r="AM64" s="34">
        <f>IF(Composites!O64="","",Composites!O64/MAX(Composites!O$6:O64)-1)</f>
        <v/>
      </c>
      <c r="AN64" s="34">
        <f>IF(Composites!P64="","",Composites!P64/MAX(Composites!P$6:P64)-1)</f>
        <v/>
      </c>
    </row>
    <row r="65">
      <c r="B65" s="32">
        <f>'Historique ajusté'!B65</f>
        <v/>
      </c>
      <c r="C65" s="34">
        <f>IF(OR('Historique ajusté'!C65="",ROW()-Fenetre&lt;6),"",IF(INDEX('Historique ajusté'!C:C,ROW()-Fenetre)="","",'Historique ajusté'!C65/INDEX('Historique ajusté'!C:C,ROW()-Fenetre)-1))</f>
        <v/>
      </c>
      <c r="D65" s="34">
        <f>IF(OR('Historique ajusté'!D65="",ROW()-Fenetre&lt;6),"",IF(INDEX('Historique ajusté'!D:D,ROW()-Fenetre)="","",'Historique ajusté'!D65/INDEX('Historique ajusté'!D:D,ROW()-Fenetre)-1))</f>
        <v/>
      </c>
      <c r="E65" s="34">
        <f>IF(OR('Historique ajusté'!E65="",ROW()-Fenetre&lt;6),"",IF(INDEX('Historique ajusté'!E:E,ROW()-Fenetre)="","",'Historique ajusté'!E65/INDEX('Historique ajusté'!E:E,ROW()-Fenetre)-1))</f>
        <v/>
      </c>
      <c r="F65" s="34">
        <f>IF(OR('Historique ajusté'!F65="",ROW()-Fenetre&lt;6),"",IF(INDEX('Historique ajusté'!F:F,ROW()-Fenetre)="","",'Historique ajusté'!F65/INDEX('Historique ajusté'!F:F,ROW()-Fenetre)-1))</f>
        <v/>
      </c>
      <c r="G65" s="34">
        <f>IF(OR('Historique ajusté'!G65="",ROW()-Fenetre&lt;6),"",IF(INDEX('Historique ajusté'!G:G,ROW()-Fenetre)="","",'Historique ajusté'!G65/INDEX('Historique ajusté'!G:G,ROW()-Fenetre)-1))</f>
        <v/>
      </c>
      <c r="H65" s="34">
        <f>IF(OR('Historique ajusté'!H65="",ROW()-Fenetre&lt;6),"",IF(INDEX('Historique ajusté'!H:H,ROW()-Fenetre)="","",'Historique ajusté'!H65/INDEX('Historique ajusté'!H:H,ROW()-Fenetre)-1))</f>
        <v/>
      </c>
      <c r="I65" s="34">
        <f>IF(OR('Historique ajusté'!I65="",ROW()-Fenetre&lt;6),"",IF(INDEX('Historique ajusté'!I:I,ROW()-Fenetre)="","",'Historique ajusté'!I65/INDEX('Historique ajusté'!I:I,ROW()-Fenetre)-1))</f>
        <v/>
      </c>
      <c r="J65" s="34">
        <f>IF(OR('Historique ajusté'!J65="",ROW()-Fenetre&lt;6),"",IF(INDEX('Historique ajusté'!J:J,ROW()-Fenetre)="","",'Historique ajusté'!J65/INDEX('Historique ajusté'!J:J,ROW()-Fenetre)-1))</f>
        <v/>
      </c>
      <c r="K65" s="34">
        <f>IF(OR('Historique ajusté'!K65="",ROW()-Fenetre&lt;6),"",IF(INDEX('Historique ajusté'!K:K,ROW()-Fenetre)="","",'Historique ajusté'!K65/INDEX('Historique ajusté'!K:K,ROW()-Fenetre)-1))</f>
        <v/>
      </c>
      <c r="L65" s="34">
        <f>IF(OR('Historique ajusté'!L65="",ROW()-Fenetre&lt;6),"",IF(INDEX('Historique ajusté'!L:L,ROW()-Fenetre)="","",'Historique ajusté'!L65/INDEX('Historique ajusté'!L:L,ROW()-Fenetre)-1))</f>
        <v/>
      </c>
      <c r="M65" s="34">
        <f>IF(OR('Historique ajusté'!M65="",ROW()-Fenetre&lt;6),"",IF(INDEX('Historique ajusté'!M:M,ROW()-Fenetre)="","",'Historique ajusté'!M65/INDEX('Historique ajusté'!M:M,ROW()-Fenetre)-1))</f>
        <v/>
      </c>
      <c r="N65" s="34">
        <f>IF(OR('Historique ajusté'!N65="",ROW()-Fenetre&lt;6),"",IF(INDEX('Historique ajusté'!N:N,ROW()-Fenetre)="","",'Historique ajusté'!N65/INDEX('Historique ajusté'!N:N,ROW()-Fenetre)-1))</f>
        <v/>
      </c>
      <c r="O65" s="34">
        <f>IF(OR('Historique ajusté'!O65="",ROW()-Fenetre&lt;6),"",IF(INDEX('Historique ajusté'!O:O,ROW()-Fenetre)="","",'Historique ajusté'!O65/INDEX('Historique ajusté'!O:O,ROW()-Fenetre)-1))</f>
        <v/>
      </c>
      <c r="P65" s="34">
        <f>IF(OR('Historique ajusté'!P65="",ROW()-Fenetre&lt;6),"",IF(INDEX('Historique ajusté'!P:P,ROW()-Fenetre)="","",'Historique ajusté'!P65/INDEX('Historique ajusté'!P:P,ROW()-Fenetre)-1))</f>
        <v/>
      </c>
      <c r="Q65" s="34">
        <f>IF(OR(Composites!L65="",ROW()-Fenetre&lt;6),"",IF(INDEX(Composites!L:L,ROW()-Fenetre)="","",Composites!L65/INDEX(Composites!L:L,ROW()-Fenetre)-1))</f>
        <v/>
      </c>
      <c r="R65" s="34">
        <f>IF(OR(Composites!M65="",ROW()-Fenetre&lt;6),"",IF(INDEX(Composites!M:M,ROW()-Fenetre)="","",Composites!M65/INDEX(Composites!M:M,ROW()-Fenetre)-1))</f>
        <v/>
      </c>
      <c r="S65" s="34">
        <f>IF(OR(Composites!N65="",ROW()-Fenetre&lt;6),"",IF(INDEX(Composites!N:N,ROW()-Fenetre)="","",Composites!N65/INDEX(Composites!N:N,ROW()-Fenetre)-1))</f>
        <v/>
      </c>
      <c r="T65" s="34">
        <f>IF(OR(Composites!O65="",ROW()-Fenetre&lt;6),"",IF(INDEX(Composites!O:O,ROW()-Fenetre)="","",Composites!O65/INDEX(Composites!O:O,ROW()-Fenetre)-1))</f>
        <v/>
      </c>
      <c r="U65" s="34">
        <f>IF(OR(Composites!P65="",ROW()-Fenetre&lt;6),"",IF(INDEX(Composites!P:P,ROW()-Fenetre)="","",Composites!P65/INDEX(Composites!P:P,ROW()-Fenetre)-1))</f>
        <v/>
      </c>
      <c r="V65" s="34">
        <f>IF('Historique ajusté'!C65="","",'Historique ajusté'!C65/MAX('Historique ajusté'!C$6:C65)-1)</f>
        <v/>
      </c>
      <c r="W65" s="34">
        <f>IF('Historique ajusté'!D65="","",'Historique ajusté'!D65/MAX('Historique ajusté'!D$6:D65)-1)</f>
        <v/>
      </c>
      <c r="X65" s="34">
        <f>IF('Historique ajusté'!E65="","",'Historique ajusté'!E65/MAX('Historique ajusté'!E$6:E65)-1)</f>
        <v/>
      </c>
      <c r="Y65" s="34">
        <f>IF('Historique ajusté'!F65="","",'Historique ajusté'!F65/MAX('Historique ajusté'!F$6:F65)-1)</f>
        <v/>
      </c>
      <c r="Z65" s="34">
        <f>IF('Historique ajusté'!G65="","",'Historique ajusté'!G65/MAX('Historique ajusté'!G$6:G65)-1)</f>
        <v/>
      </c>
      <c r="AA65" s="34">
        <f>IF('Historique ajusté'!H65="","",'Historique ajusté'!H65/MAX('Historique ajusté'!H$6:H65)-1)</f>
        <v/>
      </c>
      <c r="AB65" s="34">
        <f>IF('Historique ajusté'!I65="","",'Historique ajusté'!I65/MAX('Historique ajusté'!I$6:I65)-1)</f>
        <v/>
      </c>
      <c r="AC65" s="34">
        <f>IF('Historique ajusté'!J65="","",'Historique ajusté'!J65/MAX('Historique ajusté'!J$6:J65)-1)</f>
        <v/>
      </c>
      <c r="AD65" s="34">
        <f>IF('Historique ajusté'!K65="","",'Historique ajusté'!K65/MAX('Historique ajusté'!K$6:K65)-1)</f>
        <v/>
      </c>
      <c r="AE65" s="34">
        <f>IF('Historique ajusté'!L65="","",'Historique ajusté'!L65/MAX('Historique ajusté'!L$6:L65)-1)</f>
        <v/>
      </c>
      <c r="AF65" s="34">
        <f>IF('Historique ajusté'!M65="","",'Historique ajusté'!M65/MAX('Historique ajusté'!M$6:M65)-1)</f>
        <v/>
      </c>
      <c r="AG65" s="34">
        <f>IF('Historique ajusté'!N65="","",'Historique ajusté'!N65/MAX('Historique ajusté'!N$6:N65)-1)</f>
        <v/>
      </c>
      <c r="AH65" s="34">
        <f>IF('Historique ajusté'!O65="","",'Historique ajusté'!O65/MAX('Historique ajusté'!O$6:O65)-1)</f>
        <v/>
      </c>
      <c r="AI65" s="34">
        <f>IF('Historique ajusté'!P65="","",'Historique ajusté'!P65/MAX('Historique ajusté'!P$6:P65)-1)</f>
        <v/>
      </c>
      <c r="AJ65" s="34">
        <f>IF(Composites!L65="","",Composites!L65/MAX(Composites!L$6:L65)-1)</f>
        <v/>
      </c>
      <c r="AK65" s="34">
        <f>IF(Composites!M65="","",Composites!M65/MAX(Composites!M$6:M65)-1)</f>
        <v/>
      </c>
      <c r="AL65" s="34">
        <f>IF(Composites!N65="","",Composites!N65/MAX(Composites!N$6:N65)-1)</f>
        <v/>
      </c>
      <c r="AM65" s="34">
        <f>IF(Composites!O65="","",Composites!O65/MAX(Composites!O$6:O65)-1)</f>
        <v/>
      </c>
      <c r="AN65" s="34">
        <f>IF(Composites!P65="","",Composites!P65/MAX(Composites!P$6:P65)-1)</f>
        <v/>
      </c>
    </row>
    <row r="66">
      <c r="B66" s="32">
        <f>'Historique ajusté'!B66</f>
        <v/>
      </c>
      <c r="C66" s="34">
        <f>IF(OR('Historique ajusté'!C66="",ROW()-Fenetre&lt;6),"",IF(INDEX('Historique ajusté'!C:C,ROW()-Fenetre)="","",'Historique ajusté'!C66/INDEX('Historique ajusté'!C:C,ROW()-Fenetre)-1))</f>
        <v/>
      </c>
      <c r="D66" s="34">
        <f>IF(OR('Historique ajusté'!D66="",ROW()-Fenetre&lt;6),"",IF(INDEX('Historique ajusté'!D:D,ROW()-Fenetre)="","",'Historique ajusté'!D66/INDEX('Historique ajusté'!D:D,ROW()-Fenetre)-1))</f>
        <v/>
      </c>
      <c r="E66" s="34">
        <f>IF(OR('Historique ajusté'!E66="",ROW()-Fenetre&lt;6),"",IF(INDEX('Historique ajusté'!E:E,ROW()-Fenetre)="","",'Historique ajusté'!E66/INDEX('Historique ajusté'!E:E,ROW()-Fenetre)-1))</f>
        <v/>
      </c>
      <c r="F66" s="34">
        <f>IF(OR('Historique ajusté'!F66="",ROW()-Fenetre&lt;6),"",IF(INDEX('Historique ajusté'!F:F,ROW()-Fenetre)="","",'Historique ajusté'!F66/INDEX('Historique ajusté'!F:F,ROW()-Fenetre)-1))</f>
        <v/>
      </c>
      <c r="G66" s="34">
        <f>IF(OR('Historique ajusté'!G66="",ROW()-Fenetre&lt;6),"",IF(INDEX('Historique ajusté'!G:G,ROW()-Fenetre)="","",'Historique ajusté'!G66/INDEX('Historique ajusté'!G:G,ROW()-Fenetre)-1))</f>
        <v/>
      </c>
      <c r="H66" s="34">
        <f>IF(OR('Historique ajusté'!H66="",ROW()-Fenetre&lt;6),"",IF(INDEX('Historique ajusté'!H:H,ROW()-Fenetre)="","",'Historique ajusté'!H66/INDEX('Historique ajusté'!H:H,ROW()-Fenetre)-1))</f>
        <v/>
      </c>
      <c r="I66" s="34">
        <f>IF(OR('Historique ajusté'!I66="",ROW()-Fenetre&lt;6),"",IF(INDEX('Historique ajusté'!I:I,ROW()-Fenetre)="","",'Historique ajusté'!I66/INDEX('Historique ajusté'!I:I,ROW()-Fenetre)-1))</f>
        <v/>
      </c>
      <c r="J66" s="34">
        <f>IF(OR('Historique ajusté'!J66="",ROW()-Fenetre&lt;6),"",IF(INDEX('Historique ajusté'!J:J,ROW()-Fenetre)="","",'Historique ajusté'!J66/INDEX('Historique ajusté'!J:J,ROW()-Fenetre)-1))</f>
        <v/>
      </c>
      <c r="K66" s="34">
        <f>IF(OR('Historique ajusté'!K66="",ROW()-Fenetre&lt;6),"",IF(INDEX('Historique ajusté'!K:K,ROW()-Fenetre)="","",'Historique ajusté'!K66/INDEX('Historique ajusté'!K:K,ROW()-Fenetre)-1))</f>
        <v/>
      </c>
      <c r="L66" s="34">
        <f>IF(OR('Historique ajusté'!L66="",ROW()-Fenetre&lt;6),"",IF(INDEX('Historique ajusté'!L:L,ROW()-Fenetre)="","",'Historique ajusté'!L66/INDEX('Historique ajusté'!L:L,ROW()-Fenetre)-1))</f>
        <v/>
      </c>
      <c r="M66" s="34">
        <f>IF(OR('Historique ajusté'!M66="",ROW()-Fenetre&lt;6),"",IF(INDEX('Historique ajusté'!M:M,ROW()-Fenetre)="","",'Historique ajusté'!M66/INDEX('Historique ajusté'!M:M,ROW()-Fenetre)-1))</f>
        <v/>
      </c>
      <c r="N66" s="34">
        <f>IF(OR('Historique ajusté'!N66="",ROW()-Fenetre&lt;6),"",IF(INDEX('Historique ajusté'!N:N,ROW()-Fenetre)="","",'Historique ajusté'!N66/INDEX('Historique ajusté'!N:N,ROW()-Fenetre)-1))</f>
        <v/>
      </c>
      <c r="O66" s="34">
        <f>IF(OR('Historique ajusté'!O66="",ROW()-Fenetre&lt;6),"",IF(INDEX('Historique ajusté'!O:O,ROW()-Fenetre)="","",'Historique ajusté'!O66/INDEX('Historique ajusté'!O:O,ROW()-Fenetre)-1))</f>
        <v/>
      </c>
      <c r="P66" s="34">
        <f>IF(OR('Historique ajusté'!P66="",ROW()-Fenetre&lt;6),"",IF(INDEX('Historique ajusté'!P:P,ROW()-Fenetre)="","",'Historique ajusté'!P66/INDEX('Historique ajusté'!P:P,ROW()-Fenetre)-1))</f>
        <v/>
      </c>
      <c r="Q66" s="34">
        <f>IF(OR(Composites!L66="",ROW()-Fenetre&lt;6),"",IF(INDEX(Composites!L:L,ROW()-Fenetre)="","",Composites!L66/INDEX(Composites!L:L,ROW()-Fenetre)-1))</f>
        <v/>
      </c>
      <c r="R66" s="34">
        <f>IF(OR(Composites!M66="",ROW()-Fenetre&lt;6),"",IF(INDEX(Composites!M:M,ROW()-Fenetre)="","",Composites!M66/INDEX(Composites!M:M,ROW()-Fenetre)-1))</f>
        <v/>
      </c>
      <c r="S66" s="34">
        <f>IF(OR(Composites!N66="",ROW()-Fenetre&lt;6),"",IF(INDEX(Composites!N:N,ROW()-Fenetre)="","",Composites!N66/INDEX(Composites!N:N,ROW()-Fenetre)-1))</f>
        <v/>
      </c>
      <c r="T66" s="34">
        <f>IF(OR(Composites!O66="",ROW()-Fenetre&lt;6),"",IF(INDEX(Composites!O:O,ROW()-Fenetre)="","",Composites!O66/INDEX(Composites!O:O,ROW()-Fenetre)-1))</f>
        <v/>
      </c>
      <c r="U66" s="34">
        <f>IF(OR(Composites!P66="",ROW()-Fenetre&lt;6),"",IF(INDEX(Composites!P:P,ROW()-Fenetre)="","",Composites!P66/INDEX(Composites!P:P,ROW()-Fenetre)-1))</f>
        <v/>
      </c>
      <c r="V66" s="34">
        <f>IF('Historique ajusté'!C66="","",'Historique ajusté'!C66/MAX('Historique ajusté'!C$6:C66)-1)</f>
        <v/>
      </c>
      <c r="W66" s="34">
        <f>IF('Historique ajusté'!D66="","",'Historique ajusté'!D66/MAX('Historique ajusté'!D$6:D66)-1)</f>
        <v/>
      </c>
      <c r="X66" s="34">
        <f>IF('Historique ajusté'!E66="","",'Historique ajusté'!E66/MAX('Historique ajusté'!E$6:E66)-1)</f>
        <v/>
      </c>
      <c r="Y66" s="34">
        <f>IF('Historique ajusté'!F66="","",'Historique ajusté'!F66/MAX('Historique ajusté'!F$6:F66)-1)</f>
        <v/>
      </c>
      <c r="Z66" s="34">
        <f>IF('Historique ajusté'!G66="","",'Historique ajusté'!G66/MAX('Historique ajusté'!G$6:G66)-1)</f>
        <v/>
      </c>
      <c r="AA66" s="34">
        <f>IF('Historique ajusté'!H66="","",'Historique ajusté'!H66/MAX('Historique ajusté'!H$6:H66)-1)</f>
        <v/>
      </c>
      <c r="AB66" s="34">
        <f>IF('Historique ajusté'!I66="","",'Historique ajusté'!I66/MAX('Historique ajusté'!I$6:I66)-1)</f>
        <v/>
      </c>
      <c r="AC66" s="34">
        <f>IF('Historique ajusté'!J66="","",'Historique ajusté'!J66/MAX('Historique ajusté'!J$6:J66)-1)</f>
        <v/>
      </c>
      <c r="AD66" s="34">
        <f>IF('Historique ajusté'!K66="","",'Historique ajusté'!K66/MAX('Historique ajusté'!K$6:K66)-1)</f>
        <v/>
      </c>
      <c r="AE66" s="34">
        <f>IF('Historique ajusté'!L66="","",'Historique ajusté'!L66/MAX('Historique ajusté'!L$6:L66)-1)</f>
        <v/>
      </c>
      <c r="AF66" s="34">
        <f>IF('Historique ajusté'!M66="","",'Historique ajusté'!M66/MAX('Historique ajusté'!M$6:M66)-1)</f>
        <v/>
      </c>
      <c r="AG66" s="34">
        <f>IF('Historique ajusté'!N66="","",'Historique ajusté'!N66/MAX('Historique ajusté'!N$6:N66)-1)</f>
        <v/>
      </c>
      <c r="AH66" s="34">
        <f>IF('Historique ajusté'!O66="","",'Historique ajusté'!O66/MAX('Historique ajusté'!O$6:O66)-1)</f>
        <v/>
      </c>
      <c r="AI66" s="34">
        <f>IF('Historique ajusté'!P66="","",'Historique ajusté'!P66/MAX('Historique ajusté'!P$6:P66)-1)</f>
        <v/>
      </c>
      <c r="AJ66" s="34">
        <f>IF(Composites!L66="","",Composites!L66/MAX(Composites!L$6:L66)-1)</f>
        <v/>
      </c>
      <c r="AK66" s="34">
        <f>IF(Composites!M66="","",Composites!M66/MAX(Composites!M$6:M66)-1)</f>
        <v/>
      </c>
      <c r="AL66" s="34">
        <f>IF(Composites!N66="","",Composites!N66/MAX(Composites!N$6:N66)-1)</f>
        <v/>
      </c>
      <c r="AM66" s="34">
        <f>IF(Composites!O66="","",Composites!O66/MAX(Composites!O$6:O66)-1)</f>
        <v/>
      </c>
      <c r="AN66" s="34">
        <f>IF(Composites!P66="","",Composites!P66/MAX(Composites!P$6:P66)-1)</f>
        <v/>
      </c>
    </row>
    <row r="67">
      <c r="B67" s="32">
        <f>'Historique ajusté'!B67</f>
        <v/>
      </c>
      <c r="C67" s="34">
        <f>IF(OR('Historique ajusté'!C67="",ROW()-Fenetre&lt;6),"",IF(INDEX('Historique ajusté'!C:C,ROW()-Fenetre)="","",'Historique ajusté'!C67/INDEX('Historique ajusté'!C:C,ROW()-Fenetre)-1))</f>
        <v/>
      </c>
      <c r="D67" s="34">
        <f>IF(OR('Historique ajusté'!D67="",ROW()-Fenetre&lt;6),"",IF(INDEX('Historique ajusté'!D:D,ROW()-Fenetre)="","",'Historique ajusté'!D67/INDEX('Historique ajusté'!D:D,ROW()-Fenetre)-1))</f>
        <v/>
      </c>
      <c r="E67" s="34">
        <f>IF(OR('Historique ajusté'!E67="",ROW()-Fenetre&lt;6),"",IF(INDEX('Historique ajusté'!E:E,ROW()-Fenetre)="","",'Historique ajusté'!E67/INDEX('Historique ajusté'!E:E,ROW()-Fenetre)-1))</f>
        <v/>
      </c>
      <c r="F67" s="34">
        <f>IF(OR('Historique ajusté'!F67="",ROW()-Fenetre&lt;6),"",IF(INDEX('Historique ajusté'!F:F,ROW()-Fenetre)="","",'Historique ajusté'!F67/INDEX('Historique ajusté'!F:F,ROW()-Fenetre)-1))</f>
        <v/>
      </c>
      <c r="G67" s="34">
        <f>IF(OR('Historique ajusté'!G67="",ROW()-Fenetre&lt;6),"",IF(INDEX('Historique ajusté'!G:G,ROW()-Fenetre)="","",'Historique ajusté'!G67/INDEX('Historique ajusté'!G:G,ROW()-Fenetre)-1))</f>
        <v/>
      </c>
      <c r="H67" s="34">
        <f>IF(OR('Historique ajusté'!H67="",ROW()-Fenetre&lt;6),"",IF(INDEX('Historique ajusté'!H:H,ROW()-Fenetre)="","",'Historique ajusté'!H67/INDEX('Historique ajusté'!H:H,ROW()-Fenetre)-1))</f>
        <v/>
      </c>
      <c r="I67" s="34">
        <f>IF(OR('Historique ajusté'!I67="",ROW()-Fenetre&lt;6),"",IF(INDEX('Historique ajusté'!I:I,ROW()-Fenetre)="","",'Historique ajusté'!I67/INDEX('Historique ajusté'!I:I,ROW()-Fenetre)-1))</f>
        <v/>
      </c>
      <c r="J67" s="34">
        <f>IF(OR('Historique ajusté'!J67="",ROW()-Fenetre&lt;6),"",IF(INDEX('Historique ajusté'!J:J,ROW()-Fenetre)="","",'Historique ajusté'!J67/INDEX('Historique ajusté'!J:J,ROW()-Fenetre)-1))</f>
        <v/>
      </c>
      <c r="K67" s="34">
        <f>IF(OR('Historique ajusté'!K67="",ROW()-Fenetre&lt;6),"",IF(INDEX('Historique ajusté'!K:K,ROW()-Fenetre)="","",'Historique ajusté'!K67/INDEX('Historique ajusté'!K:K,ROW()-Fenetre)-1))</f>
        <v/>
      </c>
      <c r="L67" s="34">
        <f>IF(OR('Historique ajusté'!L67="",ROW()-Fenetre&lt;6),"",IF(INDEX('Historique ajusté'!L:L,ROW()-Fenetre)="","",'Historique ajusté'!L67/INDEX('Historique ajusté'!L:L,ROW()-Fenetre)-1))</f>
        <v/>
      </c>
      <c r="M67" s="34">
        <f>IF(OR('Historique ajusté'!M67="",ROW()-Fenetre&lt;6),"",IF(INDEX('Historique ajusté'!M:M,ROW()-Fenetre)="","",'Historique ajusté'!M67/INDEX('Historique ajusté'!M:M,ROW()-Fenetre)-1))</f>
        <v/>
      </c>
      <c r="N67" s="34">
        <f>IF(OR('Historique ajusté'!N67="",ROW()-Fenetre&lt;6),"",IF(INDEX('Historique ajusté'!N:N,ROW()-Fenetre)="","",'Historique ajusté'!N67/INDEX('Historique ajusté'!N:N,ROW()-Fenetre)-1))</f>
        <v/>
      </c>
      <c r="O67" s="34">
        <f>IF(OR('Historique ajusté'!O67="",ROW()-Fenetre&lt;6),"",IF(INDEX('Historique ajusté'!O:O,ROW()-Fenetre)="","",'Historique ajusté'!O67/INDEX('Historique ajusté'!O:O,ROW()-Fenetre)-1))</f>
        <v/>
      </c>
      <c r="P67" s="34">
        <f>IF(OR('Historique ajusté'!P67="",ROW()-Fenetre&lt;6),"",IF(INDEX('Historique ajusté'!P:P,ROW()-Fenetre)="","",'Historique ajusté'!P67/INDEX('Historique ajusté'!P:P,ROW()-Fenetre)-1))</f>
        <v/>
      </c>
      <c r="Q67" s="34">
        <f>IF(OR(Composites!L67="",ROW()-Fenetre&lt;6),"",IF(INDEX(Composites!L:L,ROW()-Fenetre)="","",Composites!L67/INDEX(Composites!L:L,ROW()-Fenetre)-1))</f>
        <v/>
      </c>
      <c r="R67" s="34">
        <f>IF(OR(Composites!M67="",ROW()-Fenetre&lt;6),"",IF(INDEX(Composites!M:M,ROW()-Fenetre)="","",Composites!M67/INDEX(Composites!M:M,ROW()-Fenetre)-1))</f>
        <v/>
      </c>
      <c r="S67" s="34">
        <f>IF(OR(Composites!N67="",ROW()-Fenetre&lt;6),"",IF(INDEX(Composites!N:N,ROW()-Fenetre)="","",Composites!N67/INDEX(Composites!N:N,ROW()-Fenetre)-1))</f>
        <v/>
      </c>
      <c r="T67" s="34">
        <f>IF(OR(Composites!O67="",ROW()-Fenetre&lt;6),"",IF(INDEX(Composites!O:O,ROW()-Fenetre)="","",Composites!O67/INDEX(Composites!O:O,ROW()-Fenetre)-1))</f>
        <v/>
      </c>
      <c r="U67" s="34">
        <f>IF(OR(Composites!P67="",ROW()-Fenetre&lt;6),"",IF(INDEX(Composites!P:P,ROW()-Fenetre)="","",Composites!P67/INDEX(Composites!P:P,ROW()-Fenetre)-1))</f>
        <v/>
      </c>
      <c r="V67" s="34">
        <f>IF('Historique ajusté'!C67="","",'Historique ajusté'!C67/MAX('Historique ajusté'!C$6:C67)-1)</f>
        <v/>
      </c>
      <c r="W67" s="34">
        <f>IF('Historique ajusté'!D67="","",'Historique ajusté'!D67/MAX('Historique ajusté'!D$6:D67)-1)</f>
        <v/>
      </c>
      <c r="X67" s="34">
        <f>IF('Historique ajusté'!E67="","",'Historique ajusté'!E67/MAX('Historique ajusté'!E$6:E67)-1)</f>
        <v/>
      </c>
      <c r="Y67" s="34">
        <f>IF('Historique ajusté'!F67="","",'Historique ajusté'!F67/MAX('Historique ajusté'!F$6:F67)-1)</f>
        <v/>
      </c>
      <c r="Z67" s="34">
        <f>IF('Historique ajusté'!G67="","",'Historique ajusté'!G67/MAX('Historique ajusté'!G$6:G67)-1)</f>
        <v/>
      </c>
      <c r="AA67" s="34">
        <f>IF('Historique ajusté'!H67="","",'Historique ajusté'!H67/MAX('Historique ajusté'!H$6:H67)-1)</f>
        <v/>
      </c>
      <c r="AB67" s="34">
        <f>IF('Historique ajusté'!I67="","",'Historique ajusté'!I67/MAX('Historique ajusté'!I$6:I67)-1)</f>
        <v/>
      </c>
      <c r="AC67" s="34">
        <f>IF('Historique ajusté'!J67="","",'Historique ajusté'!J67/MAX('Historique ajusté'!J$6:J67)-1)</f>
        <v/>
      </c>
      <c r="AD67" s="34">
        <f>IF('Historique ajusté'!K67="","",'Historique ajusté'!K67/MAX('Historique ajusté'!K$6:K67)-1)</f>
        <v/>
      </c>
      <c r="AE67" s="34">
        <f>IF('Historique ajusté'!L67="","",'Historique ajusté'!L67/MAX('Historique ajusté'!L$6:L67)-1)</f>
        <v/>
      </c>
      <c r="AF67" s="34">
        <f>IF('Historique ajusté'!M67="","",'Historique ajusté'!M67/MAX('Historique ajusté'!M$6:M67)-1)</f>
        <v/>
      </c>
      <c r="AG67" s="34">
        <f>IF('Historique ajusté'!N67="","",'Historique ajusté'!N67/MAX('Historique ajusté'!N$6:N67)-1)</f>
        <v/>
      </c>
      <c r="AH67" s="34">
        <f>IF('Historique ajusté'!O67="","",'Historique ajusté'!O67/MAX('Historique ajusté'!O$6:O67)-1)</f>
        <v/>
      </c>
      <c r="AI67" s="34">
        <f>IF('Historique ajusté'!P67="","",'Historique ajusté'!P67/MAX('Historique ajusté'!P$6:P67)-1)</f>
        <v/>
      </c>
      <c r="AJ67" s="34">
        <f>IF(Composites!L67="","",Composites!L67/MAX(Composites!L$6:L67)-1)</f>
        <v/>
      </c>
      <c r="AK67" s="34">
        <f>IF(Composites!M67="","",Composites!M67/MAX(Composites!M$6:M67)-1)</f>
        <v/>
      </c>
      <c r="AL67" s="34">
        <f>IF(Composites!N67="","",Composites!N67/MAX(Composites!N$6:N67)-1)</f>
        <v/>
      </c>
      <c r="AM67" s="34">
        <f>IF(Composites!O67="","",Composites!O67/MAX(Composites!O$6:O67)-1)</f>
        <v/>
      </c>
      <c r="AN67" s="34">
        <f>IF(Composites!P67="","",Composites!P67/MAX(Composites!P$6:P67)-1)</f>
        <v/>
      </c>
    </row>
    <row r="68">
      <c r="B68" s="32">
        <f>'Historique ajusté'!B68</f>
        <v/>
      </c>
      <c r="C68" s="34">
        <f>IF(OR('Historique ajusté'!C68="",ROW()-Fenetre&lt;6),"",IF(INDEX('Historique ajusté'!C:C,ROW()-Fenetre)="","",'Historique ajusté'!C68/INDEX('Historique ajusté'!C:C,ROW()-Fenetre)-1))</f>
        <v/>
      </c>
      <c r="D68" s="34">
        <f>IF(OR('Historique ajusté'!D68="",ROW()-Fenetre&lt;6),"",IF(INDEX('Historique ajusté'!D:D,ROW()-Fenetre)="","",'Historique ajusté'!D68/INDEX('Historique ajusté'!D:D,ROW()-Fenetre)-1))</f>
        <v/>
      </c>
      <c r="E68" s="34">
        <f>IF(OR('Historique ajusté'!E68="",ROW()-Fenetre&lt;6),"",IF(INDEX('Historique ajusté'!E:E,ROW()-Fenetre)="","",'Historique ajusté'!E68/INDEX('Historique ajusté'!E:E,ROW()-Fenetre)-1))</f>
        <v/>
      </c>
      <c r="F68" s="34">
        <f>IF(OR('Historique ajusté'!F68="",ROW()-Fenetre&lt;6),"",IF(INDEX('Historique ajusté'!F:F,ROW()-Fenetre)="","",'Historique ajusté'!F68/INDEX('Historique ajusté'!F:F,ROW()-Fenetre)-1))</f>
        <v/>
      </c>
      <c r="G68" s="34">
        <f>IF(OR('Historique ajusté'!G68="",ROW()-Fenetre&lt;6),"",IF(INDEX('Historique ajusté'!G:G,ROW()-Fenetre)="","",'Historique ajusté'!G68/INDEX('Historique ajusté'!G:G,ROW()-Fenetre)-1))</f>
        <v/>
      </c>
      <c r="H68" s="34">
        <f>IF(OR('Historique ajusté'!H68="",ROW()-Fenetre&lt;6),"",IF(INDEX('Historique ajusté'!H:H,ROW()-Fenetre)="","",'Historique ajusté'!H68/INDEX('Historique ajusté'!H:H,ROW()-Fenetre)-1))</f>
        <v/>
      </c>
      <c r="I68" s="34">
        <f>IF(OR('Historique ajusté'!I68="",ROW()-Fenetre&lt;6),"",IF(INDEX('Historique ajusté'!I:I,ROW()-Fenetre)="","",'Historique ajusté'!I68/INDEX('Historique ajusté'!I:I,ROW()-Fenetre)-1))</f>
        <v/>
      </c>
      <c r="J68" s="34">
        <f>IF(OR('Historique ajusté'!J68="",ROW()-Fenetre&lt;6),"",IF(INDEX('Historique ajusté'!J:J,ROW()-Fenetre)="","",'Historique ajusté'!J68/INDEX('Historique ajusté'!J:J,ROW()-Fenetre)-1))</f>
        <v/>
      </c>
      <c r="K68" s="34">
        <f>IF(OR('Historique ajusté'!K68="",ROW()-Fenetre&lt;6),"",IF(INDEX('Historique ajusté'!K:K,ROW()-Fenetre)="","",'Historique ajusté'!K68/INDEX('Historique ajusté'!K:K,ROW()-Fenetre)-1))</f>
        <v/>
      </c>
      <c r="L68" s="34">
        <f>IF(OR('Historique ajusté'!L68="",ROW()-Fenetre&lt;6),"",IF(INDEX('Historique ajusté'!L:L,ROW()-Fenetre)="","",'Historique ajusté'!L68/INDEX('Historique ajusté'!L:L,ROW()-Fenetre)-1))</f>
        <v/>
      </c>
      <c r="M68" s="34">
        <f>IF(OR('Historique ajusté'!M68="",ROW()-Fenetre&lt;6),"",IF(INDEX('Historique ajusté'!M:M,ROW()-Fenetre)="","",'Historique ajusté'!M68/INDEX('Historique ajusté'!M:M,ROW()-Fenetre)-1))</f>
        <v/>
      </c>
      <c r="N68" s="34">
        <f>IF(OR('Historique ajusté'!N68="",ROW()-Fenetre&lt;6),"",IF(INDEX('Historique ajusté'!N:N,ROW()-Fenetre)="","",'Historique ajusté'!N68/INDEX('Historique ajusté'!N:N,ROW()-Fenetre)-1))</f>
        <v/>
      </c>
      <c r="O68" s="34">
        <f>IF(OR('Historique ajusté'!O68="",ROW()-Fenetre&lt;6),"",IF(INDEX('Historique ajusté'!O:O,ROW()-Fenetre)="","",'Historique ajusté'!O68/INDEX('Historique ajusté'!O:O,ROW()-Fenetre)-1))</f>
        <v/>
      </c>
      <c r="P68" s="34">
        <f>IF(OR('Historique ajusté'!P68="",ROW()-Fenetre&lt;6),"",IF(INDEX('Historique ajusté'!P:P,ROW()-Fenetre)="","",'Historique ajusté'!P68/INDEX('Historique ajusté'!P:P,ROW()-Fenetre)-1))</f>
        <v/>
      </c>
      <c r="Q68" s="34">
        <f>IF(OR(Composites!L68="",ROW()-Fenetre&lt;6),"",IF(INDEX(Composites!L:L,ROW()-Fenetre)="","",Composites!L68/INDEX(Composites!L:L,ROW()-Fenetre)-1))</f>
        <v/>
      </c>
      <c r="R68" s="34">
        <f>IF(OR(Composites!M68="",ROW()-Fenetre&lt;6),"",IF(INDEX(Composites!M:M,ROW()-Fenetre)="","",Composites!M68/INDEX(Composites!M:M,ROW()-Fenetre)-1))</f>
        <v/>
      </c>
      <c r="S68" s="34">
        <f>IF(OR(Composites!N68="",ROW()-Fenetre&lt;6),"",IF(INDEX(Composites!N:N,ROW()-Fenetre)="","",Composites!N68/INDEX(Composites!N:N,ROW()-Fenetre)-1))</f>
        <v/>
      </c>
      <c r="T68" s="34">
        <f>IF(OR(Composites!O68="",ROW()-Fenetre&lt;6),"",IF(INDEX(Composites!O:O,ROW()-Fenetre)="","",Composites!O68/INDEX(Composites!O:O,ROW()-Fenetre)-1))</f>
        <v/>
      </c>
      <c r="U68" s="34">
        <f>IF(OR(Composites!P68="",ROW()-Fenetre&lt;6),"",IF(INDEX(Composites!P:P,ROW()-Fenetre)="","",Composites!P68/INDEX(Composites!P:P,ROW()-Fenetre)-1))</f>
        <v/>
      </c>
      <c r="V68" s="34">
        <f>IF('Historique ajusté'!C68="","",'Historique ajusté'!C68/MAX('Historique ajusté'!C$6:C68)-1)</f>
        <v/>
      </c>
      <c r="W68" s="34">
        <f>IF('Historique ajusté'!D68="","",'Historique ajusté'!D68/MAX('Historique ajusté'!D$6:D68)-1)</f>
        <v/>
      </c>
      <c r="X68" s="34">
        <f>IF('Historique ajusté'!E68="","",'Historique ajusté'!E68/MAX('Historique ajusté'!E$6:E68)-1)</f>
        <v/>
      </c>
      <c r="Y68" s="34">
        <f>IF('Historique ajusté'!F68="","",'Historique ajusté'!F68/MAX('Historique ajusté'!F$6:F68)-1)</f>
        <v/>
      </c>
      <c r="Z68" s="34">
        <f>IF('Historique ajusté'!G68="","",'Historique ajusté'!G68/MAX('Historique ajusté'!G$6:G68)-1)</f>
        <v/>
      </c>
      <c r="AA68" s="34">
        <f>IF('Historique ajusté'!H68="","",'Historique ajusté'!H68/MAX('Historique ajusté'!H$6:H68)-1)</f>
        <v/>
      </c>
      <c r="AB68" s="34">
        <f>IF('Historique ajusté'!I68="","",'Historique ajusté'!I68/MAX('Historique ajusté'!I$6:I68)-1)</f>
        <v/>
      </c>
      <c r="AC68" s="34">
        <f>IF('Historique ajusté'!J68="","",'Historique ajusté'!J68/MAX('Historique ajusté'!J$6:J68)-1)</f>
        <v/>
      </c>
      <c r="AD68" s="34">
        <f>IF('Historique ajusté'!K68="","",'Historique ajusté'!K68/MAX('Historique ajusté'!K$6:K68)-1)</f>
        <v/>
      </c>
      <c r="AE68" s="34">
        <f>IF('Historique ajusté'!L68="","",'Historique ajusté'!L68/MAX('Historique ajusté'!L$6:L68)-1)</f>
        <v/>
      </c>
      <c r="AF68" s="34">
        <f>IF('Historique ajusté'!M68="","",'Historique ajusté'!M68/MAX('Historique ajusté'!M$6:M68)-1)</f>
        <v/>
      </c>
      <c r="AG68" s="34">
        <f>IF('Historique ajusté'!N68="","",'Historique ajusté'!N68/MAX('Historique ajusté'!N$6:N68)-1)</f>
        <v/>
      </c>
      <c r="AH68" s="34">
        <f>IF('Historique ajusté'!O68="","",'Historique ajusté'!O68/MAX('Historique ajusté'!O$6:O68)-1)</f>
        <v/>
      </c>
      <c r="AI68" s="34">
        <f>IF('Historique ajusté'!P68="","",'Historique ajusté'!P68/MAX('Historique ajusté'!P$6:P68)-1)</f>
        <v/>
      </c>
      <c r="AJ68" s="34">
        <f>IF(Composites!L68="","",Composites!L68/MAX(Composites!L$6:L68)-1)</f>
        <v/>
      </c>
      <c r="AK68" s="34">
        <f>IF(Composites!M68="","",Composites!M68/MAX(Composites!M$6:M68)-1)</f>
        <v/>
      </c>
      <c r="AL68" s="34">
        <f>IF(Composites!N68="","",Composites!N68/MAX(Composites!N$6:N68)-1)</f>
        <v/>
      </c>
      <c r="AM68" s="34">
        <f>IF(Composites!O68="","",Composites!O68/MAX(Composites!O$6:O68)-1)</f>
        <v/>
      </c>
      <c r="AN68" s="34">
        <f>IF(Composites!P68="","",Composites!P68/MAX(Composites!P$6:P68)-1)</f>
        <v/>
      </c>
    </row>
    <row r="69">
      <c r="B69" s="32">
        <f>'Historique ajusté'!B69</f>
        <v/>
      </c>
      <c r="C69" s="34">
        <f>IF(OR('Historique ajusté'!C69="",ROW()-Fenetre&lt;6),"",IF(INDEX('Historique ajusté'!C:C,ROW()-Fenetre)="","",'Historique ajusté'!C69/INDEX('Historique ajusté'!C:C,ROW()-Fenetre)-1))</f>
        <v/>
      </c>
      <c r="D69" s="34">
        <f>IF(OR('Historique ajusté'!D69="",ROW()-Fenetre&lt;6),"",IF(INDEX('Historique ajusté'!D:D,ROW()-Fenetre)="","",'Historique ajusté'!D69/INDEX('Historique ajusté'!D:D,ROW()-Fenetre)-1))</f>
        <v/>
      </c>
      <c r="E69" s="34">
        <f>IF(OR('Historique ajusté'!E69="",ROW()-Fenetre&lt;6),"",IF(INDEX('Historique ajusté'!E:E,ROW()-Fenetre)="","",'Historique ajusté'!E69/INDEX('Historique ajusté'!E:E,ROW()-Fenetre)-1))</f>
        <v/>
      </c>
      <c r="F69" s="34">
        <f>IF(OR('Historique ajusté'!F69="",ROW()-Fenetre&lt;6),"",IF(INDEX('Historique ajusté'!F:F,ROW()-Fenetre)="","",'Historique ajusté'!F69/INDEX('Historique ajusté'!F:F,ROW()-Fenetre)-1))</f>
        <v/>
      </c>
      <c r="G69" s="34">
        <f>IF(OR('Historique ajusté'!G69="",ROW()-Fenetre&lt;6),"",IF(INDEX('Historique ajusté'!G:G,ROW()-Fenetre)="","",'Historique ajusté'!G69/INDEX('Historique ajusté'!G:G,ROW()-Fenetre)-1))</f>
        <v/>
      </c>
      <c r="H69" s="34">
        <f>IF(OR('Historique ajusté'!H69="",ROW()-Fenetre&lt;6),"",IF(INDEX('Historique ajusté'!H:H,ROW()-Fenetre)="","",'Historique ajusté'!H69/INDEX('Historique ajusté'!H:H,ROW()-Fenetre)-1))</f>
        <v/>
      </c>
      <c r="I69" s="34">
        <f>IF(OR('Historique ajusté'!I69="",ROW()-Fenetre&lt;6),"",IF(INDEX('Historique ajusté'!I:I,ROW()-Fenetre)="","",'Historique ajusté'!I69/INDEX('Historique ajusté'!I:I,ROW()-Fenetre)-1))</f>
        <v/>
      </c>
      <c r="J69" s="34">
        <f>IF(OR('Historique ajusté'!J69="",ROW()-Fenetre&lt;6),"",IF(INDEX('Historique ajusté'!J:J,ROW()-Fenetre)="","",'Historique ajusté'!J69/INDEX('Historique ajusté'!J:J,ROW()-Fenetre)-1))</f>
        <v/>
      </c>
      <c r="K69" s="34">
        <f>IF(OR('Historique ajusté'!K69="",ROW()-Fenetre&lt;6),"",IF(INDEX('Historique ajusté'!K:K,ROW()-Fenetre)="","",'Historique ajusté'!K69/INDEX('Historique ajusté'!K:K,ROW()-Fenetre)-1))</f>
        <v/>
      </c>
      <c r="L69" s="34">
        <f>IF(OR('Historique ajusté'!L69="",ROW()-Fenetre&lt;6),"",IF(INDEX('Historique ajusté'!L:L,ROW()-Fenetre)="","",'Historique ajusté'!L69/INDEX('Historique ajusté'!L:L,ROW()-Fenetre)-1))</f>
        <v/>
      </c>
      <c r="M69" s="34">
        <f>IF(OR('Historique ajusté'!M69="",ROW()-Fenetre&lt;6),"",IF(INDEX('Historique ajusté'!M:M,ROW()-Fenetre)="","",'Historique ajusté'!M69/INDEX('Historique ajusté'!M:M,ROW()-Fenetre)-1))</f>
        <v/>
      </c>
      <c r="N69" s="34">
        <f>IF(OR('Historique ajusté'!N69="",ROW()-Fenetre&lt;6),"",IF(INDEX('Historique ajusté'!N:N,ROW()-Fenetre)="","",'Historique ajusté'!N69/INDEX('Historique ajusté'!N:N,ROW()-Fenetre)-1))</f>
        <v/>
      </c>
      <c r="O69" s="34">
        <f>IF(OR('Historique ajusté'!O69="",ROW()-Fenetre&lt;6),"",IF(INDEX('Historique ajusté'!O:O,ROW()-Fenetre)="","",'Historique ajusté'!O69/INDEX('Historique ajusté'!O:O,ROW()-Fenetre)-1))</f>
        <v/>
      </c>
      <c r="P69" s="34">
        <f>IF(OR('Historique ajusté'!P69="",ROW()-Fenetre&lt;6),"",IF(INDEX('Historique ajusté'!P:P,ROW()-Fenetre)="","",'Historique ajusté'!P69/INDEX('Historique ajusté'!P:P,ROW()-Fenetre)-1))</f>
        <v/>
      </c>
      <c r="Q69" s="34">
        <f>IF(OR(Composites!L69="",ROW()-Fenetre&lt;6),"",IF(INDEX(Composites!L:L,ROW()-Fenetre)="","",Composites!L69/INDEX(Composites!L:L,ROW()-Fenetre)-1))</f>
        <v/>
      </c>
      <c r="R69" s="34">
        <f>IF(OR(Composites!M69="",ROW()-Fenetre&lt;6),"",IF(INDEX(Composites!M:M,ROW()-Fenetre)="","",Composites!M69/INDEX(Composites!M:M,ROW()-Fenetre)-1))</f>
        <v/>
      </c>
      <c r="S69" s="34">
        <f>IF(OR(Composites!N69="",ROW()-Fenetre&lt;6),"",IF(INDEX(Composites!N:N,ROW()-Fenetre)="","",Composites!N69/INDEX(Composites!N:N,ROW()-Fenetre)-1))</f>
        <v/>
      </c>
      <c r="T69" s="34">
        <f>IF(OR(Composites!O69="",ROW()-Fenetre&lt;6),"",IF(INDEX(Composites!O:O,ROW()-Fenetre)="","",Composites!O69/INDEX(Composites!O:O,ROW()-Fenetre)-1))</f>
        <v/>
      </c>
      <c r="U69" s="34">
        <f>IF(OR(Composites!P69="",ROW()-Fenetre&lt;6),"",IF(INDEX(Composites!P:P,ROW()-Fenetre)="","",Composites!P69/INDEX(Composites!P:P,ROW()-Fenetre)-1))</f>
        <v/>
      </c>
      <c r="V69" s="34">
        <f>IF('Historique ajusté'!C69="","",'Historique ajusté'!C69/MAX('Historique ajusté'!C$6:C69)-1)</f>
        <v/>
      </c>
      <c r="W69" s="34">
        <f>IF('Historique ajusté'!D69="","",'Historique ajusté'!D69/MAX('Historique ajusté'!D$6:D69)-1)</f>
        <v/>
      </c>
      <c r="X69" s="34">
        <f>IF('Historique ajusté'!E69="","",'Historique ajusté'!E69/MAX('Historique ajusté'!E$6:E69)-1)</f>
        <v/>
      </c>
      <c r="Y69" s="34">
        <f>IF('Historique ajusté'!F69="","",'Historique ajusté'!F69/MAX('Historique ajusté'!F$6:F69)-1)</f>
        <v/>
      </c>
      <c r="Z69" s="34">
        <f>IF('Historique ajusté'!G69="","",'Historique ajusté'!G69/MAX('Historique ajusté'!G$6:G69)-1)</f>
        <v/>
      </c>
      <c r="AA69" s="34">
        <f>IF('Historique ajusté'!H69="","",'Historique ajusté'!H69/MAX('Historique ajusté'!H$6:H69)-1)</f>
        <v/>
      </c>
      <c r="AB69" s="34">
        <f>IF('Historique ajusté'!I69="","",'Historique ajusté'!I69/MAX('Historique ajusté'!I$6:I69)-1)</f>
        <v/>
      </c>
      <c r="AC69" s="34">
        <f>IF('Historique ajusté'!J69="","",'Historique ajusté'!J69/MAX('Historique ajusté'!J$6:J69)-1)</f>
        <v/>
      </c>
      <c r="AD69" s="34">
        <f>IF('Historique ajusté'!K69="","",'Historique ajusté'!K69/MAX('Historique ajusté'!K$6:K69)-1)</f>
        <v/>
      </c>
      <c r="AE69" s="34">
        <f>IF('Historique ajusté'!L69="","",'Historique ajusté'!L69/MAX('Historique ajusté'!L$6:L69)-1)</f>
        <v/>
      </c>
      <c r="AF69" s="34">
        <f>IF('Historique ajusté'!M69="","",'Historique ajusté'!M69/MAX('Historique ajusté'!M$6:M69)-1)</f>
        <v/>
      </c>
      <c r="AG69" s="34">
        <f>IF('Historique ajusté'!N69="","",'Historique ajusté'!N69/MAX('Historique ajusté'!N$6:N69)-1)</f>
        <v/>
      </c>
      <c r="AH69" s="34">
        <f>IF('Historique ajusté'!O69="","",'Historique ajusté'!O69/MAX('Historique ajusté'!O$6:O69)-1)</f>
        <v/>
      </c>
      <c r="AI69" s="34">
        <f>IF('Historique ajusté'!P69="","",'Historique ajusté'!P69/MAX('Historique ajusté'!P$6:P69)-1)</f>
        <v/>
      </c>
      <c r="AJ69" s="34">
        <f>IF(Composites!L69="","",Composites!L69/MAX(Composites!L$6:L69)-1)</f>
        <v/>
      </c>
      <c r="AK69" s="34">
        <f>IF(Composites!M69="","",Composites!M69/MAX(Composites!M$6:M69)-1)</f>
        <v/>
      </c>
      <c r="AL69" s="34">
        <f>IF(Composites!N69="","",Composites!N69/MAX(Composites!N$6:N69)-1)</f>
        <v/>
      </c>
      <c r="AM69" s="34">
        <f>IF(Composites!O69="","",Composites!O69/MAX(Composites!O$6:O69)-1)</f>
        <v/>
      </c>
      <c r="AN69" s="34">
        <f>IF(Composites!P69="","",Composites!P69/MAX(Composites!P$6:P69)-1)</f>
        <v/>
      </c>
    </row>
    <row r="70">
      <c r="B70" s="32">
        <f>'Historique ajusté'!B70</f>
        <v/>
      </c>
      <c r="C70" s="34">
        <f>IF(OR('Historique ajusté'!C70="",ROW()-Fenetre&lt;6),"",IF(INDEX('Historique ajusté'!C:C,ROW()-Fenetre)="","",'Historique ajusté'!C70/INDEX('Historique ajusté'!C:C,ROW()-Fenetre)-1))</f>
        <v/>
      </c>
      <c r="D70" s="34">
        <f>IF(OR('Historique ajusté'!D70="",ROW()-Fenetre&lt;6),"",IF(INDEX('Historique ajusté'!D:D,ROW()-Fenetre)="","",'Historique ajusté'!D70/INDEX('Historique ajusté'!D:D,ROW()-Fenetre)-1))</f>
        <v/>
      </c>
      <c r="E70" s="34">
        <f>IF(OR('Historique ajusté'!E70="",ROW()-Fenetre&lt;6),"",IF(INDEX('Historique ajusté'!E:E,ROW()-Fenetre)="","",'Historique ajusté'!E70/INDEX('Historique ajusté'!E:E,ROW()-Fenetre)-1))</f>
        <v/>
      </c>
      <c r="F70" s="34">
        <f>IF(OR('Historique ajusté'!F70="",ROW()-Fenetre&lt;6),"",IF(INDEX('Historique ajusté'!F:F,ROW()-Fenetre)="","",'Historique ajusté'!F70/INDEX('Historique ajusté'!F:F,ROW()-Fenetre)-1))</f>
        <v/>
      </c>
      <c r="G70" s="34">
        <f>IF(OR('Historique ajusté'!G70="",ROW()-Fenetre&lt;6),"",IF(INDEX('Historique ajusté'!G:G,ROW()-Fenetre)="","",'Historique ajusté'!G70/INDEX('Historique ajusté'!G:G,ROW()-Fenetre)-1))</f>
        <v/>
      </c>
      <c r="H70" s="34">
        <f>IF(OR('Historique ajusté'!H70="",ROW()-Fenetre&lt;6),"",IF(INDEX('Historique ajusté'!H:H,ROW()-Fenetre)="","",'Historique ajusté'!H70/INDEX('Historique ajusté'!H:H,ROW()-Fenetre)-1))</f>
        <v/>
      </c>
      <c r="I70" s="34">
        <f>IF(OR('Historique ajusté'!I70="",ROW()-Fenetre&lt;6),"",IF(INDEX('Historique ajusté'!I:I,ROW()-Fenetre)="","",'Historique ajusté'!I70/INDEX('Historique ajusté'!I:I,ROW()-Fenetre)-1))</f>
        <v/>
      </c>
      <c r="J70" s="34">
        <f>IF(OR('Historique ajusté'!J70="",ROW()-Fenetre&lt;6),"",IF(INDEX('Historique ajusté'!J:J,ROW()-Fenetre)="","",'Historique ajusté'!J70/INDEX('Historique ajusté'!J:J,ROW()-Fenetre)-1))</f>
        <v/>
      </c>
      <c r="K70" s="34">
        <f>IF(OR('Historique ajusté'!K70="",ROW()-Fenetre&lt;6),"",IF(INDEX('Historique ajusté'!K:K,ROW()-Fenetre)="","",'Historique ajusté'!K70/INDEX('Historique ajusté'!K:K,ROW()-Fenetre)-1))</f>
        <v/>
      </c>
      <c r="L70" s="34">
        <f>IF(OR('Historique ajusté'!L70="",ROW()-Fenetre&lt;6),"",IF(INDEX('Historique ajusté'!L:L,ROW()-Fenetre)="","",'Historique ajusté'!L70/INDEX('Historique ajusté'!L:L,ROW()-Fenetre)-1))</f>
        <v/>
      </c>
      <c r="M70" s="34">
        <f>IF(OR('Historique ajusté'!M70="",ROW()-Fenetre&lt;6),"",IF(INDEX('Historique ajusté'!M:M,ROW()-Fenetre)="","",'Historique ajusté'!M70/INDEX('Historique ajusté'!M:M,ROW()-Fenetre)-1))</f>
        <v/>
      </c>
      <c r="N70" s="34">
        <f>IF(OR('Historique ajusté'!N70="",ROW()-Fenetre&lt;6),"",IF(INDEX('Historique ajusté'!N:N,ROW()-Fenetre)="","",'Historique ajusté'!N70/INDEX('Historique ajusté'!N:N,ROW()-Fenetre)-1))</f>
        <v/>
      </c>
      <c r="O70" s="34">
        <f>IF(OR('Historique ajusté'!O70="",ROW()-Fenetre&lt;6),"",IF(INDEX('Historique ajusté'!O:O,ROW()-Fenetre)="","",'Historique ajusté'!O70/INDEX('Historique ajusté'!O:O,ROW()-Fenetre)-1))</f>
        <v/>
      </c>
      <c r="P70" s="34">
        <f>IF(OR('Historique ajusté'!P70="",ROW()-Fenetre&lt;6),"",IF(INDEX('Historique ajusté'!P:P,ROW()-Fenetre)="","",'Historique ajusté'!P70/INDEX('Historique ajusté'!P:P,ROW()-Fenetre)-1))</f>
        <v/>
      </c>
      <c r="Q70" s="34">
        <f>IF(OR(Composites!L70="",ROW()-Fenetre&lt;6),"",IF(INDEX(Composites!L:L,ROW()-Fenetre)="","",Composites!L70/INDEX(Composites!L:L,ROW()-Fenetre)-1))</f>
        <v/>
      </c>
      <c r="R70" s="34">
        <f>IF(OR(Composites!M70="",ROW()-Fenetre&lt;6),"",IF(INDEX(Composites!M:M,ROW()-Fenetre)="","",Composites!M70/INDEX(Composites!M:M,ROW()-Fenetre)-1))</f>
        <v/>
      </c>
      <c r="S70" s="34">
        <f>IF(OR(Composites!N70="",ROW()-Fenetre&lt;6),"",IF(INDEX(Composites!N:N,ROW()-Fenetre)="","",Composites!N70/INDEX(Composites!N:N,ROW()-Fenetre)-1))</f>
        <v/>
      </c>
      <c r="T70" s="34">
        <f>IF(OR(Composites!O70="",ROW()-Fenetre&lt;6),"",IF(INDEX(Composites!O:O,ROW()-Fenetre)="","",Composites!O70/INDEX(Composites!O:O,ROW()-Fenetre)-1))</f>
        <v/>
      </c>
      <c r="U70" s="34">
        <f>IF(OR(Composites!P70="",ROW()-Fenetre&lt;6),"",IF(INDEX(Composites!P:P,ROW()-Fenetre)="","",Composites!P70/INDEX(Composites!P:P,ROW()-Fenetre)-1))</f>
        <v/>
      </c>
      <c r="V70" s="34">
        <f>IF('Historique ajusté'!C70="","",'Historique ajusté'!C70/MAX('Historique ajusté'!C$6:C70)-1)</f>
        <v/>
      </c>
      <c r="W70" s="34">
        <f>IF('Historique ajusté'!D70="","",'Historique ajusté'!D70/MAX('Historique ajusté'!D$6:D70)-1)</f>
        <v/>
      </c>
      <c r="X70" s="34">
        <f>IF('Historique ajusté'!E70="","",'Historique ajusté'!E70/MAX('Historique ajusté'!E$6:E70)-1)</f>
        <v/>
      </c>
      <c r="Y70" s="34">
        <f>IF('Historique ajusté'!F70="","",'Historique ajusté'!F70/MAX('Historique ajusté'!F$6:F70)-1)</f>
        <v/>
      </c>
      <c r="Z70" s="34">
        <f>IF('Historique ajusté'!G70="","",'Historique ajusté'!G70/MAX('Historique ajusté'!G$6:G70)-1)</f>
        <v/>
      </c>
      <c r="AA70" s="34">
        <f>IF('Historique ajusté'!H70="","",'Historique ajusté'!H70/MAX('Historique ajusté'!H$6:H70)-1)</f>
        <v/>
      </c>
      <c r="AB70" s="34">
        <f>IF('Historique ajusté'!I70="","",'Historique ajusté'!I70/MAX('Historique ajusté'!I$6:I70)-1)</f>
        <v/>
      </c>
      <c r="AC70" s="34">
        <f>IF('Historique ajusté'!J70="","",'Historique ajusté'!J70/MAX('Historique ajusté'!J$6:J70)-1)</f>
        <v/>
      </c>
      <c r="AD70" s="34">
        <f>IF('Historique ajusté'!K70="","",'Historique ajusté'!K70/MAX('Historique ajusté'!K$6:K70)-1)</f>
        <v/>
      </c>
      <c r="AE70" s="34">
        <f>IF('Historique ajusté'!L70="","",'Historique ajusté'!L70/MAX('Historique ajusté'!L$6:L70)-1)</f>
        <v/>
      </c>
      <c r="AF70" s="34">
        <f>IF('Historique ajusté'!M70="","",'Historique ajusté'!M70/MAX('Historique ajusté'!M$6:M70)-1)</f>
        <v/>
      </c>
      <c r="AG70" s="34">
        <f>IF('Historique ajusté'!N70="","",'Historique ajusté'!N70/MAX('Historique ajusté'!N$6:N70)-1)</f>
        <v/>
      </c>
      <c r="AH70" s="34">
        <f>IF('Historique ajusté'!O70="","",'Historique ajusté'!O70/MAX('Historique ajusté'!O$6:O70)-1)</f>
        <v/>
      </c>
      <c r="AI70" s="34">
        <f>IF('Historique ajusté'!P70="","",'Historique ajusté'!P70/MAX('Historique ajusté'!P$6:P70)-1)</f>
        <v/>
      </c>
      <c r="AJ70" s="34">
        <f>IF(Composites!L70="","",Composites!L70/MAX(Composites!L$6:L70)-1)</f>
        <v/>
      </c>
      <c r="AK70" s="34">
        <f>IF(Composites!M70="","",Composites!M70/MAX(Composites!M$6:M70)-1)</f>
        <v/>
      </c>
      <c r="AL70" s="34">
        <f>IF(Composites!N70="","",Composites!N70/MAX(Composites!N$6:N70)-1)</f>
        <v/>
      </c>
      <c r="AM70" s="34">
        <f>IF(Composites!O70="","",Composites!O70/MAX(Composites!O$6:O70)-1)</f>
        <v/>
      </c>
      <c r="AN70" s="34">
        <f>IF(Composites!P70="","",Composites!P70/MAX(Composites!P$6:P70)-1)</f>
        <v/>
      </c>
    </row>
    <row r="71">
      <c r="B71" s="32">
        <f>'Historique ajusté'!B71</f>
        <v/>
      </c>
      <c r="C71" s="34">
        <f>IF(OR('Historique ajusté'!C71="",ROW()-Fenetre&lt;6),"",IF(INDEX('Historique ajusté'!C:C,ROW()-Fenetre)="","",'Historique ajusté'!C71/INDEX('Historique ajusté'!C:C,ROW()-Fenetre)-1))</f>
        <v/>
      </c>
      <c r="D71" s="34">
        <f>IF(OR('Historique ajusté'!D71="",ROW()-Fenetre&lt;6),"",IF(INDEX('Historique ajusté'!D:D,ROW()-Fenetre)="","",'Historique ajusté'!D71/INDEX('Historique ajusté'!D:D,ROW()-Fenetre)-1))</f>
        <v/>
      </c>
      <c r="E71" s="34">
        <f>IF(OR('Historique ajusté'!E71="",ROW()-Fenetre&lt;6),"",IF(INDEX('Historique ajusté'!E:E,ROW()-Fenetre)="","",'Historique ajusté'!E71/INDEX('Historique ajusté'!E:E,ROW()-Fenetre)-1))</f>
        <v/>
      </c>
      <c r="F71" s="34">
        <f>IF(OR('Historique ajusté'!F71="",ROW()-Fenetre&lt;6),"",IF(INDEX('Historique ajusté'!F:F,ROW()-Fenetre)="","",'Historique ajusté'!F71/INDEX('Historique ajusté'!F:F,ROW()-Fenetre)-1))</f>
        <v/>
      </c>
      <c r="G71" s="34">
        <f>IF(OR('Historique ajusté'!G71="",ROW()-Fenetre&lt;6),"",IF(INDEX('Historique ajusté'!G:G,ROW()-Fenetre)="","",'Historique ajusté'!G71/INDEX('Historique ajusté'!G:G,ROW()-Fenetre)-1))</f>
        <v/>
      </c>
      <c r="H71" s="34">
        <f>IF(OR('Historique ajusté'!H71="",ROW()-Fenetre&lt;6),"",IF(INDEX('Historique ajusté'!H:H,ROW()-Fenetre)="","",'Historique ajusté'!H71/INDEX('Historique ajusté'!H:H,ROW()-Fenetre)-1))</f>
        <v/>
      </c>
      <c r="I71" s="34">
        <f>IF(OR('Historique ajusté'!I71="",ROW()-Fenetre&lt;6),"",IF(INDEX('Historique ajusté'!I:I,ROW()-Fenetre)="","",'Historique ajusté'!I71/INDEX('Historique ajusté'!I:I,ROW()-Fenetre)-1))</f>
        <v/>
      </c>
      <c r="J71" s="34">
        <f>IF(OR('Historique ajusté'!J71="",ROW()-Fenetre&lt;6),"",IF(INDEX('Historique ajusté'!J:J,ROW()-Fenetre)="","",'Historique ajusté'!J71/INDEX('Historique ajusté'!J:J,ROW()-Fenetre)-1))</f>
        <v/>
      </c>
      <c r="K71" s="34">
        <f>IF(OR('Historique ajusté'!K71="",ROW()-Fenetre&lt;6),"",IF(INDEX('Historique ajusté'!K:K,ROW()-Fenetre)="","",'Historique ajusté'!K71/INDEX('Historique ajusté'!K:K,ROW()-Fenetre)-1))</f>
        <v/>
      </c>
      <c r="L71" s="34">
        <f>IF(OR('Historique ajusté'!L71="",ROW()-Fenetre&lt;6),"",IF(INDEX('Historique ajusté'!L:L,ROW()-Fenetre)="","",'Historique ajusté'!L71/INDEX('Historique ajusté'!L:L,ROW()-Fenetre)-1))</f>
        <v/>
      </c>
      <c r="M71" s="34">
        <f>IF(OR('Historique ajusté'!M71="",ROW()-Fenetre&lt;6),"",IF(INDEX('Historique ajusté'!M:M,ROW()-Fenetre)="","",'Historique ajusté'!M71/INDEX('Historique ajusté'!M:M,ROW()-Fenetre)-1))</f>
        <v/>
      </c>
      <c r="N71" s="34">
        <f>IF(OR('Historique ajusté'!N71="",ROW()-Fenetre&lt;6),"",IF(INDEX('Historique ajusté'!N:N,ROW()-Fenetre)="","",'Historique ajusté'!N71/INDEX('Historique ajusté'!N:N,ROW()-Fenetre)-1))</f>
        <v/>
      </c>
      <c r="O71" s="34">
        <f>IF(OR('Historique ajusté'!O71="",ROW()-Fenetre&lt;6),"",IF(INDEX('Historique ajusté'!O:O,ROW()-Fenetre)="","",'Historique ajusté'!O71/INDEX('Historique ajusté'!O:O,ROW()-Fenetre)-1))</f>
        <v/>
      </c>
      <c r="P71" s="34">
        <f>IF(OR('Historique ajusté'!P71="",ROW()-Fenetre&lt;6),"",IF(INDEX('Historique ajusté'!P:P,ROW()-Fenetre)="","",'Historique ajusté'!P71/INDEX('Historique ajusté'!P:P,ROW()-Fenetre)-1))</f>
        <v/>
      </c>
      <c r="Q71" s="34">
        <f>IF(OR(Composites!L71="",ROW()-Fenetre&lt;6),"",IF(INDEX(Composites!L:L,ROW()-Fenetre)="","",Composites!L71/INDEX(Composites!L:L,ROW()-Fenetre)-1))</f>
        <v/>
      </c>
      <c r="R71" s="34">
        <f>IF(OR(Composites!M71="",ROW()-Fenetre&lt;6),"",IF(INDEX(Composites!M:M,ROW()-Fenetre)="","",Composites!M71/INDEX(Composites!M:M,ROW()-Fenetre)-1))</f>
        <v/>
      </c>
      <c r="S71" s="34">
        <f>IF(OR(Composites!N71="",ROW()-Fenetre&lt;6),"",IF(INDEX(Composites!N:N,ROW()-Fenetre)="","",Composites!N71/INDEX(Composites!N:N,ROW()-Fenetre)-1))</f>
        <v/>
      </c>
      <c r="T71" s="34">
        <f>IF(OR(Composites!O71="",ROW()-Fenetre&lt;6),"",IF(INDEX(Composites!O:O,ROW()-Fenetre)="","",Composites!O71/INDEX(Composites!O:O,ROW()-Fenetre)-1))</f>
        <v/>
      </c>
      <c r="U71" s="34">
        <f>IF(OR(Composites!P71="",ROW()-Fenetre&lt;6),"",IF(INDEX(Composites!P:P,ROW()-Fenetre)="","",Composites!P71/INDEX(Composites!P:P,ROW()-Fenetre)-1))</f>
        <v/>
      </c>
      <c r="V71" s="34">
        <f>IF('Historique ajusté'!C71="","",'Historique ajusté'!C71/MAX('Historique ajusté'!C$6:C71)-1)</f>
        <v/>
      </c>
      <c r="W71" s="34">
        <f>IF('Historique ajusté'!D71="","",'Historique ajusté'!D71/MAX('Historique ajusté'!D$6:D71)-1)</f>
        <v/>
      </c>
      <c r="X71" s="34">
        <f>IF('Historique ajusté'!E71="","",'Historique ajusté'!E71/MAX('Historique ajusté'!E$6:E71)-1)</f>
        <v/>
      </c>
      <c r="Y71" s="34">
        <f>IF('Historique ajusté'!F71="","",'Historique ajusté'!F71/MAX('Historique ajusté'!F$6:F71)-1)</f>
        <v/>
      </c>
      <c r="Z71" s="34">
        <f>IF('Historique ajusté'!G71="","",'Historique ajusté'!G71/MAX('Historique ajusté'!G$6:G71)-1)</f>
        <v/>
      </c>
      <c r="AA71" s="34">
        <f>IF('Historique ajusté'!H71="","",'Historique ajusté'!H71/MAX('Historique ajusté'!H$6:H71)-1)</f>
        <v/>
      </c>
      <c r="AB71" s="34">
        <f>IF('Historique ajusté'!I71="","",'Historique ajusté'!I71/MAX('Historique ajusté'!I$6:I71)-1)</f>
        <v/>
      </c>
      <c r="AC71" s="34">
        <f>IF('Historique ajusté'!J71="","",'Historique ajusté'!J71/MAX('Historique ajusté'!J$6:J71)-1)</f>
        <v/>
      </c>
      <c r="AD71" s="34">
        <f>IF('Historique ajusté'!K71="","",'Historique ajusté'!K71/MAX('Historique ajusté'!K$6:K71)-1)</f>
        <v/>
      </c>
      <c r="AE71" s="34">
        <f>IF('Historique ajusté'!L71="","",'Historique ajusté'!L71/MAX('Historique ajusté'!L$6:L71)-1)</f>
        <v/>
      </c>
      <c r="AF71" s="34">
        <f>IF('Historique ajusté'!M71="","",'Historique ajusté'!M71/MAX('Historique ajusté'!M$6:M71)-1)</f>
        <v/>
      </c>
      <c r="AG71" s="34">
        <f>IF('Historique ajusté'!N71="","",'Historique ajusté'!N71/MAX('Historique ajusté'!N$6:N71)-1)</f>
        <v/>
      </c>
      <c r="AH71" s="34">
        <f>IF('Historique ajusté'!O71="","",'Historique ajusté'!O71/MAX('Historique ajusté'!O$6:O71)-1)</f>
        <v/>
      </c>
      <c r="AI71" s="34">
        <f>IF('Historique ajusté'!P71="","",'Historique ajusté'!P71/MAX('Historique ajusté'!P$6:P71)-1)</f>
        <v/>
      </c>
      <c r="AJ71" s="34">
        <f>IF(Composites!L71="","",Composites!L71/MAX(Composites!L$6:L71)-1)</f>
        <v/>
      </c>
      <c r="AK71" s="34">
        <f>IF(Composites!M71="","",Composites!M71/MAX(Composites!M$6:M71)-1)</f>
        <v/>
      </c>
      <c r="AL71" s="34">
        <f>IF(Composites!N71="","",Composites!N71/MAX(Composites!N$6:N71)-1)</f>
        <v/>
      </c>
      <c r="AM71" s="34">
        <f>IF(Composites!O71="","",Composites!O71/MAX(Composites!O$6:O71)-1)</f>
        <v/>
      </c>
      <c r="AN71" s="34">
        <f>IF(Composites!P71="","",Composites!P71/MAX(Composites!P$6:P71)-1)</f>
        <v/>
      </c>
    </row>
    <row r="72">
      <c r="B72" s="32">
        <f>'Historique ajusté'!B72</f>
        <v/>
      </c>
      <c r="C72" s="34">
        <f>IF(OR('Historique ajusté'!C72="",ROW()-Fenetre&lt;6),"",IF(INDEX('Historique ajusté'!C:C,ROW()-Fenetre)="","",'Historique ajusté'!C72/INDEX('Historique ajusté'!C:C,ROW()-Fenetre)-1))</f>
        <v/>
      </c>
      <c r="D72" s="34">
        <f>IF(OR('Historique ajusté'!D72="",ROW()-Fenetre&lt;6),"",IF(INDEX('Historique ajusté'!D:D,ROW()-Fenetre)="","",'Historique ajusté'!D72/INDEX('Historique ajusté'!D:D,ROW()-Fenetre)-1))</f>
        <v/>
      </c>
      <c r="E72" s="34">
        <f>IF(OR('Historique ajusté'!E72="",ROW()-Fenetre&lt;6),"",IF(INDEX('Historique ajusté'!E:E,ROW()-Fenetre)="","",'Historique ajusté'!E72/INDEX('Historique ajusté'!E:E,ROW()-Fenetre)-1))</f>
        <v/>
      </c>
      <c r="F72" s="34">
        <f>IF(OR('Historique ajusté'!F72="",ROW()-Fenetre&lt;6),"",IF(INDEX('Historique ajusté'!F:F,ROW()-Fenetre)="","",'Historique ajusté'!F72/INDEX('Historique ajusté'!F:F,ROW()-Fenetre)-1))</f>
        <v/>
      </c>
      <c r="G72" s="34">
        <f>IF(OR('Historique ajusté'!G72="",ROW()-Fenetre&lt;6),"",IF(INDEX('Historique ajusté'!G:G,ROW()-Fenetre)="","",'Historique ajusté'!G72/INDEX('Historique ajusté'!G:G,ROW()-Fenetre)-1))</f>
        <v/>
      </c>
      <c r="H72" s="34">
        <f>IF(OR('Historique ajusté'!H72="",ROW()-Fenetre&lt;6),"",IF(INDEX('Historique ajusté'!H:H,ROW()-Fenetre)="","",'Historique ajusté'!H72/INDEX('Historique ajusté'!H:H,ROW()-Fenetre)-1))</f>
        <v/>
      </c>
      <c r="I72" s="34">
        <f>IF(OR('Historique ajusté'!I72="",ROW()-Fenetre&lt;6),"",IF(INDEX('Historique ajusté'!I:I,ROW()-Fenetre)="","",'Historique ajusté'!I72/INDEX('Historique ajusté'!I:I,ROW()-Fenetre)-1))</f>
        <v/>
      </c>
      <c r="J72" s="34">
        <f>IF(OR('Historique ajusté'!J72="",ROW()-Fenetre&lt;6),"",IF(INDEX('Historique ajusté'!J:J,ROW()-Fenetre)="","",'Historique ajusté'!J72/INDEX('Historique ajusté'!J:J,ROW()-Fenetre)-1))</f>
        <v/>
      </c>
      <c r="K72" s="34">
        <f>IF(OR('Historique ajusté'!K72="",ROW()-Fenetre&lt;6),"",IF(INDEX('Historique ajusté'!K:K,ROW()-Fenetre)="","",'Historique ajusté'!K72/INDEX('Historique ajusté'!K:K,ROW()-Fenetre)-1))</f>
        <v/>
      </c>
      <c r="L72" s="34">
        <f>IF(OR('Historique ajusté'!L72="",ROW()-Fenetre&lt;6),"",IF(INDEX('Historique ajusté'!L:L,ROW()-Fenetre)="","",'Historique ajusté'!L72/INDEX('Historique ajusté'!L:L,ROW()-Fenetre)-1))</f>
        <v/>
      </c>
      <c r="M72" s="34">
        <f>IF(OR('Historique ajusté'!M72="",ROW()-Fenetre&lt;6),"",IF(INDEX('Historique ajusté'!M:M,ROW()-Fenetre)="","",'Historique ajusté'!M72/INDEX('Historique ajusté'!M:M,ROW()-Fenetre)-1))</f>
        <v/>
      </c>
      <c r="N72" s="34">
        <f>IF(OR('Historique ajusté'!N72="",ROW()-Fenetre&lt;6),"",IF(INDEX('Historique ajusté'!N:N,ROW()-Fenetre)="","",'Historique ajusté'!N72/INDEX('Historique ajusté'!N:N,ROW()-Fenetre)-1))</f>
        <v/>
      </c>
      <c r="O72" s="34">
        <f>IF(OR('Historique ajusté'!O72="",ROW()-Fenetre&lt;6),"",IF(INDEX('Historique ajusté'!O:O,ROW()-Fenetre)="","",'Historique ajusté'!O72/INDEX('Historique ajusté'!O:O,ROW()-Fenetre)-1))</f>
        <v/>
      </c>
      <c r="P72" s="34">
        <f>IF(OR('Historique ajusté'!P72="",ROW()-Fenetre&lt;6),"",IF(INDEX('Historique ajusté'!P:P,ROW()-Fenetre)="","",'Historique ajusté'!P72/INDEX('Historique ajusté'!P:P,ROW()-Fenetre)-1))</f>
        <v/>
      </c>
      <c r="Q72" s="34">
        <f>IF(OR(Composites!L72="",ROW()-Fenetre&lt;6),"",IF(INDEX(Composites!L:L,ROW()-Fenetre)="","",Composites!L72/INDEX(Composites!L:L,ROW()-Fenetre)-1))</f>
        <v/>
      </c>
      <c r="R72" s="34">
        <f>IF(OR(Composites!M72="",ROW()-Fenetre&lt;6),"",IF(INDEX(Composites!M:M,ROW()-Fenetre)="","",Composites!M72/INDEX(Composites!M:M,ROW()-Fenetre)-1))</f>
        <v/>
      </c>
      <c r="S72" s="34">
        <f>IF(OR(Composites!N72="",ROW()-Fenetre&lt;6),"",IF(INDEX(Composites!N:N,ROW()-Fenetre)="","",Composites!N72/INDEX(Composites!N:N,ROW()-Fenetre)-1))</f>
        <v/>
      </c>
      <c r="T72" s="34">
        <f>IF(OR(Composites!O72="",ROW()-Fenetre&lt;6),"",IF(INDEX(Composites!O:O,ROW()-Fenetre)="","",Composites!O72/INDEX(Composites!O:O,ROW()-Fenetre)-1))</f>
        <v/>
      </c>
      <c r="U72" s="34">
        <f>IF(OR(Composites!P72="",ROW()-Fenetre&lt;6),"",IF(INDEX(Composites!P:P,ROW()-Fenetre)="","",Composites!P72/INDEX(Composites!P:P,ROW()-Fenetre)-1))</f>
        <v/>
      </c>
      <c r="V72" s="34">
        <f>IF('Historique ajusté'!C72="","",'Historique ajusté'!C72/MAX('Historique ajusté'!C$6:C72)-1)</f>
        <v/>
      </c>
      <c r="W72" s="34">
        <f>IF('Historique ajusté'!D72="","",'Historique ajusté'!D72/MAX('Historique ajusté'!D$6:D72)-1)</f>
        <v/>
      </c>
      <c r="X72" s="34">
        <f>IF('Historique ajusté'!E72="","",'Historique ajusté'!E72/MAX('Historique ajusté'!E$6:E72)-1)</f>
        <v/>
      </c>
      <c r="Y72" s="34">
        <f>IF('Historique ajusté'!F72="","",'Historique ajusté'!F72/MAX('Historique ajusté'!F$6:F72)-1)</f>
        <v/>
      </c>
      <c r="Z72" s="34">
        <f>IF('Historique ajusté'!G72="","",'Historique ajusté'!G72/MAX('Historique ajusté'!G$6:G72)-1)</f>
        <v/>
      </c>
      <c r="AA72" s="34">
        <f>IF('Historique ajusté'!H72="","",'Historique ajusté'!H72/MAX('Historique ajusté'!H$6:H72)-1)</f>
        <v/>
      </c>
      <c r="AB72" s="34">
        <f>IF('Historique ajusté'!I72="","",'Historique ajusté'!I72/MAX('Historique ajusté'!I$6:I72)-1)</f>
        <v/>
      </c>
      <c r="AC72" s="34">
        <f>IF('Historique ajusté'!J72="","",'Historique ajusté'!J72/MAX('Historique ajusté'!J$6:J72)-1)</f>
        <v/>
      </c>
      <c r="AD72" s="34">
        <f>IF('Historique ajusté'!K72="","",'Historique ajusté'!K72/MAX('Historique ajusté'!K$6:K72)-1)</f>
        <v/>
      </c>
      <c r="AE72" s="34">
        <f>IF('Historique ajusté'!L72="","",'Historique ajusté'!L72/MAX('Historique ajusté'!L$6:L72)-1)</f>
        <v/>
      </c>
      <c r="AF72" s="34">
        <f>IF('Historique ajusté'!M72="","",'Historique ajusté'!M72/MAX('Historique ajusté'!M$6:M72)-1)</f>
        <v/>
      </c>
      <c r="AG72" s="34">
        <f>IF('Historique ajusté'!N72="","",'Historique ajusté'!N72/MAX('Historique ajusté'!N$6:N72)-1)</f>
        <v/>
      </c>
      <c r="AH72" s="34">
        <f>IF('Historique ajusté'!O72="","",'Historique ajusté'!O72/MAX('Historique ajusté'!O$6:O72)-1)</f>
        <v/>
      </c>
      <c r="AI72" s="34">
        <f>IF('Historique ajusté'!P72="","",'Historique ajusté'!P72/MAX('Historique ajusté'!P$6:P72)-1)</f>
        <v/>
      </c>
      <c r="AJ72" s="34">
        <f>IF(Composites!L72="","",Composites!L72/MAX(Composites!L$6:L72)-1)</f>
        <v/>
      </c>
      <c r="AK72" s="34">
        <f>IF(Composites!M72="","",Composites!M72/MAX(Composites!M$6:M72)-1)</f>
        <v/>
      </c>
      <c r="AL72" s="34">
        <f>IF(Composites!N72="","",Composites!N72/MAX(Composites!N$6:N72)-1)</f>
        <v/>
      </c>
      <c r="AM72" s="34">
        <f>IF(Composites!O72="","",Composites!O72/MAX(Composites!O$6:O72)-1)</f>
        <v/>
      </c>
      <c r="AN72" s="34">
        <f>IF(Composites!P72="","",Composites!P72/MAX(Composites!P$6:P72)-1)</f>
        <v/>
      </c>
    </row>
    <row r="73">
      <c r="B73" s="32">
        <f>'Historique ajusté'!B73</f>
        <v/>
      </c>
      <c r="C73" s="34">
        <f>IF(OR('Historique ajusté'!C73="",ROW()-Fenetre&lt;6),"",IF(INDEX('Historique ajusté'!C:C,ROW()-Fenetre)="","",'Historique ajusté'!C73/INDEX('Historique ajusté'!C:C,ROW()-Fenetre)-1))</f>
        <v/>
      </c>
      <c r="D73" s="34">
        <f>IF(OR('Historique ajusté'!D73="",ROW()-Fenetre&lt;6),"",IF(INDEX('Historique ajusté'!D:D,ROW()-Fenetre)="","",'Historique ajusté'!D73/INDEX('Historique ajusté'!D:D,ROW()-Fenetre)-1))</f>
        <v/>
      </c>
      <c r="E73" s="34">
        <f>IF(OR('Historique ajusté'!E73="",ROW()-Fenetre&lt;6),"",IF(INDEX('Historique ajusté'!E:E,ROW()-Fenetre)="","",'Historique ajusté'!E73/INDEX('Historique ajusté'!E:E,ROW()-Fenetre)-1))</f>
        <v/>
      </c>
      <c r="F73" s="34">
        <f>IF(OR('Historique ajusté'!F73="",ROW()-Fenetre&lt;6),"",IF(INDEX('Historique ajusté'!F:F,ROW()-Fenetre)="","",'Historique ajusté'!F73/INDEX('Historique ajusté'!F:F,ROW()-Fenetre)-1))</f>
        <v/>
      </c>
      <c r="G73" s="34">
        <f>IF(OR('Historique ajusté'!G73="",ROW()-Fenetre&lt;6),"",IF(INDEX('Historique ajusté'!G:G,ROW()-Fenetre)="","",'Historique ajusté'!G73/INDEX('Historique ajusté'!G:G,ROW()-Fenetre)-1))</f>
        <v/>
      </c>
      <c r="H73" s="34">
        <f>IF(OR('Historique ajusté'!H73="",ROW()-Fenetre&lt;6),"",IF(INDEX('Historique ajusté'!H:H,ROW()-Fenetre)="","",'Historique ajusté'!H73/INDEX('Historique ajusté'!H:H,ROW()-Fenetre)-1))</f>
        <v/>
      </c>
      <c r="I73" s="34">
        <f>IF(OR('Historique ajusté'!I73="",ROW()-Fenetre&lt;6),"",IF(INDEX('Historique ajusté'!I:I,ROW()-Fenetre)="","",'Historique ajusté'!I73/INDEX('Historique ajusté'!I:I,ROW()-Fenetre)-1))</f>
        <v/>
      </c>
      <c r="J73" s="34">
        <f>IF(OR('Historique ajusté'!J73="",ROW()-Fenetre&lt;6),"",IF(INDEX('Historique ajusté'!J:J,ROW()-Fenetre)="","",'Historique ajusté'!J73/INDEX('Historique ajusté'!J:J,ROW()-Fenetre)-1))</f>
        <v/>
      </c>
      <c r="K73" s="34">
        <f>IF(OR('Historique ajusté'!K73="",ROW()-Fenetre&lt;6),"",IF(INDEX('Historique ajusté'!K:K,ROW()-Fenetre)="","",'Historique ajusté'!K73/INDEX('Historique ajusté'!K:K,ROW()-Fenetre)-1))</f>
        <v/>
      </c>
      <c r="L73" s="34">
        <f>IF(OR('Historique ajusté'!L73="",ROW()-Fenetre&lt;6),"",IF(INDEX('Historique ajusté'!L:L,ROW()-Fenetre)="","",'Historique ajusté'!L73/INDEX('Historique ajusté'!L:L,ROW()-Fenetre)-1))</f>
        <v/>
      </c>
      <c r="M73" s="34">
        <f>IF(OR('Historique ajusté'!M73="",ROW()-Fenetre&lt;6),"",IF(INDEX('Historique ajusté'!M:M,ROW()-Fenetre)="","",'Historique ajusté'!M73/INDEX('Historique ajusté'!M:M,ROW()-Fenetre)-1))</f>
        <v/>
      </c>
      <c r="N73" s="34">
        <f>IF(OR('Historique ajusté'!N73="",ROW()-Fenetre&lt;6),"",IF(INDEX('Historique ajusté'!N:N,ROW()-Fenetre)="","",'Historique ajusté'!N73/INDEX('Historique ajusté'!N:N,ROW()-Fenetre)-1))</f>
        <v/>
      </c>
      <c r="O73" s="34">
        <f>IF(OR('Historique ajusté'!O73="",ROW()-Fenetre&lt;6),"",IF(INDEX('Historique ajusté'!O:O,ROW()-Fenetre)="","",'Historique ajusté'!O73/INDEX('Historique ajusté'!O:O,ROW()-Fenetre)-1))</f>
        <v/>
      </c>
      <c r="P73" s="34">
        <f>IF(OR('Historique ajusté'!P73="",ROW()-Fenetre&lt;6),"",IF(INDEX('Historique ajusté'!P:P,ROW()-Fenetre)="","",'Historique ajusté'!P73/INDEX('Historique ajusté'!P:P,ROW()-Fenetre)-1))</f>
        <v/>
      </c>
      <c r="Q73" s="34">
        <f>IF(OR(Composites!L73="",ROW()-Fenetre&lt;6),"",IF(INDEX(Composites!L:L,ROW()-Fenetre)="","",Composites!L73/INDEX(Composites!L:L,ROW()-Fenetre)-1))</f>
        <v/>
      </c>
      <c r="R73" s="34">
        <f>IF(OR(Composites!M73="",ROW()-Fenetre&lt;6),"",IF(INDEX(Composites!M:M,ROW()-Fenetre)="","",Composites!M73/INDEX(Composites!M:M,ROW()-Fenetre)-1))</f>
        <v/>
      </c>
      <c r="S73" s="34">
        <f>IF(OR(Composites!N73="",ROW()-Fenetre&lt;6),"",IF(INDEX(Composites!N:N,ROW()-Fenetre)="","",Composites!N73/INDEX(Composites!N:N,ROW()-Fenetre)-1))</f>
        <v/>
      </c>
      <c r="T73" s="34">
        <f>IF(OR(Composites!O73="",ROW()-Fenetre&lt;6),"",IF(INDEX(Composites!O:O,ROW()-Fenetre)="","",Composites!O73/INDEX(Composites!O:O,ROW()-Fenetre)-1))</f>
        <v/>
      </c>
      <c r="U73" s="34">
        <f>IF(OR(Composites!P73="",ROW()-Fenetre&lt;6),"",IF(INDEX(Composites!P:P,ROW()-Fenetre)="","",Composites!P73/INDEX(Composites!P:P,ROW()-Fenetre)-1))</f>
        <v/>
      </c>
      <c r="V73" s="34">
        <f>IF('Historique ajusté'!C73="","",'Historique ajusté'!C73/MAX('Historique ajusté'!C$6:C73)-1)</f>
        <v/>
      </c>
      <c r="W73" s="34">
        <f>IF('Historique ajusté'!D73="","",'Historique ajusté'!D73/MAX('Historique ajusté'!D$6:D73)-1)</f>
        <v/>
      </c>
      <c r="X73" s="34">
        <f>IF('Historique ajusté'!E73="","",'Historique ajusté'!E73/MAX('Historique ajusté'!E$6:E73)-1)</f>
        <v/>
      </c>
      <c r="Y73" s="34">
        <f>IF('Historique ajusté'!F73="","",'Historique ajusté'!F73/MAX('Historique ajusté'!F$6:F73)-1)</f>
        <v/>
      </c>
      <c r="Z73" s="34">
        <f>IF('Historique ajusté'!G73="","",'Historique ajusté'!G73/MAX('Historique ajusté'!G$6:G73)-1)</f>
        <v/>
      </c>
      <c r="AA73" s="34">
        <f>IF('Historique ajusté'!H73="","",'Historique ajusté'!H73/MAX('Historique ajusté'!H$6:H73)-1)</f>
        <v/>
      </c>
      <c r="AB73" s="34">
        <f>IF('Historique ajusté'!I73="","",'Historique ajusté'!I73/MAX('Historique ajusté'!I$6:I73)-1)</f>
        <v/>
      </c>
      <c r="AC73" s="34">
        <f>IF('Historique ajusté'!J73="","",'Historique ajusté'!J73/MAX('Historique ajusté'!J$6:J73)-1)</f>
        <v/>
      </c>
      <c r="AD73" s="34">
        <f>IF('Historique ajusté'!K73="","",'Historique ajusté'!K73/MAX('Historique ajusté'!K$6:K73)-1)</f>
        <v/>
      </c>
      <c r="AE73" s="34">
        <f>IF('Historique ajusté'!L73="","",'Historique ajusté'!L73/MAX('Historique ajusté'!L$6:L73)-1)</f>
        <v/>
      </c>
      <c r="AF73" s="34">
        <f>IF('Historique ajusté'!M73="","",'Historique ajusté'!M73/MAX('Historique ajusté'!M$6:M73)-1)</f>
        <v/>
      </c>
      <c r="AG73" s="34">
        <f>IF('Historique ajusté'!N73="","",'Historique ajusté'!N73/MAX('Historique ajusté'!N$6:N73)-1)</f>
        <v/>
      </c>
      <c r="AH73" s="34">
        <f>IF('Historique ajusté'!O73="","",'Historique ajusté'!O73/MAX('Historique ajusté'!O$6:O73)-1)</f>
        <v/>
      </c>
      <c r="AI73" s="34">
        <f>IF('Historique ajusté'!P73="","",'Historique ajusté'!P73/MAX('Historique ajusté'!P$6:P73)-1)</f>
        <v/>
      </c>
      <c r="AJ73" s="34">
        <f>IF(Composites!L73="","",Composites!L73/MAX(Composites!L$6:L73)-1)</f>
        <v/>
      </c>
      <c r="AK73" s="34">
        <f>IF(Composites!M73="","",Composites!M73/MAX(Composites!M$6:M73)-1)</f>
        <v/>
      </c>
      <c r="AL73" s="34">
        <f>IF(Composites!N73="","",Composites!N73/MAX(Composites!N$6:N73)-1)</f>
        <v/>
      </c>
      <c r="AM73" s="34">
        <f>IF(Composites!O73="","",Composites!O73/MAX(Composites!O$6:O73)-1)</f>
        <v/>
      </c>
      <c r="AN73" s="34">
        <f>IF(Composites!P73="","",Composites!P73/MAX(Composites!P$6:P73)-1)</f>
        <v/>
      </c>
    </row>
    <row r="74">
      <c r="B74" s="32">
        <f>'Historique ajusté'!B74</f>
        <v/>
      </c>
      <c r="C74" s="34">
        <f>IF(OR('Historique ajusté'!C74="",ROW()-Fenetre&lt;6),"",IF(INDEX('Historique ajusté'!C:C,ROW()-Fenetre)="","",'Historique ajusté'!C74/INDEX('Historique ajusté'!C:C,ROW()-Fenetre)-1))</f>
        <v/>
      </c>
      <c r="D74" s="34">
        <f>IF(OR('Historique ajusté'!D74="",ROW()-Fenetre&lt;6),"",IF(INDEX('Historique ajusté'!D:D,ROW()-Fenetre)="","",'Historique ajusté'!D74/INDEX('Historique ajusté'!D:D,ROW()-Fenetre)-1))</f>
        <v/>
      </c>
      <c r="E74" s="34">
        <f>IF(OR('Historique ajusté'!E74="",ROW()-Fenetre&lt;6),"",IF(INDEX('Historique ajusté'!E:E,ROW()-Fenetre)="","",'Historique ajusté'!E74/INDEX('Historique ajusté'!E:E,ROW()-Fenetre)-1))</f>
        <v/>
      </c>
      <c r="F74" s="34">
        <f>IF(OR('Historique ajusté'!F74="",ROW()-Fenetre&lt;6),"",IF(INDEX('Historique ajusté'!F:F,ROW()-Fenetre)="","",'Historique ajusté'!F74/INDEX('Historique ajusté'!F:F,ROW()-Fenetre)-1))</f>
        <v/>
      </c>
      <c r="G74" s="34">
        <f>IF(OR('Historique ajusté'!G74="",ROW()-Fenetre&lt;6),"",IF(INDEX('Historique ajusté'!G:G,ROW()-Fenetre)="","",'Historique ajusté'!G74/INDEX('Historique ajusté'!G:G,ROW()-Fenetre)-1))</f>
        <v/>
      </c>
      <c r="H74" s="34">
        <f>IF(OR('Historique ajusté'!H74="",ROW()-Fenetre&lt;6),"",IF(INDEX('Historique ajusté'!H:H,ROW()-Fenetre)="","",'Historique ajusté'!H74/INDEX('Historique ajusté'!H:H,ROW()-Fenetre)-1))</f>
        <v/>
      </c>
      <c r="I74" s="34">
        <f>IF(OR('Historique ajusté'!I74="",ROW()-Fenetre&lt;6),"",IF(INDEX('Historique ajusté'!I:I,ROW()-Fenetre)="","",'Historique ajusté'!I74/INDEX('Historique ajusté'!I:I,ROW()-Fenetre)-1))</f>
        <v/>
      </c>
      <c r="J74" s="34">
        <f>IF(OR('Historique ajusté'!J74="",ROW()-Fenetre&lt;6),"",IF(INDEX('Historique ajusté'!J:J,ROW()-Fenetre)="","",'Historique ajusté'!J74/INDEX('Historique ajusté'!J:J,ROW()-Fenetre)-1))</f>
        <v/>
      </c>
      <c r="K74" s="34">
        <f>IF(OR('Historique ajusté'!K74="",ROW()-Fenetre&lt;6),"",IF(INDEX('Historique ajusté'!K:K,ROW()-Fenetre)="","",'Historique ajusté'!K74/INDEX('Historique ajusté'!K:K,ROW()-Fenetre)-1))</f>
        <v/>
      </c>
      <c r="L74" s="34">
        <f>IF(OR('Historique ajusté'!L74="",ROW()-Fenetre&lt;6),"",IF(INDEX('Historique ajusté'!L:L,ROW()-Fenetre)="","",'Historique ajusté'!L74/INDEX('Historique ajusté'!L:L,ROW()-Fenetre)-1))</f>
        <v/>
      </c>
      <c r="M74" s="34">
        <f>IF(OR('Historique ajusté'!M74="",ROW()-Fenetre&lt;6),"",IF(INDEX('Historique ajusté'!M:M,ROW()-Fenetre)="","",'Historique ajusté'!M74/INDEX('Historique ajusté'!M:M,ROW()-Fenetre)-1))</f>
        <v/>
      </c>
      <c r="N74" s="34">
        <f>IF(OR('Historique ajusté'!N74="",ROW()-Fenetre&lt;6),"",IF(INDEX('Historique ajusté'!N:N,ROW()-Fenetre)="","",'Historique ajusté'!N74/INDEX('Historique ajusté'!N:N,ROW()-Fenetre)-1))</f>
        <v/>
      </c>
      <c r="O74" s="34">
        <f>IF(OR('Historique ajusté'!O74="",ROW()-Fenetre&lt;6),"",IF(INDEX('Historique ajusté'!O:O,ROW()-Fenetre)="","",'Historique ajusté'!O74/INDEX('Historique ajusté'!O:O,ROW()-Fenetre)-1))</f>
        <v/>
      </c>
      <c r="P74" s="34">
        <f>IF(OR('Historique ajusté'!P74="",ROW()-Fenetre&lt;6),"",IF(INDEX('Historique ajusté'!P:P,ROW()-Fenetre)="","",'Historique ajusté'!P74/INDEX('Historique ajusté'!P:P,ROW()-Fenetre)-1))</f>
        <v/>
      </c>
      <c r="Q74" s="34">
        <f>IF(OR(Composites!L74="",ROW()-Fenetre&lt;6),"",IF(INDEX(Composites!L:L,ROW()-Fenetre)="","",Composites!L74/INDEX(Composites!L:L,ROW()-Fenetre)-1))</f>
        <v/>
      </c>
      <c r="R74" s="34">
        <f>IF(OR(Composites!M74="",ROW()-Fenetre&lt;6),"",IF(INDEX(Composites!M:M,ROW()-Fenetre)="","",Composites!M74/INDEX(Composites!M:M,ROW()-Fenetre)-1))</f>
        <v/>
      </c>
      <c r="S74" s="34">
        <f>IF(OR(Composites!N74="",ROW()-Fenetre&lt;6),"",IF(INDEX(Composites!N:N,ROW()-Fenetre)="","",Composites!N74/INDEX(Composites!N:N,ROW()-Fenetre)-1))</f>
        <v/>
      </c>
      <c r="T74" s="34">
        <f>IF(OR(Composites!O74="",ROW()-Fenetre&lt;6),"",IF(INDEX(Composites!O:O,ROW()-Fenetre)="","",Composites!O74/INDEX(Composites!O:O,ROW()-Fenetre)-1))</f>
        <v/>
      </c>
      <c r="U74" s="34">
        <f>IF(OR(Composites!P74="",ROW()-Fenetre&lt;6),"",IF(INDEX(Composites!P:P,ROW()-Fenetre)="","",Composites!P74/INDEX(Composites!P:P,ROW()-Fenetre)-1))</f>
        <v/>
      </c>
      <c r="V74" s="34">
        <f>IF('Historique ajusté'!C74="","",'Historique ajusté'!C74/MAX('Historique ajusté'!C$6:C74)-1)</f>
        <v/>
      </c>
      <c r="W74" s="34">
        <f>IF('Historique ajusté'!D74="","",'Historique ajusté'!D74/MAX('Historique ajusté'!D$6:D74)-1)</f>
        <v/>
      </c>
      <c r="X74" s="34">
        <f>IF('Historique ajusté'!E74="","",'Historique ajusté'!E74/MAX('Historique ajusté'!E$6:E74)-1)</f>
        <v/>
      </c>
      <c r="Y74" s="34">
        <f>IF('Historique ajusté'!F74="","",'Historique ajusté'!F74/MAX('Historique ajusté'!F$6:F74)-1)</f>
        <v/>
      </c>
      <c r="Z74" s="34">
        <f>IF('Historique ajusté'!G74="","",'Historique ajusté'!G74/MAX('Historique ajusté'!G$6:G74)-1)</f>
        <v/>
      </c>
      <c r="AA74" s="34">
        <f>IF('Historique ajusté'!H74="","",'Historique ajusté'!H74/MAX('Historique ajusté'!H$6:H74)-1)</f>
        <v/>
      </c>
      <c r="AB74" s="34">
        <f>IF('Historique ajusté'!I74="","",'Historique ajusté'!I74/MAX('Historique ajusté'!I$6:I74)-1)</f>
        <v/>
      </c>
      <c r="AC74" s="34">
        <f>IF('Historique ajusté'!J74="","",'Historique ajusté'!J74/MAX('Historique ajusté'!J$6:J74)-1)</f>
        <v/>
      </c>
      <c r="AD74" s="34">
        <f>IF('Historique ajusté'!K74="","",'Historique ajusté'!K74/MAX('Historique ajusté'!K$6:K74)-1)</f>
        <v/>
      </c>
      <c r="AE74" s="34">
        <f>IF('Historique ajusté'!L74="","",'Historique ajusté'!L74/MAX('Historique ajusté'!L$6:L74)-1)</f>
        <v/>
      </c>
      <c r="AF74" s="34">
        <f>IF('Historique ajusté'!M74="","",'Historique ajusté'!M74/MAX('Historique ajusté'!M$6:M74)-1)</f>
        <v/>
      </c>
      <c r="AG74" s="34">
        <f>IF('Historique ajusté'!N74="","",'Historique ajusté'!N74/MAX('Historique ajusté'!N$6:N74)-1)</f>
        <v/>
      </c>
      <c r="AH74" s="34">
        <f>IF('Historique ajusté'!O74="","",'Historique ajusté'!O74/MAX('Historique ajusté'!O$6:O74)-1)</f>
        <v/>
      </c>
      <c r="AI74" s="34">
        <f>IF('Historique ajusté'!P74="","",'Historique ajusté'!P74/MAX('Historique ajusté'!P$6:P74)-1)</f>
        <v/>
      </c>
      <c r="AJ74" s="34">
        <f>IF(Composites!L74="","",Composites!L74/MAX(Composites!L$6:L74)-1)</f>
        <v/>
      </c>
      <c r="AK74" s="34">
        <f>IF(Composites!M74="","",Composites!M74/MAX(Composites!M$6:M74)-1)</f>
        <v/>
      </c>
      <c r="AL74" s="34">
        <f>IF(Composites!N74="","",Composites!N74/MAX(Composites!N$6:N74)-1)</f>
        <v/>
      </c>
      <c r="AM74" s="34">
        <f>IF(Composites!O74="","",Composites!O74/MAX(Composites!O$6:O74)-1)</f>
        <v/>
      </c>
      <c r="AN74" s="34">
        <f>IF(Composites!P74="","",Composites!P74/MAX(Composites!P$6:P74)-1)</f>
        <v/>
      </c>
    </row>
    <row r="75">
      <c r="B75" s="32">
        <f>'Historique ajusté'!B75</f>
        <v/>
      </c>
      <c r="C75" s="34">
        <f>IF(OR('Historique ajusté'!C75="",ROW()-Fenetre&lt;6),"",IF(INDEX('Historique ajusté'!C:C,ROW()-Fenetre)="","",'Historique ajusté'!C75/INDEX('Historique ajusté'!C:C,ROW()-Fenetre)-1))</f>
        <v/>
      </c>
      <c r="D75" s="34">
        <f>IF(OR('Historique ajusté'!D75="",ROW()-Fenetre&lt;6),"",IF(INDEX('Historique ajusté'!D:D,ROW()-Fenetre)="","",'Historique ajusté'!D75/INDEX('Historique ajusté'!D:D,ROW()-Fenetre)-1))</f>
        <v/>
      </c>
      <c r="E75" s="34">
        <f>IF(OR('Historique ajusté'!E75="",ROW()-Fenetre&lt;6),"",IF(INDEX('Historique ajusté'!E:E,ROW()-Fenetre)="","",'Historique ajusté'!E75/INDEX('Historique ajusté'!E:E,ROW()-Fenetre)-1))</f>
        <v/>
      </c>
      <c r="F75" s="34">
        <f>IF(OR('Historique ajusté'!F75="",ROW()-Fenetre&lt;6),"",IF(INDEX('Historique ajusté'!F:F,ROW()-Fenetre)="","",'Historique ajusté'!F75/INDEX('Historique ajusté'!F:F,ROW()-Fenetre)-1))</f>
        <v/>
      </c>
      <c r="G75" s="34">
        <f>IF(OR('Historique ajusté'!G75="",ROW()-Fenetre&lt;6),"",IF(INDEX('Historique ajusté'!G:G,ROW()-Fenetre)="","",'Historique ajusté'!G75/INDEX('Historique ajusté'!G:G,ROW()-Fenetre)-1))</f>
        <v/>
      </c>
      <c r="H75" s="34">
        <f>IF(OR('Historique ajusté'!H75="",ROW()-Fenetre&lt;6),"",IF(INDEX('Historique ajusté'!H:H,ROW()-Fenetre)="","",'Historique ajusté'!H75/INDEX('Historique ajusté'!H:H,ROW()-Fenetre)-1))</f>
        <v/>
      </c>
      <c r="I75" s="34">
        <f>IF(OR('Historique ajusté'!I75="",ROW()-Fenetre&lt;6),"",IF(INDEX('Historique ajusté'!I:I,ROW()-Fenetre)="","",'Historique ajusté'!I75/INDEX('Historique ajusté'!I:I,ROW()-Fenetre)-1))</f>
        <v/>
      </c>
      <c r="J75" s="34">
        <f>IF(OR('Historique ajusté'!J75="",ROW()-Fenetre&lt;6),"",IF(INDEX('Historique ajusté'!J:J,ROW()-Fenetre)="","",'Historique ajusté'!J75/INDEX('Historique ajusté'!J:J,ROW()-Fenetre)-1))</f>
        <v/>
      </c>
      <c r="K75" s="34">
        <f>IF(OR('Historique ajusté'!K75="",ROW()-Fenetre&lt;6),"",IF(INDEX('Historique ajusté'!K:K,ROW()-Fenetre)="","",'Historique ajusté'!K75/INDEX('Historique ajusté'!K:K,ROW()-Fenetre)-1))</f>
        <v/>
      </c>
      <c r="L75" s="34">
        <f>IF(OR('Historique ajusté'!L75="",ROW()-Fenetre&lt;6),"",IF(INDEX('Historique ajusté'!L:L,ROW()-Fenetre)="","",'Historique ajusté'!L75/INDEX('Historique ajusté'!L:L,ROW()-Fenetre)-1))</f>
        <v/>
      </c>
      <c r="M75" s="34">
        <f>IF(OR('Historique ajusté'!M75="",ROW()-Fenetre&lt;6),"",IF(INDEX('Historique ajusté'!M:M,ROW()-Fenetre)="","",'Historique ajusté'!M75/INDEX('Historique ajusté'!M:M,ROW()-Fenetre)-1))</f>
        <v/>
      </c>
      <c r="N75" s="34">
        <f>IF(OR('Historique ajusté'!N75="",ROW()-Fenetre&lt;6),"",IF(INDEX('Historique ajusté'!N:N,ROW()-Fenetre)="","",'Historique ajusté'!N75/INDEX('Historique ajusté'!N:N,ROW()-Fenetre)-1))</f>
        <v/>
      </c>
      <c r="O75" s="34">
        <f>IF(OR('Historique ajusté'!O75="",ROW()-Fenetre&lt;6),"",IF(INDEX('Historique ajusté'!O:O,ROW()-Fenetre)="","",'Historique ajusté'!O75/INDEX('Historique ajusté'!O:O,ROW()-Fenetre)-1))</f>
        <v/>
      </c>
      <c r="P75" s="34">
        <f>IF(OR('Historique ajusté'!P75="",ROW()-Fenetre&lt;6),"",IF(INDEX('Historique ajusté'!P:P,ROW()-Fenetre)="","",'Historique ajusté'!P75/INDEX('Historique ajusté'!P:P,ROW()-Fenetre)-1))</f>
        <v/>
      </c>
      <c r="Q75" s="34">
        <f>IF(OR(Composites!L75="",ROW()-Fenetre&lt;6),"",IF(INDEX(Composites!L:L,ROW()-Fenetre)="","",Composites!L75/INDEX(Composites!L:L,ROW()-Fenetre)-1))</f>
        <v/>
      </c>
      <c r="R75" s="34">
        <f>IF(OR(Composites!M75="",ROW()-Fenetre&lt;6),"",IF(INDEX(Composites!M:M,ROW()-Fenetre)="","",Composites!M75/INDEX(Composites!M:M,ROW()-Fenetre)-1))</f>
        <v/>
      </c>
      <c r="S75" s="34">
        <f>IF(OR(Composites!N75="",ROW()-Fenetre&lt;6),"",IF(INDEX(Composites!N:N,ROW()-Fenetre)="","",Composites!N75/INDEX(Composites!N:N,ROW()-Fenetre)-1))</f>
        <v/>
      </c>
      <c r="T75" s="34">
        <f>IF(OR(Composites!O75="",ROW()-Fenetre&lt;6),"",IF(INDEX(Composites!O:O,ROW()-Fenetre)="","",Composites!O75/INDEX(Composites!O:O,ROW()-Fenetre)-1))</f>
        <v/>
      </c>
      <c r="U75" s="34">
        <f>IF(OR(Composites!P75="",ROW()-Fenetre&lt;6),"",IF(INDEX(Composites!P:P,ROW()-Fenetre)="","",Composites!P75/INDEX(Composites!P:P,ROW()-Fenetre)-1))</f>
        <v/>
      </c>
      <c r="V75" s="34">
        <f>IF('Historique ajusté'!C75="","",'Historique ajusté'!C75/MAX('Historique ajusté'!C$6:C75)-1)</f>
        <v/>
      </c>
      <c r="W75" s="34">
        <f>IF('Historique ajusté'!D75="","",'Historique ajusté'!D75/MAX('Historique ajusté'!D$6:D75)-1)</f>
        <v/>
      </c>
      <c r="X75" s="34">
        <f>IF('Historique ajusté'!E75="","",'Historique ajusté'!E75/MAX('Historique ajusté'!E$6:E75)-1)</f>
        <v/>
      </c>
      <c r="Y75" s="34">
        <f>IF('Historique ajusté'!F75="","",'Historique ajusté'!F75/MAX('Historique ajusté'!F$6:F75)-1)</f>
        <v/>
      </c>
      <c r="Z75" s="34">
        <f>IF('Historique ajusté'!G75="","",'Historique ajusté'!G75/MAX('Historique ajusté'!G$6:G75)-1)</f>
        <v/>
      </c>
      <c r="AA75" s="34">
        <f>IF('Historique ajusté'!H75="","",'Historique ajusté'!H75/MAX('Historique ajusté'!H$6:H75)-1)</f>
        <v/>
      </c>
      <c r="AB75" s="34">
        <f>IF('Historique ajusté'!I75="","",'Historique ajusté'!I75/MAX('Historique ajusté'!I$6:I75)-1)</f>
        <v/>
      </c>
      <c r="AC75" s="34">
        <f>IF('Historique ajusté'!J75="","",'Historique ajusté'!J75/MAX('Historique ajusté'!J$6:J75)-1)</f>
        <v/>
      </c>
      <c r="AD75" s="34">
        <f>IF('Historique ajusté'!K75="","",'Historique ajusté'!K75/MAX('Historique ajusté'!K$6:K75)-1)</f>
        <v/>
      </c>
      <c r="AE75" s="34">
        <f>IF('Historique ajusté'!L75="","",'Historique ajusté'!L75/MAX('Historique ajusté'!L$6:L75)-1)</f>
        <v/>
      </c>
      <c r="AF75" s="34">
        <f>IF('Historique ajusté'!M75="","",'Historique ajusté'!M75/MAX('Historique ajusté'!M$6:M75)-1)</f>
        <v/>
      </c>
      <c r="AG75" s="34">
        <f>IF('Historique ajusté'!N75="","",'Historique ajusté'!N75/MAX('Historique ajusté'!N$6:N75)-1)</f>
        <v/>
      </c>
      <c r="AH75" s="34">
        <f>IF('Historique ajusté'!O75="","",'Historique ajusté'!O75/MAX('Historique ajusté'!O$6:O75)-1)</f>
        <v/>
      </c>
      <c r="AI75" s="34">
        <f>IF('Historique ajusté'!P75="","",'Historique ajusté'!P75/MAX('Historique ajusté'!P$6:P75)-1)</f>
        <v/>
      </c>
      <c r="AJ75" s="34">
        <f>IF(Composites!L75="","",Composites!L75/MAX(Composites!L$6:L75)-1)</f>
        <v/>
      </c>
      <c r="AK75" s="34">
        <f>IF(Composites!M75="","",Composites!M75/MAX(Composites!M$6:M75)-1)</f>
        <v/>
      </c>
      <c r="AL75" s="34">
        <f>IF(Composites!N75="","",Composites!N75/MAX(Composites!N$6:N75)-1)</f>
        <v/>
      </c>
      <c r="AM75" s="34">
        <f>IF(Composites!O75="","",Composites!O75/MAX(Composites!O$6:O75)-1)</f>
        <v/>
      </c>
      <c r="AN75" s="34">
        <f>IF(Composites!P75="","",Composites!P75/MAX(Composites!P$6:P75)-1)</f>
        <v/>
      </c>
    </row>
    <row r="76">
      <c r="B76" s="32">
        <f>'Historique ajusté'!B76</f>
        <v/>
      </c>
      <c r="C76" s="34">
        <f>IF(OR('Historique ajusté'!C76="",ROW()-Fenetre&lt;6),"",IF(INDEX('Historique ajusté'!C:C,ROW()-Fenetre)="","",'Historique ajusté'!C76/INDEX('Historique ajusté'!C:C,ROW()-Fenetre)-1))</f>
        <v/>
      </c>
      <c r="D76" s="34">
        <f>IF(OR('Historique ajusté'!D76="",ROW()-Fenetre&lt;6),"",IF(INDEX('Historique ajusté'!D:D,ROW()-Fenetre)="","",'Historique ajusté'!D76/INDEX('Historique ajusté'!D:D,ROW()-Fenetre)-1))</f>
        <v/>
      </c>
      <c r="E76" s="34">
        <f>IF(OR('Historique ajusté'!E76="",ROW()-Fenetre&lt;6),"",IF(INDEX('Historique ajusté'!E:E,ROW()-Fenetre)="","",'Historique ajusté'!E76/INDEX('Historique ajusté'!E:E,ROW()-Fenetre)-1))</f>
        <v/>
      </c>
      <c r="F76" s="34">
        <f>IF(OR('Historique ajusté'!F76="",ROW()-Fenetre&lt;6),"",IF(INDEX('Historique ajusté'!F:F,ROW()-Fenetre)="","",'Historique ajusté'!F76/INDEX('Historique ajusté'!F:F,ROW()-Fenetre)-1))</f>
        <v/>
      </c>
      <c r="G76" s="34">
        <f>IF(OR('Historique ajusté'!G76="",ROW()-Fenetre&lt;6),"",IF(INDEX('Historique ajusté'!G:G,ROW()-Fenetre)="","",'Historique ajusté'!G76/INDEX('Historique ajusté'!G:G,ROW()-Fenetre)-1))</f>
        <v/>
      </c>
      <c r="H76" s="34">
        <f>IF(OR('Historique ajusté'!H76="",ROW()-Fenetre&lt;6),"",IF(INDEX('Historique ajusté'!H:H,ROW()-Fenetre)="","",'Historique ajusté'!H76/INDEX('Historique ajusté'!H:H,ROW()-Fenetre)-1))</f>
        <v/>
      </c>
      <c r="I76" s="34">
        <f>IF(OR('Historique ajusté'!I76="",ROW()-Fenetre&lt;6),"",IF(INDEX('Historique ajusté'!I:I,ROW()-Fenetre)="","",'Historique ajusté'!I76/INDEX('Historique ajusté'!I:I,ROW()-Fenetre)-1))</f>
        <v/>
      </c>
      <c r="J76" s="34">
        <f>IF(OR('Historique ajusté'!J76="",ROW()-Fenetre&lt;6),"",IF(INDEX('Historique ajusté'!J:J,ROW()-Fenetre)="","",'Historique ajusté'!J76/INDEX('Historique ajusté'!J:J,ROW()-Fenetre)-1))</f>
        <v/>
      </c>
      <c r="K76" s="34">
        <f>IF(OR('Historique ajusté'!K76="",ROW()-Fenetre&lt;6),"",IF(INDEX('Historique ajusté'!K:K,ROW()-Fenetre)="","",'Historique ajusté'!K76/INDEX('Historique ajusté'!K:K,ROW()-Fenetre)-1))</f>
        <v/>
      </c>
      <c r="L76" s="34">
        <f>IF(OR('Historique ajusté'!L76="",ROW()-Fenetre&lt;6),"",IF(INDEX('Historique ajusté'!L:L,ROW()-Fenetre)="","",'Historique ajusté'!L76/INDEX('Historique ajusté'!L:L,ROW()-Fenetre)-1))</f>
        <v/>
      </c>
      <c r="M76" s="34">
        <f>IF(OR('Historique ajusté'!M76="",ROW()-Fenetre&lt;6),"",IF(INDEX('Historique ajusté'!M:M,ROW()-Fenetre)="","",'Historique ajusté'!M76/INDEX('Historique ajusté'!M:M,ROW()-Fenetre)-1))</f>
        <v/>
      </c>
      <c r="N76" s="34">
        <f>IF(OR('Historique ajusté'!N76="",ROW()-Fenetre&lt;6),"",IF(INDEX('Historique ajusté'!N:N,ROW()-Fenetre)="","",'Historique ajusté'!N76/INDEX('Historique ajusté'!N:N,ROW()-Fenetre)-1))</f>
        <v/>
      </c>
      <c r="O76" s="34">
        <f>IF(OR('Historique ajusté'!O76="",ROW()-Fenetre&lt;6),"",IF(INDEX('Historique ajusté'!O:O,ROW()-Fenetre)="","",'Historique ajusté'!O76/INDEX('Historique ajusté'!O:O,ROW()-Fenetre)-1))</f>
        <v/>
      </c>
      <c r="P76" s="34">
        <f>IF(OR('Historique ajusté'!P76="",ROW()-Fenetre&lt;6),"",IF(INDEX('Historique ajusté'!P:P,ROW()-Fenetre)="","",'Historique ajusté'!P76/INDEX('Historique ajusté'!P:P,ROW()-Fenetre)-1))</f>
        <v/>
      </c>
      <c r="Q76" s="34">
        <f>IF(OR(Composites!L76="",ROW()-Fenetre&lt;6),"",IF(INDEX(Composites!L:L,ROW()-Fenetre)="","",Composites!L76/INDEX(Composites!L:L,ROW()-Fenetre)-1))</f>
        <v/>
      </c>
      <c r="R76" s="34">
        <f>IF(OR(Composites!M76="",ROW()-Fenetre&lt;6),"",IF(INDEX(Composites!M:M,ROW()-Fenetre)="","",Composites!M76/INDEX(Composites!M:M,ROW()-Fenetre)-1))</f>
        <v/>
      </c>
      <c r="S76" s="34">
        <f>IF(OR(Composites!N76="",ROW()-Fenetre&lt;6),"",IF(INDEX(Composites!N:N,ROW()-Fenetre)="","",Composites!N76/INDEX(Composites!N:N,ROW()-Fenetre)-1))</f>
        <v/>
      </c>
      <c r="T76" s="34">
        <f>IF(OR(Composites!O76="",ROW()-Fenetre&lt;6),"",IF(INDEX(Composites!O:O,ROW()-Fenetre)="","",Composites!O76/INDEX(Composites!O:O,ROW()-Fenetre)-1))</f>
        <v/>
      </c>
      <c r="U76" s="34">
        <f>IF(OR(Composites!P76="",ROW()-Fenetre&lt;6),"",IF(INDEX(Composites!P:P,ROW()-Fenetre)="","",Composites!P76/INDEX(Composites!P:P,ROW()-Fenetre)-1))</f>
        <v/>
      </c>
      <c r="V76" s="34">
        <f>IF('Historique ajusté'!C76="","",'Historique ajusté'!C76/MAX('Historique ajusté'!C$6:C76)-1)</f>
        <v/>
      </c>
      <c r="W76" s="34">
        <f>IF('Historique ajusté'!D76="","",'Historique ajusté'!D76/MAX('Historique ajusté'!D$6:D76)-1)</f>
        <v/>
      </c>
      <c r="X76" s="34">
        <f>IF('Historique ajusté'!E76="","",'Historique ajusté'!E76/MAX('Historique ajusté'!E$6:E76)-1)</f>
        <v/>
      </c>
      <c r="Y76" s="34">
        <f>IF('Historique ajusté'!F76="","",'Historique ajusté'!F76/MAX('Historique ajusté'!F$6:F76)-1)</f>
        <v/>
      </c>
      <c r="Z76" s="34">
        <f>IF('Historique ajusté'!G76="","",'Historique ajusté'!G76/MAX('Historique ajusté'!G$6:G76)-1)</f>
        <v/>
      </c>
      <c r="AA76" s="34">
        <f>IF('Historique ajusté'!H76="","",'Historique ajusté'!H76/MAX('Historique ajusté'!H$6:H76)-1)</f>
        <v/>
      </c>
      <c r="AB76" s="34">
        <f>IF('Historique ajusté'!I76="","",'Historique ajusté'!I76/MAX('Historique ajusté'!I$6:I76)-1)</f>
        <v/>
      </c>
      <c r="AC76" s="34">
        <f>IF('Historique ajusté'!J76="","",'Historique ajusté'!J76/MAX('Historique ajusté'!J$6:J76)-1)</f>
        <v/>
      </c>
      <c r="AD76" s="34">
        <f>IF('Historique ajusté'!K76="","",'Historique ajusté'!K76/MAX('Historique ajusté'!K$6:K76)-1)</f>
        <v/>
      </c>
      <c r="AE76" s="34">
        <f>IF('Historique ajusté'!L76="","",'Historique ajusté'!L76/MAX('Historique ajusté'!L$6:L76)-1)</f>
        <v/>
      </c>
      <c r="AF76" s="34">
        <f>IF('Historique ajusté'!M76="","",'Historique ajusté'!M76/MAX('Historique ajusté'!M$6:M76)-1)</f>
        <v/>
      </c>
      <c r="AG76" s="34">
        <f>IF('Historique ajusté'!N76="","",'Historique ajusté'!N76/MAX('Historique ajusté'!N$6:N76)-1)</f>
        <v/>
      </c>
      <c r="AH76" s="34">
        <f>IF('Historique ajusté'!O76="","",'Historique ajusté'!O76/MAX('Historique ajusté'!O$6:O76)-1)</f>
        <v/>
      </c>
      <c r="AI76" s="34">
        <f>IF('Historique ajusté'!P76="","",'Historique ajusté'!P76/MAX('Historique ajusté'!P$6:P76)-1)</f>
        <v/>
      </c>
      <c r="AJ76" s="34">
        <f>IF(Composites!L76="","",Composites!L76/MAX(Composites!L$6:L76)-1)</f>
        <v/>
      </c>
      <c r="AK76" s="34">
        <f>IF(Composites!M76="","",Composites!M76/MAX(Composites!M$6:M76)-1)</f>
        <v/>
      </c>
      <c r="AL76" s="34">
        <f>IF(Composites!N76="","",Composites!N76/MAX(Composites!N$6:N76)-1)</f>
        <v/>
      </c>
      <c r="AM76" s="34">
        <f>IF(Composites!O76="","",Composites!O76/MAX(Composites!O$6:O76)-1)</f>
        <v/>
      </c>
      <c r="AN76" s="34">
        <f>IF(Composites!P76="","",Composites!P76/MAX(Composites!P$6:P76)-1)</f>
        <v/>
      </c>
    </row>
    <row r="77">
      <c r="B77" s="32">
        <f>'Historique ajusté'!B77</f>
        <v/>
      </c>
      <c r="C77" s="34">
        <f>IF(OR('Historique ajusté'!C77="",ROW()-Fenetre&lt;6),"",IF(INDEX('Historique ajusté'!C:C,ROW()-Fenetre)="","",'Historique ajusté'!C77/INDEX('Historique ajusté'!C:C,ROW()-Fenetre)-1))</f>
        <v/>
      </c>
      <c r="D77" s="34">
        <f>IF(OR('Historique ajusté'!D77="",ROW()-Fenetre&lt;6),"",IF(INDEX('Historique ajusté'!D:D,ROW()-Fenetre)="","",'Historique ajusté'!D77/INDEX('Historique ajusté'!D:D,ROW()-Fenetre)-1))</f>
        <v/>
      </c>
      <c r="E77" s="34">
        <f>IF(OR('Historique ajusté'!E77="",ROW()-Fenetre&lt;6),"",IF(INDEX('Historique ajusté'!E:E,ROW()-Fenetre)="","",'Historique ajusté'!E77/INDEX('Historique ajusté'!E:E,ROW()-Fenetre)-1))</f>
        <v/>
      </c>
      <c r="F77" s="34">
        <f>IF(OR('Historique ajusté'!F77="",ROW()-Fenetre&lt;6),"",IF(INDEX('Historique ajusté'!F:F,ROW()-Fenetre)="","",'Historique ajusté'!F77/INDEX('Historique ajusté'!F:F,ROW()-Fenetre)-1))</f>
        <v/>
      </c>
      <c r="G77" s="34">
        <f>IF(OR('Historique ajusté'!G77="",ROW()-Fenetre&lt;6),"",IF(INDEX('Historique ajusté'!G:G,ROW()-Fenetre)="","",'Historique ajusté'!G77/INDEX('Historique ajusté'!G:G,ROW()-Fenetre)-1))</f>
        <v/>
      </c>
      <c r="H77" s="34">
        <f>IF(OR('Historique ajusté'!H77="",ROW()-Fenetre&lt;6),"",IF(INDEX('Historique ajusté'!H:H,ROW()-Fenetre)="","",'Historique ajusté'!H77/INDEX('Historique ajusté'!H:H,ROW()-Fenetre)-1))</f>
        <v/>
      </c>
      <c r="I77" s="34">
        <f>IF(OR('Historique ajusté'!I77="",ROW()-Fenetre&lt;6),"",IF(INDEX('Historique ajusté'!I:I,ROW()-Fenetre)="","",'Historique ajusté'!I77/INDEX('Historique ajusté'!I:I,ROW()-Fenetre)-1))</f>
        <v/>
      </c>
      <c r="J77" s="34">
        <f>IF(OR('Historique ajusté'!J77="",ROW()-Fenetre&lt;6),"",IF(INDEX('Historique ajusté'!J:J,ROW()-Fenetre)="","",'Historique ajusté'!J77/INDEX('Historique ajusté'!J:J,ROW()-Fenetre)-1))</f>
        <v/>
      </c>
      <c r="K77" s="34">
        <f>IF(OR('Historique ajusté'!K77="",ROW()-Fenetre&lt;6),"",IF(INDEX('Historique ajusté'!K:K,ROW()-Fenetre)="","",'Historique ajusté'!K77/INDEX('Historique ajusté'!K:K,ROW()-Fenetre)-1))</f>
        <v/>
      </c>
      <c r="L77" s="34">
        <f>IF(OR('Historique ajusté'!L77="",ROW()-Fenetre&lt;6),"",IF(INDEX('Historique ajusté'!L:L,ROW()-Fenetre)="","",'Historique ajusté'!L77/INDEX('Historique ajusté'!L:L,ROW()-Fenetre)-1))</f>
        <v/>
      </c>
      <c r="M77" s="34">
        <f>IF(OR('Historique ajusté'!M77="",ROW()-Fenetre&lt;6),"",IF(INDEX('Historique ajusté'!M:M,ROW()-Fenetre)="","",'Historique ajusté'!M77/INDEX('Historique ajusté'!M:M,ROW()-Fenetre)-1))</f>
        <v/>
      </c>
      <c r="N77" s="34">
        <f>IF(OR('Historique ajusté'!N77="",ROW()-Fenetre&lt;6),"",IF(INDEX('Historique ajusté'!N:N,ROW()-Fenetre)="","",'Historique ajusté'!N77/INDEX('Historique ajusté'!N:N,ROW()-Fenetre)-1))</f>
        <v/>
      </c>
      <c r="O77" s="34">
        <f>IF(OR('Historique ajusté'!O77="",ROW()-Fenetre&lt;6),"",IF(INDEX('Historique ajusté'!O:O,ROW()-Fenetre)="","",'Historique ajusté'!O77/INDEX('Historique ajusté'!O:O,ROW()-Fenetre)-1))</f>
        <v/>
      </c>
      <c r="P77" s="34">
        <f>IF(OR('Historique ajusté'!P77="",ROW()-Fenetre&lt;6),"",IF(INDEX('Historique ajusté'!P:P,ROW()-Fenetre)="","",'Historique ajusté'!P77/INDEX('Historique ajusté'!P:P,ROW()-Fenetre)-1))</f>
        <v/>
      </c>
      <c r="Q77" s="34">
        <f>IF(OR(Composites!L77="",ROW()-Fenetre&lt;6),"",IF(INDEX(Composites!L:L,ROW()-Fenetre)="","",Composites!L77/INDEX(Composites!L:L,ROW()-Fenetre)-1))</f>
        <v/>
      </c>
      <c r="R77" s="34">
        <f>IF(OR(Composites!M77="",ROW()-Fenetre&lt;6),"",IF(INDEX(Composites!M:M,ROW()-Fenetre)="","",Composites!M77/INDEX(Composites!M:M,ROW()-Fenetre)-1))</f>
        <v/>
      </c>
      <c r="S77" s="34">
        <f>IF(OR(Composites!N77="",ROW()-Fenetre&lt;6),"",IF(INDEX(Composites!N:N,ROW()-Fenetre)="","",Composites!N77/INDEX(Composites!N:N,ROW()-Fenetre)-1))</f>
        <v/>
      </c>
      <c r="T77" s="34">
        <f>IF(OR(Composites!O77="",ROW()-Fenetre&lt;6),"",IF(INDEX(Composites!O:O,ROW()-Fenetre)="","",Composites!O77/INDEX(Composites!O:O,ROW()-Fenetre)-1))</f>
        <v/>
      </c>
      <c r="U77" s="34">
        <f>IF(OR(Composites!P77="",ROW()-Fenetre&lt;6),"",IF(INDEX(Composites!P:P,ROW()-Fenetre)="","",Composites!P77/INDEX(Composites!P:P,ROW()-Fenetre)-1))</f>
        <v/>
      </c>
      <c r="V77" s="34">
        <f>IF('Historique ajusté'!C77="","",'Historique ajusté'!C77/MAX('Historique ajusté'!C$6:C77)-1)</f>
        <v/>
      </c>
      <c r="W77" s="34">
        <f>IF('Historique ajusté'!D77="","",'Historique ajusté'!D77/MAX('Historique ajusté'!D$6:D77)-1)</f>
        <v/>
      </c>
      <c r="X77" s="34">
        <f>IF('Historique ajusté'!E77="","",'Historique ajusté'!E77/MAX('Historique ajusté'!E$6:E77)-1)</f>
        <v/>
      </c>
      <c r="Y77" s="34">
        <f>IF('Historique ajusté'!F77="","",'Historique ajusté'!F77/MAX('Historique ajusté'!F$6:F77)-1)</f>
        <v/>
      </c>
      <c r="Z77" s="34">
        <f>IF('Historique ajusté'!G77="","",'Historique ajusté'!G77/MAX('Historique ajusté'!G$6:G77)-1)</f>
        <v/>
      </c>
      <c r="AA77" s="34">
        <f>IF('Historique ajusté'!H77="","",'Historique ajusté'!H77/MAX('Historique ajusté'!H$6:H77)-1)</f>
        <v/>
      </c>
      <c r="AB77" s="34">
        <f>IF('Historique ajusté'!I77="","",'Historique ajusté'!I77/MAX('Historique ajusté'!I$6:I77)-1)</f>
        <v/>
      </c>
      <c r="AC77" s="34">
        <f>IF('Historique ajusté'!J77="","",'Historique ajusté'!J77/MAX('Historique ajusté'!J$6:J77)-1)</f>
        <v/>
      </c>
      <c r="AD77" s="34">
        <f>IF('Historique ajusté'!K77="","",'Historique ajusté'!K77/MAX('Historique ajusté'!K$6:K77)-1)</f>
        <v/>
      </c>
      <c r="AE77" s="34">
        <f>IF('Historique ajusté'!L77="","",'Historique ajusté'!L77/MAX('Historique ajusté'!L$6:L77)-1)</f>
        <v/>
      </c>
      <c r="AF77" s="34">
        <f>IF('Historique ajusté'!M77="","",'Historique ajusté'!M77/MAX('Historique ajusté'!M$6:M77)-1)</f>
        <v/>
      </c>
      <c r="AG77" s="34">
        <f>IF('Historique ajusté'!N77="","",'Historique ajusté'!N77/MAX('Historique ajusté'!N$6:N77)-1)</f>
        <v/>
      </c>
      <c r="AH77" s="34">
        <f>IF('Historique ajusté'!O77="","",'Historique ajusté'!O77/MAX('Historique ajusté'!O$6:O77)-1)</f>
        <v/>
      </c>
      <c r="AI77" s="34">
        <f>IF('Historique ajusté'!P77="","",'Historique ajusté'!P77/MAX('Historique ajusté'!P$6:P77)-1)</f>
        <v/>
      </c>
      <c r="AJ77" s="34">
        <f>IF(Composites!L77="","",Composites!L77/MAX(Composites!L$6:L77)-1)</f>
        <v/>
      </c>
      <c r="AK77" s="34">
        <f>IF(Composites!M77="","",Composites!M77/MAX(Composites!M$6:M77)-1)</f>
        <v/>
      </c>
      <c r="AL77" s="34">
        <f>IF(Composites!N77="","",Composites!N77/MAX(Composites!N$6:N77)-1)</f>
        <v/>
      </c>
      <c r="AM77" s="34">
        <f>IF(Composites!O77="","",Composites!O77/MAX(Composites!O$6:O77)-1)</f>
        <v/>
      </c>
      <c r="AN77" s="34">
        <f>IF(Composites!P77="","",Composites!P77/MAX(Composites!P$6:P77)-1)</f>
        <v/>
      </c>
    </row>
    <row r="78">
      <c r="B78" s="32">
        <f>'Historique ajusté'!B78</f>
        <v/>
      </c>
      <c r="C78" s="34">
        <f>IF(OR('Historique ajusté'!C78="",ROW()-Fenetre&lt;6),"",IF(INDEX('Historique ajusté'!C:C,ROW()-Fenetre)="","",'Historique ajusté'!C78/INDEX('Historique ajusté'!C:C,ROW()-Fenetre)-1))</f>
        <v/>
      </c>
      <c r="D78" s="34">
        <f>IF(OR('Historique ajusté'!D78="",ROW()-Fenetre&lt;6),"",IF(INDEX('Historique ajusté'!D:D,ROW()-Fenetre)="","",'Historique ajusté'!D78/INDEX('Historique ajusté'!D:D,ROW()-Fenetre)-1))</f>
        <v/>
      </c>
      <c r="E78" s="34">
        <f>IF(OR('Historique ajusté'!E78="",ROW()-Fenetre&lt;6),"",IF(INDEX('Historique ajusté'!E:E,ROW()-Fenetre)="","",'Historique ajusté'!E78/INDEX('Historique ajusté'!E:E,ROW()-Fenetre)-1))</f>
        <v/>
      </c>
      <c r="F78" s="34">
        <f>IF(OR('Historique ajusté'!F78="",ROW()-Fenetre&lt;6),"",IF(INDEX('Historique ajusté'!F:F,ROW()-Fenetre)="","",'Historique ajusté'!F78/INDEX('Historique ajusté'!F:F,ROW()-Fenetre)-1))</f>
        <v/>
      </c>
      <c r="G78" s="34">
        <f>IF(OR('Historique ajusté'!G78="",ROW()-Fenetre&lt;6),"",IF(INDEX('Historique ajusté'!G:G,ROW()-Fenetre)="","",'Historique ajusté'!G78/INDEX('Historique ajusté'!G:G,ROW()-Fenetre)-1))</f>
        <v/>
      </c>
      <c r="H78" s="34">
        <f>IF(OR('Historique ajusté'!H78="",ROW()-Fenetre&lt;6),"",IF(INDEX('Historique ajusté'!H:H,ROW()-Fenetre)="","",'Historique ajusté'!H78/INDEX('Historique ajusté'!H:H,ROW()-Fenetre)-1))</f>
        <v/>
      </c>
      <c r="I78" s="34">
        <f>IF(OR('Historique ajusté'!I78="",ROW()-Fenetre&lt;6),"",IF(INDEX('Historique ajusté'!I:I,ROW()-Fenetre)="","",'Historique ajusté'!I78/INDEX('Historique ajusté'!I:I,ROW()-Fenetre)-1))</f>
        <v/>
      </c>
      <c r="J78" s="34">
        <f>IF(OR('Historique ajusté'!J78="",ROW()-Fenetre&lt;6),"",IF(INDEX('Historique ajusté'!J:J,ROW()-Fenetre)="","",'Historique ajusté'!J78/INDEX('Historique ajusté'!J:J,ROW()-Fenetre)-1))</f>
        <v/>
      </c>
      <c r="K78" s="34">
        <f>IF(OR('Historique ajusté'!K78="",ROW()-Fenetre&lt;6),"",IF(INDEX('Historique ajusté'!K:K,ROW()-Fenetre)="","",'Historique ajusté'!K78/INDEX('Historique ajusté'!K:K,ROW()-Fenetre)-1))</f>
        <v/>
      </c>
      <c r="L78" s="34">
        <f>IF(OR('Historique ajusté'!L78="",ROW()-Fenetre&lt;6),"",IF(INDEX('Historique ajusté'!L:L,ROW()-Fenetre)="","",'Historique ajusté'!L78/INDEX('Historique ajusté'!L:L,ROW()-Fenetre)-1))</f>
        <v/>
      </c>
      <c r="M78" s="34">
        <f>IF(OR('Historique ajusté'!M78="",ROW()-Fenetre&lt;6),"",IF(INDEX('Historique ajusté'!M:M,ROW()-Fenetre)="","",'Historique ajusté'!M78/INDEX('Historique ajusté'!M:M,ROW()-Fenetre)-1))</f>
        <v/>
      </c>
      <c r="N78" s="34">
        <f>IF(OR('Historique ajusté'!N78="",ROW()-Fenetre&lt;6),"",IF(INDEX('Historique ajusté'!N:N,ROW()-Fenetre)="","",'Historique ajusté'!N78/INDEX('Historique ajusté'!N:N,ROW()-Fenetre)-1))</f>
        <v/>
      </c>
      <c r="O78" s="34">
        <f>IF(OR('Historique ajusté'!O78="",ROW()-Fenetre&lt;6),"",IF(INDEX('Historique ajusté'!O:O,ROW()-Fenetre)="","",'Historique ajusté'!O78/INDEX('Historique ajusté'!O:O,ROW()-Fenetre)-1))</f>
        <v/>
      </c>
      <c r="P78" s="34">
        <f>IF(OR('Historique ajusté'!P78="",ROW()-Fenetre&lt;6),"",IF(INDEX('Historique ajusté'!P:P,ROW()-Fenetre)="","",'Historique ajusté'!P78/INDEX('Historique ajusté'!P:P,ROW()-Fenetre)-1))</f>
        <v/>
      </c>
      <c r="Q78" s="34">
        <f>IF(OR(Composites!L78="",ROW()-Fenetre&lt;6),"",IF(INDEX(Composites!L:L,ROW()-Fenetre)="","",Composites!L78/INDEX(Composites!L:L,ROW()-Fenetre)-1))</f>
        <v/>
      </c>
      <c r="R78" s="34">
        <f>IF(OR(Composites!M78="",ROW()-Fenetre&lt;6),"",IF(INDEX(Composites!M:M,ROW()-Fenetre)="","",Composites!M78/INDEX(Composites!M:M,ROW()-Fenetre)-1))</f>
        <v/>
      </c>
      <c r="S78" s="34">
        <f>IF(OR(Composites!N78="",ROW()-Fenetre&lt;6),"",IF(INDEX(Composites!N:N,ROW()-Fenetre)="","",Composites!N78/INDEX(Composites!N:N,ROW()-Fenetre)-1))</f>
        <v/>
      </c>
      <c r="T78" s="34">
        <f>IF(OR(Composites!O78="",ROW()-Fenetre&lt;6),"",IF(INDEX(Composites!O:O,ROW()-Fenetre)="","",Composites!O78/INDEX(Composites!O:O,ROW()-Fenetre)-1))</f>
        <v/>
      </c>
      <c r="U78" s="34">
        <f>IF(OR(Composites!P78="",ROW()-Fenetre&lt;6),"",IF(INDEX(Composites!P:P,ROW()-Fenetre)="","",Composites!P78/INDEX(Composites!P:P,ROW()-Fenetre)-1))</f>
        <v/>
      </c>
      <c r="V78" s="34">
        <f>IF('Historique ajusté'!C78="","",'Historique ajusté'!C78/MAX('Historique ajusté'!C$6:C78)-1)</f>
        <v/>
      </c>
      <c r="W78" s="34">
        <f>IF('Historique ajusté'!D78="","",'Historique ajusté'!D78/MAX('Historique ajusté'!D$6:D78)-1)</f>
        <v/>
      </c>
      <c r="X78" s="34">
        <f>IF('Historique ajusté'!E78="","",'Historique ajusté'!E78/MAX('Historique ajusté'!E$6:E78)-1)</f>
        <v/>
      </c>
      <c r="Y78" s="34">
        <f>IF('Historique ajusté'!F78="","",'Historique ajusté'!F78/MAX('Historique ajusté'!F$6:F78)-1)</f>
        <v/>
      </c>
      <c r="Z78" s="34">
        <f>IF('Historique ajusté'!G78="","",'Historique ajusté'!G78/MAX('Historique ajusté'!G$6:G78)-1)</f>
        <v/>
      </c>
      <c r="AA78" s="34">
        <f>IF('Historique ajusté'!H78="","",'Historique ajusté'!H78/MAX('Historique ajusté'!H$6:H78)-1)</f>
        <v/>
      </c>
      <c r="AB78" s="34">
        <f>IF('Historique ajusté'!I78="","",'Historique ajusté'!I78/MAX('Historique ajusté'!I$6:I78)-1)</f>
        <v/>
      </c>
      <c r="AC78" s="34">
        <f>IF('Historique ajusté'!J78="","",'Historique ajusté'!J78/MAX('Historique ajusté'!J$6:J78)-1)</f>
        <v/>
      </c>
      <c r="AD78" s="34">
        <f>IF('Historique ajusté'!K78="","",'Historique ajusté'!K78/MAX('Historique ajusté'!K$6:K78)-1)</f>
        <v/>
      </c>
      <c r="AE78" s="34">
        <f>IF('Historique ajusté'!L78="","",'Historique ajusté'!L78/MAX('Historique ajusté'!L$6:L78)-1)</f>
        <v/>
      </c>
      <c r="AF78" s="34">
        <f>IF('Historique ajusté'!M78="","",'Historique ajusté'!M78/MAX('Historique ajusté'!M$6:M78)-1)</f>
        <v/>
      </c>
      <c r="AG78" s="34">
        <f>IF('Historique ajusté'!N78="","",'Historique ajusté'!N78/MAX('Historique ajusté'!N$6:N78)-1)</f>
        <v/>
      </c>
      <c r="AH78" s="34">
        <f>IF('Historique ajusté'!O78="","",'Historique ajusté'!O78/MAX('Historique ajusté'!O$6:O78)-1)</f>
        <v/>
      </c>
      <c r="AI78" s="34">
        <f>IF('Historique ajusté'!P78="","",'Historique ajusté'!P78/MAX('Historique ajusté'!P$6:P78)-1)</f>
        <v/>
      </c>
      <c r="AJ78" s="34">
        <f>IF(Composites!L78="","",Composites!L78/MAX(Composites!L$6:L78)-1)</f>
        <v/>
      </c>
      <c r="AK78" s="34">
        <f>IF(Composites!M78="","",Composites!M78/MAX(Composites!M$6:M78)-1)</f>
        <v/>
      </c>
      <c r="AL78" s="34">
        <f>IF(Composites!N78="","",Composites!N78/MAX(Composites!N$6:N78)-1)</f>
        <v/>
      </c>
      <c r="AM78" s="34">
        <f>IF(Composites!O78="","",Composites!O78/MAX(Composites!O$6:O78)-1)</f>
        <v/>
      </c>
      <c r="AN78" s="34">
        <f>IF(Composites!P78="","",Composites!P78/MAX(Composites!P$6:P78)-1)</f>
        <v/>
      </c>
    </row>
    <row r="79">
      <c r="B79" s="32">
        <f>'Historique ajusté'!B79</f>
        <v/>
      </c>
      <c r="C79" s="34">
        <f>IF(OR('Historique ajusté'!C79="",ROW()-Fenetre&lt;6),"",IF(INDEX('Historique ajusté'!C:C,ROW()-Fenetre)="","",'Historique ajusté'!C79/INDEX('Historique ajusté'!C:C,ROW()-Fenetre)-1))</f>
        <v/>
      </c>
      <c r="D79" s="34">
        <f>IF(OR('Historique ajusté'!D79="",ROW()-Fenetre&lt;6),"",IF(INDEX('Historique ajusté'!D:D,ROW()-Fenetre)="","",'Historique ajusté'!D79/INDEX('Historique ajusté'!D:D,ROW()-Fenetre)-1))</f>
        <v/>
      </c>
      <c r="E79" s="34">
        <f>IF(OR('Historique ajusté'!E79="",ROW()-Fenetre&lt;6),"",IF(INDEX('Historique ajusté'!E:E,ROW()-Fenetre)="","",'Historique ajusté'!E79/INDEX('Historique ajusté'!E:E,ROW()-Fenetre)-1))</f>
        <v/>
      </c>
      <c r="F79" s="34">
        <f>IF(OR('Historique ajusté'!F79="",ROW()-Fenetre&lt;6),"",IF(INDEX('Historique ajusté'!F:F,ROW()-Fenetre)="","",'Historique ajusté'!F79/INDEX('Historique ajusté'!F:F,ROW()-Fenetre)-1))</f>
        <v/>
      </c>
      <c r="G79" s="34">
        <f>IF(OR('Historique ajusté'!G79="",ROW()-Fenetre&lt;6),"",IF(INDEX('Historique ajusté'!G:G,ROW()-Fenetre)="","",'Historique ajusté'!G79/INDEX('Historique ajusté'!G:G,ROW()-Fenetre)-1))</f>
        <v/>
      </c>
      <c r="H79" s="34">
        <f>IF(OR('Historique ajusté'!H79="",ROW()-Fenetre&lt;6),"",IF(INDEX('Historique ajusté'!H:H,ROW()-Fenetre)="","",'Historique ajusté'!H79/INDEX('Historique ajusté'!H:H,ROW()-Fenetre)-1))</f>
        <v/>
      </c>
      <c r="I79" s="34">
        <f>IF(OR('Historique ajusté'!I79="",ROW()-Fenetre&lt;6),"",IF(INDEX('Historique ajusté'!I:I,ROW()-Fenetre)="","",'Historique ajusté'!I79/INDEX('Historique ajusté'!I:I,ROW()-Fenetre)-1))</f>
        <v/>
      </c>
      <c r="J79" s="34">
        <f>IF(OR('Historique ajusté'!J79="",ROW()-Fenetre&lt;6),"",IF(INDEX('Historique ajusté'!J:J,ROW()-Fenetre)="","",'Historique ajusté'!J79/INDEX('Historique ajusté'!J:J,ROW()-Fenetre)-1))</f>
        <v/>
      </c>
      <c r="K79" s="34">
        <f>IF(OR('Historique ajusté'!K79="",ROW()-Fenetre&lt;6),"",IF(INDEX('Historique ajusté'!K:K,ROW()-Fenetre)="","",'Historique ajusté'!K79/INDEX('Historique ajusté'!K:K,ROW()-Fenetre)-1))</f>
        <v/>
      </c>
      <c r="L79" s="34">
        <f>IF(OR('Historique ajusté'!L79="",ROW()-Fenetre&lt;6),"",IF(INDEX('Historique ajusté'!L:L,ROW()-Fenetre)="","",'Historique ajusté'!L79/INDEX('Historique ajusté'!L:L,ROW()-Fenetre)-1))</f>
        <v/>
      </c>
      <c r="M79" s="34">
        <f>IF(OR('Historique ajusté'!M79="",ROW()-Fenetre&lt;6),"",IF(INDEX('Historique ajusté'!M:M,ROW()-Fenetre)="","",'Historique ajusté'!M79/INDEX('Historique ajusté'!M:M,ROW()-Fenetre)-1))</f>
        <v/>
      </c>
      <c r="N79" s="34">
        <f>IF(OR('Historique ajusté'!N79="",ROW()-Fenetre&lt;6),"",IF(INDEX('Historique ajusté'!N:N,ROW()-Fenetre)="","",'Historique ajusté'!N79/INDEX('Historique ajusté'!N:N,ROW()-Fenetre)-1))</f>
        <v/>
      </c>
      <c r="O79" s="34">
        <f>IF(OR('Historique ajusté'!O79="",ROW()-Fenetre&lt;6),"",IF(INDEX('Historique ajusté'!O:O,ROW()-Fenetre)="","",'Historique ajusté'!O79/INDEX('Historique ajusté'!O:O,ROW()-Fenetre)-1))</f>
        <v/>
      </c>
      <c r="P79" s="34">
        <f>IF(OR('Historique ajusté'!P79="",ROW()-Fenetre&lt;6),"",IF(INDEX('Historique ajusté'!P:P,ROW()-Fenetre)="","",'Historique ajusté'!P79/INDEX('Historique ajusté'!P:P,ROW()-Fenetre)-1))</f>
        <v/>
      </c>
      <c r="Q79" s="34">
        <f>IF(OR(Composites!L79="",ROW()-Fenetre&lt;6),"",IF(INDEX(Composites!L:L,ROW()-Fenetre)="","",Composites!L79/INDEX(Composites!L:L,ROW()-Fenetre)-1))</f>
        <v/>
      </c>
      <c r="R79" s="34">
        <f>IF(OR(Composites!M79="",ROW()-Fenetre&lt;6),"",IF(INDEX(Composites!M:M,ROW()-Fenetre)="","",Composites!M79/INDEX(Composites!M:M,ROW()-Fenetre)-1))</f>
        <v/>
      </c>
      <c r="S79" s="34">
        <f>IF(OR(Composites!N79="",ROW()-Fenetre&lt;6),"",IF(INDEX(Composites!N:N,ROW()-Fenetre)="","",Composites!N79/INDEX(Composites!N:N,ROW()-Fenetre)-1))</f>
        <v/>
      </c>
      <c r="T79" s="34">
        <f>IF(OR(Composites!O79="",ROW()-Fenetre&lt;6),"",IF(INDEX(Composites!O:O,ROW()-Fenetre)="","",Composites!O79/INDEX(Composites!O:O,ROW()-Fenetre)-1))</f>
        <v/>
      </c>
      <c r="U79" s="34">
        <f>IF(OR(Composites!P79="",ROW()-Fenetre&lt;6),"",IF(INDEX(Composites!P:P,ROW()-Fenetre)="","",Composites!P79/INDEX(Composites!P:P,ROW()-Fenetre)-1))</f>
        <v/>
      </c>
      <c r="V79" s="34">
        <f>IF('Historique ajusté'!C79="","",'Historique ajusté'!C79/MAX('Historique ajusté'!C$6:C79)-1)</f>
        <v/>
      </c>
      <c r="W79" s="34">
        <f>IF('Historique ajusté'!D79="","",'Historique ajusté'!D79/MAX('Historique ajusté'!D$6:D79)-1)</f>
        <v/>
      </c>
      <c r="X79" s="34">
        <f>IF('Historique ajusté'!E79="","",'Historique ajusté'!E79/MAX('Historique ajusté'!E$6:E79)-1)</f>
        <v/>
      </c>
      <c r="Y79" s="34">
        <f>IF('Historique ajusté'!F79="","",'Historique ajusté'!F79/MAX('Historique ajusté'!F$6:F79)-1)</f>
        <v/>
      </c>
      <c r="Z79" s="34">
        <f>IF('Historique ajusté'!G79="","",'Historique ajusté'!G79/MAX('Historique ajusté'!G$6:G79)-1)</f>
        <v/>
      </c>
      <c r="AA79" s="34">
        <f>IF('Historique ajusté'!H79="","",'Historique ajusté'!H79/MAX('Historique ajusté'!H$6:H79)-1)</f>
        <v/>
      </c>
      <c r="AB79" s="34">
        <f>IF('Historique ajusté'!I79="","",'Historique ajusté'!I79/MAX('Historique ajusté'!I$6:I79)-1)</f>
        <v/>
      </c>
      <c r="AC79" s="34">
        <f>IF('Historique ajusté'!J79="","",'Historique ajusté'!J79/MAX('Historique ajusté'!J$6:J79)-1)</f>
        <v/>
      </c>
      <c r="AD79" s="34">
        <f>IF('Historique ajusté'!K79="","",'Historique ajusté'!K79/MAX('Historique ajusté'!K$6:K79)-1)</f>
        <v/>
      </c>
      <c r="AE79" s="34">
        <f>IF('Historique ajusté'!L79="","",'Historique ajusté'!L79/MAX('Historique ajusté'!L$6:L79)-1)</f>
        <v/>
      </c>
      <c r="AF79" s="34">
        <f>IF('Historique ajusté'!M79="","",'Historique ajusté'!M79/MAX('Historique ajusté'!M$6:M79)-1)</f>
        <v/>
      </c>
      <c r="AG79" s="34">
        <f>IF('Historique ajusté'!N79="","",'Historique ajusté'!N79/MAX('Historique ajusté'!N$6:N79)-1)</f>
        <v/>
      </c>
      <c r="AH79" s="34">
        <f>IF('Historique ajusté'!O79="","",'Historique ajusté'!O79/MAX('Historique ajusté'!O$6:O79)-1)</f>
        <v/>
      </c>
      <c r="AI79" s="34">
        <f>IF('Historique ajusté'!P79="","",'Historique ajusté'!P79/MAX('Historique ajusté'!P$6:P79)-1)</f>
        <v/>
      </c>
      <c r="AJ79" s="34">
        <f>IF(Composites!L79="","",Composites!L79/MAX(Composites!L$6:L79)-1)</f>
        <v/>
      </c>
      <c r="AK79" s="34">
        <f>IF(Composites!M79="","",Composites!M79/MAX(Composites!M$6:M79)-1)</f>
        <v/>
      </c>
      <c r="AL79" s="34">
        <f>IF(Composites!N79="","",Composites!N79/MAX(Composites!N$6:N79)-1)</f>
        <v/>
      </c>
      <c r="AM79" s="34">
        <f>IF(Composites!O79="","",Composites!O79/MAX(Composites!O$6:O79)-1)</f>
        <v/>
      </c>
      <c r="AN79" s="34">
        <f>IF(Composites!P79="","",Composites!P79/MAX(Composites!P$6:P79)-1)</f>
        <v/>
      </c>
    </row>
    <row r="80">
      <c r="B80" s="32">
        <f>'Historique ajusté'!B80</f>
        <v/>
      </c>
      <c r="C80" s="34">
        <f>IF(OR('Historique ajusté'!C80="",ROW()-Fenetre&lt;6),"",IF(INDEX('Historique ajusté'!C:C,ROW()-Fenetre)="","",'Historique ajusté'!C80/INDEX('Historique ajusté'!C:C,ROW()-Fenetre)-1))</f>
        <v/>
      </c>
      <c r="D80" s="34">
        <f>IF(OR('Historique ajusté'!D80="",ROW()-Fenetre&lt;6),"",IF(INDEX('Historique ajusté'!D:D,ROW()-Fenetre)="","",'Historique ajusté'!D80/INDEX('Historique ajusté'!D:D,ROW()-Fenetre)-1))</f>
        <v/>
      </c>
      <c r="E80" s="34">
        <f>IF(OR('Historique ajusté'!E80="",ROW()-Fenetre&lt;6),"",IF(INDEX('Historique ajusté'!E:E,ROW()-Fenetre)="","",'Historique ajusté'!E80/INDEX('Historique ajusté'!E:E,ROW()-Fenetre)-1))</f>
        <v/>
      </c>
      <c r="F80" s="34">
        <f>IF(OR('Historique ajusté'!F80="",ROW()-Fenetre&lt;6),"",IF(INDEX('Historique ajusté'!F:F,ROW()-Fenetre)="","",'Historique ajusté'!F80/INDEX('Historique ajusté'!F:F,ROW()-Fenetre)-1))</f>
        <v/>
      </c>
      <c r="G80" s="34">
        <f>IF(OR('Historique ajusté'!G80="",ROW()-Fenetre&lt;6),"",IF(INDEX('Historique ajusté'!G:G,ROW()-Fenetre)="","",'Historique ajusté'!G80/INDEX('Historique ajusté'!G:G,ROW()-Fenetre)-1))</f>
        <v/>
      </c>
      <c r="H80" s="34">
        <f>IF(OR('Historique ajusté'!H80="",ROW()-Fenetre&lt;6),"",IF(INDEX('Historique ajusté'!H:H,ROW()-Fenetre)="","",'Historique ajusté'!H80/INDEX('Historique ajusté'!H:H,ROW()-Fenetre)-1))</f>
        <v/>
      </c>
      <c r="I80" s="34">
        <f>IF(OR('Historique ajusté'!I80="",ROW()-Fenetre&lt;6),"",IF(INDEX('Historique ajusté'!I:I,ROW()-Fenetre)="","",'Historique ajusté'!I80/INDEX('Historique ajusté'!I:I,ROW()-Fenetre)-1))</f>
        <v/>
      </c>
      <c r="J80" s="34">
        <f>IF(OR('Historique ajusté'!J80="",ROW()-Fenetre&lt;6),"",IF(INDEX('Historique ajusté'!J:J,ROW()-Fenetre)="","",'Historique ajusté'!J80/INDEX('Historique ajusté'!J:J,ROW()-Fenetre)-1))</f>
        <v/>
      </c>
      <c r="K80" s="34">
        <f>IF(OR('Historique ajusté'!K80="",ROW()-Fenetre&lt;6),"",IF(INDEX('Historique ajusté'!K:K,ROW()-Fenetre)="","",'Historique ajusté'!K80/INDEX('Historique ajusté'!K:K,ROW()-Fenetre)-1))</f>
        <v/>
      </c>
      <c r="L80" s="34">
        <f>IF(OR('Historique ajusté'!L80="",ROW()-Fenetre&lt;6),"",IF(INDEX('Historique ajusté'!L:L,ROW()-Fenetre)="","",'Historique ajusté'!L80/INDEX('Historique ajusté'!L:L,ROW()-Fenetre)-1))</f>
        <v/>
      </c>
      <c r="M80" s="34">
        <f>IF(OR('Historique ajusté'!M80="",ROW()-Fenetre&lt;6),"",IF(INDEX('Historique ajusté'!M:M,ROW()-Fenetre)="","",'Historique ajusté'!M80/INDEX('Historique ajusté'!M:M,ROW()-Fenetre)-1))</f>
        <v/>
      </c>
      <c r="N80" s="34">
        <f>IF(OR('Historique ajusté'!N80="",ROW()-Fenetre&lt;6),"",IF(INDEX('Historique ajusté'!N:N,ROW()-Fenetre)="","",'Historique ajusté'!N80/INDEX('Historique ajusté'!N:N,ROW()-Fenetre)-1))</f>
        <v/>
      </c>
      <c r="O80" s="34">
        <f>IF(OR('Historique ajusté'!O80="",ROW()-Fenetre&lt;6),"",IF(INDEX('Historique ajusté'!O:O,ROW()-Fenetre)="","",'Historique ajusté'!O80/INDEX('Historique ajusté'!O:O,ROW()-Fenetre)-1))</f>
        <v/>
      </c>
      <c r="P80" s="34">
        <f>IF(OR('Historique ajusté'!P80="",ROW()-Fenetre&lt;6),"",IF(INDEX('Historique ajusté'!P:P,ROW()-Fenetre)="","",'Historique ajusté'!P80/INDEX('Historique ajusté'!P:P,ROW()-Fenetre)-1))</f>
        <v/>
      </c>
      <c r="Q80" s="34">
        <f>IF(OR(Composites!L80="",ROW()-Fenetre&lt;6),"",IF(INDEX(Composites!L:L,ROW()-Fenetre)="","",Composites!L80/INDEX(Composites!L:L,ROW()-Fenetre)-1))</f>
        <v/>
      </c>
      <c r="R80" s="34">
        <f>IF(OR(Composites!M80="",ROW()-Fenetre&lt;6),"",IF(INDEX(Composites!M:M,ROW()-Fenetre)="","",Composites!M80/INDEX(Composites!M:M,ROW()-Fenetre)-1))</f>
        <v/>
      </c>
      <c r="S80" s="34">
        <f>IF(OR(Composites!N80="",ROW()-Fenetre&lt;6),"",IF(INDEX(Composites!N:N,ROW()-Fenetre)="","",Composites!N80/INDEX(Composites!N:N,ROW()-Fenetre)-1))</f>
        <v/>
      </c>
      <c r="T80" s="34">
        <f>IF(OR(Composites!O80="",ROW()-Fenetre&lt;6),"",IF(INDEX(Composites!O:O,ROW()-Fenetre)="","",Composites!O80/INDEX(Composites!O:O,ROW()-Fenetre)-1))</f>
        <v/>
      </c>
      <c r="U80" s="34">
        <f>IF(OR(Composites!P80="",ROW()-Fenetre&lt;6),"",IF(INDEX(Composites!P:P,ROW()-Fenetre)="","",Composites!P80/INDEX(Composites!P:P,ROW()-Fenetre)-1))</f>
        <v/>
      </c>
      <c r="V80" s="34">
        <f>IF('Historique ajusté'!C80="","",'Historique ajusté'!C80/MAX('Historique ajusté'!C$6:C80)-1)</f>
        <v/>
      </c>
      <c r="W80" s="34">
        <f>IF('Historique ajusté'!D80="","",'Historique ajusté'!D80/MAX('Historique ajusté'!D$6:D80)-1)</f>
        <v/>
      </c>
      <c r="X80" s="34">
        <f>IF('Historique ajusté'!E80="","",'Historique ajusté'!E80/MAX('Historique ajusté'!E$6:E80)-1)</f>
        <v/>
      </c>
      <c r="Y80" s="34">
        <f>IF('Historique ajusté'!F80="","",'Historique ajusté'!F80/MAX('Historique ajusté'!F$6:F80)-1)</f>
        <v/>
      </c>
      <c r="Z80" s="34">
        <f>IF('Historique ajusté'!G80="","",'Historique ajusté'!G80/MAX('Historique ajusté'!G$6:G80)-1)</f>
        <v/>
      </c>
      <c r="AA80" s="34">
        <f>IF('Historique ajusté'!H80="","",'Historique ajusté'!H80/MAX('Historique ajusté'!H$6:H80)-1)</f>
        <v/>
      </c>
      <c r="AB80" s="34">
        <f>IF('Historique ajusté'!I80="","",'Historique ajusté'!I80/MAX('Historique ajusté'!I$6:I80)-1)</f>
        <v/>
      </c>
      <c r="AC80" s="34">
        <f>IF('Historique ajusté'!J80="","",'Historique ajusté'!J80/MAX('Historique ajusté'!J$6:J80)-1)</f>
        <v/>
      </c>
      <c r="AD80" s="34">
        <f>IF('Historique ajusté'!K80="","",'Historique ajusté'!K80/MAX('Historique ajusté'!K$6:K80)-1)</f>
        <v/>
      </c>
      <c r="AE80" s="34">
        <f>IF('Historique ajusté'!L80="","",'Historique ajusté'!L80/MAX('Historique ajusté'!L$6:L80)-1)</f>
        <v/>
      </c>
      <c r="AF80" s="34">
        <f>IF('Historique ajusté'!M80="","",'Historique ajusté'!M80/MAX('Historique ajusté'!M$6:M80)-1)</f>
        <v/>
      </c>
      <c r="AG80" s="34">
        <f>IF('Historique ajusté'!N80="","",'Historique ajusté'!N80/MAX('Historique ajusté'!N$6:N80)-1)</f>
        <v/>
      </c>
      <c r="AH80" s="34">
        <f>IF('Historique ajusté'!O80="","",'Historique ajusté'!O80/MAX('Historique ajusté'!O$6:O80)-1)</f>
        <v/>
      </c>
      <c r="AI80" s="34">
        <f>IF('Historique ajusté'!P80="","",'Historique ajusté'!P80/MAX('Historique ajusté'!P$6:P80)-1)</f>
        <v/>
      </c>
      <c r="AJ80" s="34">
        <f>IF(Composites!L80="","",Composites!L80/MAX(Composites!L$6:L80)-1)</f>
        <v/>
      </c>
      <c r="AK80" s="34">
        <f>IF(Composites!M80="","",Composites!M80/MAX(Composites!M$6:M80)-1)</f>
        <v/>
      </c>
      <c r="AL80" s="34">
        <f>IF(Composites!N80="","",Composites!N80/MAX(Composites!N$6:N80)-1)</f>
        <v/>
      </c>
      <c r="AM80" s="34">
        <f>IF(Composites!O80="","",Composites!O80/MAX(Composites!O$6:O80)-1)</f>
        <v/>
      </c>
      <c r="AN80" s="34">
        <f>IF(Composites!P80="","",Composites!P80/MAX(Composites!P$6:P80)-1)</f>
        <v/>
      </c>
    </row>
    <row r="81">
      <c r="B81" s="32">
        <f>'Historique ajusté'!B81</f>
        <v/>
      </c>
      <c r="C81" s="34">
        <f>IF(OR('Historique ajusté'!C81="",ROW()-Fenetre&lt;6),"",IF(INDEX('Historique ajusté'!C:C,ROW()-Fenetre)="","",'Historique ajusté'!C81/INDEX('Historique ajusté'!C:C,ROW()-Fenetre)-1))</f>
        <v/>
      </c>
      <c r="D81" s="34">
        <f>IF(OR('Historique ajusté'!D81="",ROW()-Fenetre&lt;6),"",IF(INDEX('Historique ajusté'!D:D,ROW()-Fenetre)="","",'Historique ajusté'!D81/INDEX('Historique ajusté'!D:D,ROW()-Fenetre)-1))</f>
        <v/>
      </c>
      <c r="E81" s="34">
        <f>IF(OR('Historique ajusté'!E81="",ROW()-Fenetre&lt;6),"",IF(INDEX('Historique ajusté'!E:E,ROW()-Fenetre)="","",'Historique ajusté'!E81/INDEX('Historique ajusté'!E:E,ROW()-Fenetre)-1))</f>
        <v/>
      </c>
      <c r="F81" s="34">
        <f>IF(OR('Historique ajusté'!F81="",ROW()-Fenetre&lt;6),"",IF(INDEX('Historique ajusté'!F:F,ROW()-Fenetre)="","",'Historique ajusté'!F81/INDEX('Historique ajusté'!F:F,ROW()-Fenetre)-1))</f>
        <v/>
      </c>
      <c r="G81" s="34">
        <f>IF(OR('Historique ajusté'!G81="",ROW()-Fenetre&lt;6),"",IF(INDEX('Historique ajusté'!G:G,ROW()-Fenetre)="","",'Historique ajusté'!G81/INDEX('Historique ajusté'!G:G,ROW()-Fenetre)-1))</f>
        <v/>
      </c>
      <c r="H81" s="34">
        <f>IF(OR('Historique ajusté'!H81="",ROW()-Fenetre&lt;6),"",IF(INDEX('Historique ajusté'!H:H,ROW()-Fenetre)="","",'Historique ajusté'!H81/INDEX('Historique ajusté'!H:H,ROW()-Fenetre)-1))</f>
        <v/>
      </c>
      <c r="I81" s="34">
        <f>IF(OR('Historique ajusté'!I81="",ROW()-Fenetre&lt;6),"",IF(INDEX('Historique ajusté'!I:I,ROW()-Fenetre)="","",'Historique ajusté'!I81/INDEX('Historique ajusté'!I:I,ROW()-Fenetre)-1))</f>
        <v/>
      </c>
      <c r="J81" s="34">
        <f>IF(OR('Historique ajusté'!J81="",ROW()-Fenetre&lt;6),"",IF(INDEX('Historique ajusté'!J:J,ROW()-Fenetre)="","",'Historique ajusté'!J81/INDEX('Historique ajusté'!J:J,ROW()-Fenetre)-1))</f>
        <v/>
      </c>
      <c r="K81" s="34">
        <f>IF(OR('Historique ajusté'!K81="",ROW()-Fenetre&lt;6),"",IF(INDEX('Historique ajusté'!K:K,ROW()-Fenetre)="","",'Historique ajusté'!K81/INDEX('Historique ajusté'!K:K,ROW()-Fenetre)-1))</f>
        <v/>
      </c>
      <c r="L81" s="34">
        <f>IF(OR('Historique ajusté'!L81="",ROW()-Fenetre&lt;6),"",IF(INDEX('Historique ajusté'!L:L,ROW()-Fenetre)="","",'Historique ajusté'!L81/INDEX('Historique ajusté'!L:L,ROW()-Fenetre)-1))</f>
        <v/>
      </c>
      <c r="M81" s="34">
        <f>IF(OR('Historique ajusté'!M81="",ROW()-Fenetre&lt;6),"",IF(INDEX('Historique ajusté'!M:M,ROW()-Fenetre)="","",'Historique ajusté'!M81/INDEX('Historique ajusté'!M:M,ROW()-Fenetre)-1))</f>
        <v/>
      </c>
      <c r="N81" s="34">
        <f>IF(OR('Historique ajusté'!N81="",ROW()-Fenetre&lt;6),"",IF(INDEX('Historique ajusté'!N:N,ROW()-Fenetre)="","",'Historique ajusté'!N81/INDEX('Historique ajusté'!N:N,ROW()-Fenetre)-1))</f>
        <v/>
      </c>
      <c r="O81" s="34">
        <f>IF(OR('Historique ajusté'!O81="",ROW()-Fenetre&lt;6),"",IF(INDEX('Historique ajusté'!O:O,ROW()-Fenetre)="","",'Historique ajusté'!O81/INDEX('Historique ajusté'!O:O,ROW()-Fenetre)-1))</f>
        <v/>
      </c>
      <c r="P81" s="34">
        <f>IF(OR('Historique ajusté'!P81="",ROW()-Fenetre&lt;6),"",IF(INDEX('Historique ajusté'!P:P,ROW()-Fenetre)="","",'Historique ajusté'!P81/INDEX('Historique ajusté'!P:P,ROW()-Fenetre)-1))</f>
        <v/>
      </c>
      <c r="Q81" s="34">
        <f>IF(OR(Composites!L81="",ROW()-Fenetre&lt;6),"",IF(INDEX(Composites!L:L,ROW()-Fenetre)="","",Composites!L81/INDEX(Composites!L:L,ROW()-Fenetre)-1))</f>
        <v/>
      </c>
      <c r="R81" s="34">
        <f>IF(OR(Composites!M81="",ROW()-Fenetre&lt;6),"",IF(INDEX(Composites!M:M,ROW()-Fenetre)="","",Composites!M81/INDEX(Composites!M:M,ROW()-Fenetre)-1))</f>
        <v/>
      </c>
      <c r="S81" s="34">
        <f>IF(OR(Composites!N81="",ROW()-Fenetre&lt;6),"",IF(INDEX(Composites!N:N,ROW()-Fenetre)="","",Composites!N81/INDEX(Composites!N:N,ROW()-Fenetre)-1))</f>
        <v/>
      </c>
      <c r="T81" s="34">
        <f>IF(OR(Composites!O81="",ROW()-Fenetre&lt;6),"",IF(INDEX(Composites!O:O,ROW()-Fenetre)="","",Composites!O81/INDEX(Composites!O:O,ROW()-Fenetre)-1))</f>
        <v/>
      </c>
      <c r="U81" s="34">
        <f>IF(OR(Composites!P81="",ROW()-Fenetre&lt;6),"",IF(INDEX(Composites!P:P,ROW()-Fenetre)="","",Composites!P81/INDEX(Composites!P:P,ROW()-Fenetre)-1))</f>
        <v/>
      </c>
      <c r="V81" s="34">
        <f>IF('Historique ajusté'!C81="","",'Historique ajusté'!C81/MAX('Historique ajusté'!C$6:C81)-1)</f>
        <v/>
      </c>
      <c r="W81" s="34">
        <f>IF('Historique ajusté'!D81="","",'Historique ajusté'!D81/MAX('Historique ajusté'!D$6:D81)-1)</f>
        <v/>
      </c>
      <c r="X81" s="34">
        <f>IF('Historique ajusté'!E81="","",'Historique ajusté'!E81/MAX('Historique ajusté'!E$6:E81)-1)</f>
        <v/>
      </c>
      <c r="Y81" s="34">
        <f>IF('Historique ajusté'!F81="","",'Historique ajusté'!F81/MAX('Historique ajusté'!F$6:F81)-1)</f>
        <v/>
      </c>
      <c r="Z81" s="34">
        <f>IF('Historique ajusté'!G81="","",'Historique ajusté'!G81/MAX('Historique ajusté'!G$6:G81)-1)</f>
        <v/>
      </c>
      <c r="AA81" s="34">
        <f>IF('Historique ajusté'!H81="","",'Historique ajusté'!H81/MAX('Historique ajusté'!H$6:H81)-1)</f>
        <v/>
      </c>
      <c r="AB81" s="34">
        <f>IF('Historique ajusté'!I81="","",'Historique ajusté'!I81/MAX('Historique ajusté'!I$6:I81)-1)</f>
        <v/>
      </c>
      <c r="AC81" s="34">
        <f>IF('Historique ajusté'!J81="","",'Historique ajusté'!J81/MAX('Historique ajusté'!J$6:J81)-1)</f>
        <v/>
      </c>
      <c r="AD81" s="34">
        <f>IF('Historique ajusté'!K81="","",'Historique ajusté'!K81/MAX('Historique ajusté'!K$6:K81)-1)</f>
        <v/>
      </c>
      <c r="AE81" s="34">
        <f>IF('Historique ajusté'!L81="","",'Historique ajusté'!L81/MAX('Historique ajusté'!L$6:L81)-1)</f>
        <v/>
      </c>
      <c r="AF81" s="34">
        <f>IF('Historique ajusté'!M81="","",'Historique ajusté'!M81/MAX('Historique ajusté'!M$6:M81)-1)</f>
        <v/>
      </c>
      <c r="AG81" s="34">
        <f>IF('Historique ajusté'!N81="","",'Historique ajusté'!N81/MAX('Historique ajusté'!N$6:N81)-1)</f>
        <v/>
      </c>
      <c r="AH81" s="34">
        <f>IF('Historique ajusté'!O81="","",'Historique ajusté'!O81/MAX('Historique ajusté'!O$6:O81)-1)</f>
        <v/>
      </c>
      <c r="AI81" s="34">
        <f>IF('Historique ajusté'!P81="","",'Historique ajusté'!P81/MAX('Historique ajusté'!P$6:P81)-1)</f>
        <v/>
      </c>
      <c r="AJ81" s="34">
        <f>IF(Composites!L81="","",Composites!L81/MAX(Composites!L$6:L81)-1)</f>
        <v/>
      </c>
      <c r="AK81" s="34">
        <f>IF(Composites!M81="","",Composites!M81/MAX(Composites!M$6:M81)-1)</f>
        <v/>
      </c>
      <c r="AL81" s="34">
        <f>IF(Composites!N81="","",Composites!N81/MAX(Composites!N$6:N81)-1)</f>
        <v/>
      </c>
      <c r="AM81" s="34">
        <f>IF(Composites!O81="","",Composites!O81/MAX(Composites!O$6:O81)-1)</f>
        <v/>
      </c>
      <c r="AN81" s="34">
        <f>IF(Composites!P81="","",Composites!P81/MAX(Composites!P$6:P81)-1)</f>
        <v/>
      </c>
    </row>
    <row r="82">
      <c r="B82" s="32">
        <f>'Historique ajusté'!B82</f>
        <v/>
      </c>
      <c r="C82" s="34">
        <f>IF(OR('Historique ajusté'!C82="",ROW()-Fenetre&lt;6),"",IF(INDEX('Historique ajusté'!C:C,ROW()-Fenetre)="","",'Historique ajusté'!C82/INDEX('Historique ajusté'!C:C,ROW()-Fenetre)-1))</f>
        <v/>
      </c>
      <c r="D82" s="34">
        <f>IF(OR('Historique ajusté'!D82="",ROW()-Fenetre&lt;6),"",IF(INDEX('Historique ajusté'!D:D,ROW()-Fenetre)="","",'Historique ajusté'!D82/INDEX('Historique ajusté'!D:D,ROW()-Fenetre)-1))</f>
        <v/>
      </c>
      <c r="E82" s="34">
        <f>IF(OR('Historique ajusté'!E82="",ROW()-Fenetre&lt;6),"",IF(INDEX('Historique ajusté'!E:E,ROW()-Fenetre)="","",'Historique ajusté'!E82/INDEX('Historique ajusté'!E:E,ROW()-Fenetre)-1))</f>
        <v/>
      </c>
      <c r="F82" s="34">
        <f>IF(OR('Historique ajusté'!F82="",ROW()-Fenetre&lt;6),"",IF(INDEX('Historique ajusté'!F:F,ROW()-Fenetre)="","",'Historique ajusté'!F82/INDEX('Historique ajusté'!F:F,ROW()-Fenetre)-1))</f>
        <v/>
      </c>
      <c r="G82" s="34">
        <f>IF(OR('Historique ajusté'!G82="",ROW()-Fenetre&lt;6),"",IF(INDEX('Historique ajusté'!G:G,ROW()-Fenetre)="","",'Historique ajusté'!G82/INDEX('Historique ajusté'!G:G,ROW()-Fenetre)-1))</f>
        <v/>
      </c>
      <c r="H82" s="34">
        <f>IF(OR('Historique ajusté'!H82="",ROW()-Fenetre&lt;6),"",IF(INDEX('Historique ajusté'!H:H,ROW()-Fenetre)="","",'Historique ajusté'!H82/INDEX('Historique ajusté'!H:H,ROW()-Fenetre)-1))</f>
        <v/>
      </c>
      <c r="I82" s="34">
        <f>IF(OR('Historique ajusté'!I82="",ROW()-Fenetre&lt;6),"",IF(INDEX('Historique ajusté'!I:I,ROW()-Fenetre)="","",'Historique ajusté'!I82/INDEX('Historique ajusté'!I:I,ROW()-Fenetre)-1))</f>
        <v/>
      </c>
      <c r="J82" s="34">
        <f>IF(OR('Historique ajusté'!J82="",ROW()-Fenetre&lt;6),"",IF(INDEX('Historique ajusté'!J:J,ROW()-Fenetre)="","",'Historique ajusté'!J82/INDEX('Historique ajusté'!J:J,ROW()-Fenetre)-1))</f>
        <v/>
      </c>
      <c r="K82" s="34">
        <f>IF(OR('Historique ajusté'!K82="",ROW()-Fenetre&lt;6),"",IF(INDEX('Historique ajusté'!K:K,ROW()-Fenetre)="","",'Historique ajusté'!K82/INDEX('Historique ajusté'!K:K,ROW()-Fenetre)-1))</f>
        <v/>
      </c>
      <c r="L82" s="34">
        <f>IF(OR('Historique ajusté'!L82="",ROW()-Fenetre&lt;6),"",IF(INDEX('Historique ajusté'!L:L,ROW()-Fenetre)="","",'Historique ajusté'!L82/INDEX('Historique ajusté'!L:L,ROW()-Fenetre)-1))</f>
        <v/>
      </c>
      <c r="M82" s="34">
        <f>IF(OR('Historique ajusté'!M82="",ROW()-Fenetre&lt;6),"",IF(INDEX('Historique ajusté'!M:M,ROW()-Fenetre)="","",'Historique ajusté'!M82/INDEX('Historique ajusté'!M:M,ROW()-Fenetre)-1))</f>
        <v/>
      </c>
      <c r="N82" s="34">
        <f>IF(OR('Historique ajusté'!N82="",ROW()-Fenetre&lt;6),"",IF(INDEX('Historique ajusté'!N:N,ROW()-Fenetre)="","",'Historique ajusté'!N82/INDEX('Historique ajusté'!N:N,ROW()-Fenetre)-1))</f>
        <v/>
      </c>
      <c r="O82" s="34">
        <f>IF(OR('Historique ajusté'!O82="",ROW()-Fenetre&lt;6),"",IF(INDEX('Historique ajusté'!O:O,ROW()-Fenetre)="","",'Historique ajusté'!O82/INDEX('Historique ajusté'!O:O,ROW()-Fenetre)-1))</f>
        <v/>
      </c>
      <c r="P82" s="34">
        <f>IF(OR('Historique ajusté'!P82="",ROW()-Fenetre&lt;6),"",IF(INDEX('Historique ajusté'!P:P,ROW()-Fenetre)="","",'Historique ajusté'!P82/INDEX('Historique ajusté'!P:P,ROW()-Fenetre)-1))</f>
        <v/>
      </c>
      <c r="Q82" s="34">
        <f>IF(OR(Composites!L82="",ROW()-Fenetre&lt;6),"",IF(INDEX(Composites!L:L,ROW()-Fenetre)="","",Composites!L82/INDEX(Composites!L:L,ROW()-Fenetre)-1))</f>
        <v/>
      </c>
      <c r="R82" s="34">
        <f>IF(OR(Composites!M82="",ROW()-Fenetre&lt;6),"",IF(INDEX(Composites!M:M,ROW()-Fenetre)="","",Composites!M82/INDEX(Composites!M:M,ROW()-Fenetre)-1))</f>
        <v/>
      </c>
      <c r="S82" s="34">
        <f>IF(OR(Composites!N82="",ROW()-Fenetre&lt;6),"",IF(INDEX(Composites!N:N,ROW()-Fenetre)="","",Composites!N82/INDEX(Composites!N:N,ROW()-Fenetre)-1))</f>
        <v/>
      </c>
      <c r="T82" s="34">
        <f>IF(OR(Composites!O82="",ROW()-Fenetre&lt;6),"",IF(INDEX(Composites!O:O,ROW()-Fenetre)="","",Composites!O82/INDEX(Composites!O:O,ROW()-Fenetre)-1))</f>
        <v/>
      </c>
      <c r="U82" s="34">
        <f>IF(OR(Composites!P82="",ROW()-Fenetre&lt;6),"",IF(INDEX(Composites!P:P,ROW()-Fenetre)="","",Composites!P82/INDEX(Composites!P:P,ROW()-Fenetre)-1))</f>
        <v/>
      </c>
      <c r="V82" s="34">
        <f>IF('Historique ajusté'!C82="","",'Historique ajusté'!C82/MAX('Historique ajusté'!C$6:C82)-1)</f>
        <v/>
      </c>
      <c r="W82" s="34">
        <f>IF('Historique ajusté'!D82="","",'Historique ajusté'!D82/MAX('Historique ajusté'!D$6:D82)-1)</f>
        <v/>
      </c>
      <c r="X82" s="34">
        <f>IF('Historique ajusté'!E82="","",'Historique ajusté'!E82/MAX('Historique ajusté'!E$6:E82)-1)</f>
        <v/>
      </c>
      <c r="Y82" s="34">
        <f>IF('Historique ajusté'!F82="","",'Historique ajusté'!F82/MAX('Historique ajusté'!F$6:F82)-1)</f>
        <v/>
      </c>
      <c r="Z82" s="34">
        <f>IF('Historique ajusté'!G82="","",'Historique ajusté'!G82/MAX('Historique ajusté'!G$6:G82)-1)</f>
        <v/>
      </c>
      <c r="AA82" s="34">
        <f>IF('Historique ajusté'!H82="","",'Historique ajusté'!H82/MAX('Historique ajusté'!H$6:H82)-1)</f>
        <v/>
      </c>
      <c r="AB82" s="34">
        <f>IF('Historique ajusté'!I82="","",'Historique ajusté'!I82/MAX('Historique ajusté'!I$6:I82)-1)</f>
        <v/>
      </c>
      <c r="AC82" s="34">
        <f>IF('Historique ajusté'!J82="","",'Historique ajusté'!J82/MAX('Historique ajusté'!J$6:J82)-1)</f>
        <v/>
      </c>
      <c r="AD82" s="34">
        <f>IF('Historique ajusté'!K82="","",'Historique ajusté'!K82/MAX('Historique ajusté'!K$6:K82)-1)</f>
        <v/>
      </c>
      <c r="AE82" s="34">
        <f>IF('Historique ajusté'!L82="","",'Historique ajusté'!L82/MAX('Historique ajusté'!L$6:L82)-1)</f>
        <v/>
      </c>
      <c r="AF82" s="34">
        <f>IF('Historique ajusté'!M82="","",'Historique ajusté'!M82/MAX('Historique ajusté'!M$6:M82)-1)</f>
        <v/>
      </c>
      <c r="AG82" s="34">
        <f>IF('Historique ajusté'!N82="","",'Historique ajusté'!N82/MAX('Historique ajusté'!N$6:N82)-1)</f>
        <v/>
      </c>
      <c r="AH82" s="34">
        <f>IF('Historique ajusté'!O82="","",'Historique ajusté'!O82/MAX('Historique ajusté'!O$6:O82)-1)</f>
        <v/>
      </c>
      <c r="AI82" s="34">
        <f>IF('Historique ajusté'!P82="","",'Historique ajusté'!P82/MAX('Historique ajusté'!P$6:P82)-1)</f>
        <v/>
      </c>
      <c r="AJ82" s="34">
        <f>IF(Composites!L82="","",Composites!L82/MAX(Composites!L$6:L82)-1)</f>
        <v/>
      </c>
      <c r="AK82" s="34">
        <f>IF(Composites!M82="","",Composites!M82/MAX(Composites!M$6:M82)-1)</f>
        <v/>
      </c>
      <c r="AL82" s="34">
        <f>IF(Composites!N82="","",Composites!N82/MAX(Composites!N$6:N82)-1)</f>
        <v/>
      </c>
      <c r="AM82" s="34">
        <f>IF(Composites!O82="","",Composites!O82/MAX(Composites!O$6:O82)-1)</f>
        <v/>
      </c>
      <c r="AN82" s="34">
        <f>IF(Composites!P82="","",Composites!P82/MAX(Composites!P$6:P82)-1)</f>
        <v/>
      </c>
    </row>
    <row r="83">
      <c r="B83" s="32">
        <f>'Historique ajusté'!B83</f>
        <v/>
      </c>
      <c r="C83" s="34">
        <f>IF(OR('Historique ajusté'!C83="",ROW()-Fenetre&lt;6),"",IF(INDEX('Historique ajusté'!C:C,ROW()-Fenetre)="","",'Historique ajusté'!C83/INDEX('Historique ajusté'!C:C,ROW()-Fenetre)-1))</f>
        <v/>
      </c>
      <c r="D83" s="34">
        <f>IF(OR('Historique ajusté'!D83="",ROW()-Fenetre&lt;6),"",IF(INDEX('Historique ajusté'!D:D,ROW()-Fenetre)="","",'Historique ajusté'!D83/INDEX('Historique ajusté'!D:D,ROW()-Fenetre)-1))</f>
        <v/>
      </c>
      <c r="E83" s="34">
        <f>IF(OR('Historique ajusté'!E83="",ROW()-Fenetre&lt;6),"",IF(INDEX('Historique ajusté'!E:E,ROW()-Fenetre)="","",'Historique ajusté'!E83/INDEX('Historique ajusté'!E:E,ROW()-Fenetre)-1))</f>
        <v/>
      </c>
      <c r="F83" s="34">
        <f>IF(OR('Historique ajusté'!F83="",ROW()-Fenetre&lt;6),"",IF(INDEX('Historique ajusté'!F:F,ROW()-Fenetre)="","",'Historique ajusté'!F83/INDEX('Historique ajusté'!F:F,ROW()-Fenetre)-1))</f>
        <v/>
      </c>
      <c r="G83" s="34">
        <f>IF(OR('Historique ajusté'!G83="",ROW()-Fenetre&lt;6),"",IF(INDEX('Historique ajusté'!G:G,ROW()-Fenetre)="","",'Historique ajusté'!G83/INDEX('Historique ajusté'!G:G,ROW()-Fenetre)-1))</f>
        <v/>
      </c>
      <c r="H83" s="34">
        <f>IF(OR('Historique ajusté'!H83="",ROW()-Fenetre&lt;6),"",IF(INDEX('Historique ajusté'!H:H,ROW()-Fenetre)="","",'Historique ajusté'!H83/INDEX('Historique ajusté'!H:H,ROW()-Fenetre)-1))</f>
        <v/>
      </c>
      <c r="I83" s="34">
        <f>IF(OR('Historique ajusté'!I83="",ROW()-Fenetre&lt;6),"",IF(INDEX('Historique ajusté'!I:I,ROW()-Fenetre)="","",'Historique ajusté'!I83/INDEX('Historique ajusté'!I:I,ROW()-Fenetre)-1))</f>
        <v/>
      </c>
      <c r="J83" s="34">
        <f>IF(OR('Historique ajusté'!J83="",ROW()-Fenetre&lt;6),"",IF(INDEX('Historique ajusté'!J:J,ROW()-Fenetre)="","",'Historique ajusté'!J83/INDEX('Historique ajusté'!J:J,ROW()-Fenetre)-1))</f>
        <v/>
      </c>
      <c r="K83" s="34">
        <f>IF(OR('Historique ajusté'!K83="",ROW()-Fenetre&lt;6),"",IF(INDEX('Historique ajusté'!K:K,ROW()-Fenetre)="","",'Historique ajusté'!K83/INDEX('Historique ajusté'!K:K,ROW()-Fenetre)-1))</f>
        <v/>
      </c>
      <c r="L83" s="34">
        <f>IF(OR('Historique ajusté'!L83="",ROW()-Fenetre&lt;6),"",IF(INDEX('Historique ajusté'!L:L,ROW()-Fenetre)="","",'Historique ajusté'!L83/INDEX('Historique ajusté'!L:L,ROW()-Fenetre)-1))</f>
        <v/>
      </c>
      <c r="M83" s="34">
        <f>IF(OR('Historique ajusté'!M83="",ROW()-Fenetre&lt;6),"",IF(INDEX('Historique ajusté'!M:M,ROW()-Fenetre)="","",'Historique ajusté'!M83/INDEX('Historique ajusté'!M:M,ROW()-Fenetre)-1))</f>
        <v/>
      </c>
      <c r="N83" s="34">
        <f>IF(OR('Historique ajusté'!N83="",ROW()-Fenetre&lt;6),"",IF(INDEX('Historique ajusté'!N:N,ROW()-Fenetre)="","",'Historique ajusté'!N83/INDEX('Historique ajusté'!N:N,ROW()-Fenetre)-1))</f>
        <v/>
      </c>
      <c r="O83" s="34">
        <f>IF(OR('Historique ajusté'!O83="",ROW()-Fenetre&lt;6),"",IF(INDEX('Historique ajusté'!O:O,ROW()-Fenetre)="","",'Historique ajusté'!O83/INDEX('Historique ajusté'!O:O,ROW()-Fenetre)-1))</f>
        <v/>
      </c>
      <c r="P83" s="34">
        <f>IF(OR('Historique ajusté'!P83="",ROW()-Fenetre&lt;6),"",IF(INDEX('Historique ajusté'!P:P,ROW()-Fenetre)="","",'Historique ajusté'!P83/INDEX('Historique ajusté'!P:P,ROW()-Fenetre)-1))</f>
        <v/>
      </c>
      <c r="Q83" s="34">
        <f>IF(OR(Composites!L83="",ROW()-Fenetre&lt;6),"",IF(INDEX(Composites!L:L,ROW()-Fenetre)="","",Composites!L83/INDEX(Composites!L:L,ROW()-Fenetre)-1))</f>
        <v/>
      </c>
      <c r="R83" s="34">
        <f>IF(OR(Composites!M83="",ROW()-Fenetre&lt;6),"",IF(INDEX(Composites!M:M,ROW()-Fenetre)="","",Composites!M83/INDEX(Composites!M:M,ROW()-Fenetre)-1))</f>
        <v/>
      </c>
      <c r="S83" s="34">
        <f>IF(OR(Composites!N83="",ROW()-Fenetre&lt;6),"",IF(INDEX(Composites!N:N,ROW()-Fenetre)="","",Composites!N83/INDEX(Composites!N:N,ROW()-Fenetre)-1))</f>
        <v/>
      </c>
      <c r="T83" s="34">
        <f>IF(OR(Composites!O83="",ROW()-Fenetre&lt;6),"",IF(INDEX(Composites!O:O,ROW()-Fenetre)="","",Composites!O83/INDEX(Composites!O:O,ROW()-Fenetre)-1))</f>
        <v/>
      </c>
      <c r="U83" s="34">
        <f>IF(OR(Composites!P83="",ROW()-Fenetre&lt;6),"",IF(INDEX(Composites!P:P,ROW()-Fenetre)="","",Composites!P83/INDEX(Composites!P:P,ROW()-Fenetre)-1))</f>
        <v/>
      </c>
      <c r="V83" s="34">
        <f>IF('Historique ajusté'!C83="","",'Historique ajusté'!C83/MAX('Historique ajusté'!C$6:C83)-1)</f>
        <v/>
      </c>
      <c r="W83" s="34">
        <f>IF('Historique ajusté'!D83="","",'Historique ajusté'!D83/MAX('Historique ajusté'!D$6:D83)-1)</f>
        <v/>
      </c>
      <c r="X83" s="34">
        <f>IF('Historique ajusté'!E83="","",'Historique ajusté'!E83/MAX('Historique ajusté'!E$6:E83)-1)</f>
        <v/>
      </c>
      <c r="Y83" s="34">
        <f>IF('Historique ajusté'!F83="","",'Historique ajusté'!F83/MAX('Historique ajusté'!F$6:F83)-1)</f>
        <v/>
      </c>
      <c r="Z83" s="34">
        <f>IF('Historique ajusté'!G83="","",'Historique ajusté'!G83/MAX('Historique ajusté'!G$6:G83)-1)</f>
        <v/>
      </c>
      <c r="AA83" s="34">
        <f>IF('Historique ajusté'!H83="","",'Historique ajusté'!H83/MAX('Historique ajusté'!H$6:H83)-1)</f>
        <v/>
      </c>
      <c r="AB83" s="34">
        <f>IF('Historique ajusté'!I83="","",'Historique ajusté'!I83/MAX('Historique ajusté'!I$6:I83)-1)</f>
        <v/>
      </c>
      <c r="AC83" s="34">
        <f>IF('Historique ajusté'!J83="","",'Historique ajusté'!J83/MAX('Historique ajusté'!J$6:J83)-1)</f>
        <v/>
      </c>
      <c r="AD83" s="34">
        <f>IF('Historique ajusté'!K83="","",'Historique ajusté'!K83/MAX('Historique ajusté'!K$6:K83)-1)</f>
        <v/>
      </c>
      <c r="AE83" s="34">
        <f>IF('Historique ajusté'!L83="","",'Historique ajusté'!L83/MAX('Historique ajusté'!L$6:L83)-1)</f>
        <v/>
      </c>
      <c r="AF83" s="34">
        <f>IF('Historique ajusté'!M83="","",'Historique ajusté'!M83/MAX('Historique ajusté'!M$6:M83)-1)</f>
        <v/>
      </c>
      <c r="AG83" s="34">
        <f>IF('Historique ajusté'!N83="","",'Historique ajusté'!N83/MAX('Historique ajusté'!N$6:N83)-1)</f>
        <v/>
      </c>
      <c r="AH83" s="34">
        <f>IF('Historique ajusté'!O83="","",'Historique ajusté'!O83/MAX('Historique ajusté'!O$6:O83)-1)</f>
        <v/>
      </c>
      <c r="AI83" s="34">
        <f>IF('Historique ajusté'!P83="","",'Historique ajusté'!P83/MAX('Historique ajusté'!P$6:P83)-1)</f>
        <v/>
      </c>
      <c r="AJ83" s="34">
        <f>IF(Composites!L83="","",Composites!L83/MAX(Composites!L$6:L83)-1)</f>
        <v/>
      </c>
      <c r="AK83" s="34">
        <f>IF(Composites!M83="","",Composites!M83/MAX(Composites!M$6:M83)-1)</f>
        <v/>
      </c>
      <c r="AL83" s="34">
        <f>IF(Composites!N83="","",Composites!N83/MAX(Composites!N$6:N83)-1)</f>
        <v/>
      </c>
      <c r="AM83" s="34">
        <f>IF(Composites!O83="","",Composites!O83/MAX(Composites!O$6:O83)-1)</f>
        <v/>
      </c>
      <c r="AN83" s="34">
        <f>IF(Composites!P83="","",Composites!P83/MAX(Composites!P$6:P83)-1)</f>
        <v/>
      </c>
    </row>
    <row r="84">
      <c r="B84" s="32">
        <f>'Historique ajusté'!B84</f>
        <v/>
      </c>
      <c r="C84" s="34">
        <f>IF(OR('Historique ajusté'!C84="",ROW()-Fenetre&lt;6),"",IF(INDEX('Historique ajusté'!C:C,ROW()-Fenetre)="","",'Historique ajusté'!C84/INDEX('Historique ajusté'!C:C,ROW()-Fenetre)-1))</f>
        <v/>
      </c>
      <c r="D84" s="34">
        <f>IF(OR('Historique ajusté'!D84="",ROW()-Fenetre&lt;6),"",IF(INDEX('Historique ajusté'!D:D,ROW()-Fenetre)="","",'Historique ajusté'!D84/INDEX('Historique ajusté'!D:D,ROW()-Fenetre)-1))</f>
        <v/>
      </c>
      <c r="E84" s="34">
        <f>IF(OR('Historique ajusté'!E84="",ROW()-Fenetre&lt;6),"",IF(INDEX('Historique ajusté'!E:E,ROW()-Fenetre)="","",'Historique ajusté'!E84/INDEX('Historique ajusté'!E:E,ROW()-Fenetre)-1))</f>
        <v/>
      </c>
      <c r="F84" s="34">
        <f>IF(OR('Historique ajusté'!F84="",ROW()-Fenetre&lt;6),"",IF(INDEX('Historique ajusté'!F:F,ROW()-Fenetre)="","",'Historique ajusté'!F84/INDEX('Historique ajusté'!F:F,ROW()-Fenetre)-1))</f>
        <v/>
      </c>
      <c r="G84" s="34">
        <f>IF(OR('Historique ajusté'!G84="",ROW()-Fenetre&lt;6),"",IF(INDEX('Historique ajusté'!G:G,ROW()-Fenetre)="","",'Historique ajusté'!G84/INDEX('Historique ajusté'!G:G,ROW()-Fenetre)-1))</f>
        <v/>
      </c>
      <c r="H84" s="34">
        <f>IF(OR('Historique ajusté'!H84="",ROW()-Fenetre&lt;6),"",IF(INDEX('Historique ajusté'!H:H,ROW()-Fenetre)="","",'Historique ajusté'!H84/INDEX('Historique ajusté'!H:H,ROW()-Fenetre)-1))</f>
        <v/>
      </c>
      <c r="I84" s="34">
        <f>IF(OR('Historique ajusté'!I84="",ROW()-Fenetre&lt;6),"",IF(INDEX('Historique ajusté'!I:I,ROW()-Fenetre)="","",'Historique ajusté'!I84/INDEX('Historique ajusté'!I:I,ROW()-Fenetre)-1))</f>
        <v/>
      </c>
      <c r="J84" s="34">
        <f>IF(OR('Historique ajusté'!J84="",ROW()-Fenetre&lt;6),"",IF(INDEX('Historique ajusté'!J:J,ROW()-Fenetre)="","",'Historique ajusté'!J84/INDEX('Historique ajusté'!J:J,ROW()-Fenetre)-1))</f>
        <v/>
      </c>
      <c r="K84" s="34">
        <f>IF(OR('Historique ajusté'!K84="",ROW()-Fenetre&lt;6),"",IF(INDEX('Historique ajusté'!K:K,ROW()-Fenetre)="","",'Historique ajusté'!K84/INDEX('Historique ajusté'!K:K,ROW()-Fenetre)-1))</f>
        <v/>
      </c>
      <c r="L84" s="34">
        <f>IF(OR('Historique ajusté'!L84="",ROW()-Fenetre&lt;6),"",IF(INDEX('Historique ajusté'!L:L,ROW()-Fenetre)="","",'Historique ajusté'!L84/INDEX('Historique ajusté'!L:L,ROW()-Fenetre)-1))</f>
        <v/>
      </c>
      <c r="M84" s="34">
        <f>IF(OR('Historique ajusté'!M84="",ROW()-Fenetre&lt;6),"",IF(INDEX('Historique ajusté'!M:M,ROW()-Fenetre)="","",'Historique ajusté'!M84/INDEX('Historique ajusté'!M:M,ROW()-Fenetre)-1))</f>
        <v/>
      </c>
      <c r="N84" s="34">
        <f>IF(OR('Historique ajusté'!N84="",ROW()-Fenetre&lt;6),"",IF(INDEX('Historique ajusté'!N:N,ROW()-Fenetre)="","",'Historique ajusté'!N84/INDEX('Historique ajusté'!N:N,ROW()-Fenetre)-1))</f>
        <v/>
      </c>
      <c r="O84" s="34">
        <f>IF(OR('Historique ajusté'!O84="",ROW()-Fenetre&lt;6),"",IF(INDEX('Historique ajusté'!O:O,ROW()-Fenetre)="","",'Historique ajusté'!O84/INDEX('Historique ajusté'!O:O,ROW()-Fenetre)-1))</f>
        <v/>
      </c>
      <c r="P84" s="34">
        <f>IF(OR('Historique ajusté'!P84="",ROW()-Fenetre&lt;6),"",IF(INDEX('Historique ajusté'!P:P,ROW()-Fenetre)="","",'Historique ajusté'!P84/INDEX('Historique ajusté'!P:P,ROW()-Fenetre)-1))</f>
        <v/>
      </c>
      <c r="Q84" s="34">
        <f>IF(OR(Composites!L84="",ROW()-Fenetre&lt;6),"",IF(INDEX(Composites!L:L,ROW()-Fenetre)="","",Composites!L84/INDEX(Composites!L:L,ROW()-Fenetre)-1))</f>
        <v/>
      </c>
      <c r="R84" s="34">
        <f>IF(OR(Composites!M84="",ROW()-Fenetre&lt;6),"",IF(INDEX(Composites!M:M,ROW()-Fenetre)="","",Composites!M84/INDEX(Composites!M:M,ROW()-Fenetre)-1))</f>
        <v/>
      </c>
      <c r="S84" s="34">
        <f>IF(OR(Composites!N84="",ROW()-Fenetre&lt;6),"",IF(INDEX(Composites!N:N,ROW()-Fenetre)="","",Composites!N84/INDEX(Composites!N:N,ROW()-Fenetre)-1))</f>
        <v/>
      </c>
      <c r="T84" s="34">
        <f>IF(OR(Composites!O84="",ROW()-Fenetre&lt;6),"",IF(INDEX(Composites!O:O,ROW()-Fenetre)="","",Composites!O84/INDEX(Composites!O:O,ROW()-Fenetre)-1))</f>
        <v/>
      </c>
      <c r="U84" s="34">
        <f>IF(OR(Composites!P84="",ROW()-Fenetre&lt;6),"",IF(INDEX(Composites!P:P,ROW()-Fenetre)="","",Composites!P84/INDEX(Composites!P:P,ROW()-Fenetre)-1))</f>
        <v/>
      </c>
      <c r="V84" s="34">
        <f>IF('Historique ajusté'!C84="","",'Historique ajusté'!C84/MAX('Historique ajusté'!C$6:C84)-1)</f>
        <v/>
      </c>
      <c r="W84" s="34">
        <f>IF('Historique ajusté'!D84="","",'Historique ajusté'!D84/MAX('Historique ajusté'!D$6:D84)-1)</f>
        <v/>
      </c>
      <c r="X84" s="34">
        <f>IF('Historique ajusté'!E84="","",'Historique ajusté'!E84/MAX('Historique ajusté'!E$6:E84)-1)</f>
        <v/>
      </c>
      <c r="Y84" s="34">
        <f>IF('Historique ajusté'!F84="","",'Historique ajusté'!F84/MAX('Historique ajusté'!F$6:F84)-1)</f>
        <v/>
      </c>
      <c r="Z84" s="34">
        <f>IF('Historique ajusté'!G84="","",'Historique ajusté'!G84/MAX('Historique ajusté'!G$6:G84)-1)</f>
        <v/>
      </c>
      <c r="AA84" s="34">
        <f>IF('Historique ajusté'!H84="","",'Historique ajusté'!H84/MAX('Historique ajusté'!H$6:H84)-1)</f>
        <v/>
      </c>
      <c r="AB84" s="34">
        <f>IF('Historique ajusté'!I84="","",'Historique ajusté'!I84/MAX('Historique ajusté'!I$6:I84)-1)</f>
        <v/>
      </c>
      <c r="AC84" s="34">
        <f>IF('Historique ajusté'!J84="","",'Historique ajusté'!J84/MAX('Historique ajusté'!J$6:J84)-1)</f>
        <v/>
      </c>
      <c r="AD84" s="34">
        <f>IF('Historique ajusté'!K84="","",'Historique ajusté'!K84/MAX('Historique ajusté'!K$6:K84)-1)</f>
        <v/>
      </c>
      <c r="AE84" s="34">
        <f>IF('Historique ajusté'!L84="","",'Historique ajusté'!L84/MAX('Historique ajusté'!L$6:L84)-1)</f>
        <v/>
      </c>
      <c r="AF84" s="34">
        <f>IF('Historique ajusté'!M84="","",'Historique ajusté'!M84/MAX('Historique ajusté'!M$6:M84)-1)</f>
        <v/>
      </c>
      <c r="AG84" s="34">
        <f>IF('Historique ajusté'!N84="","",'Historique ajusté'!N84/MAX('Historique ajusté'!N$6:N84)-1)</f>
        <v/>
      </c>
      <c r="AH84" s="34">
        <f>IF('Historique ajusté'!O84="","",'Historique ajusté'!O84/MAX('Historique ajusté'!O$6:O84)-1)</f>
        <v/>
      </c>
      <c r="AI84" s="34">
        <f>IF('Historique ajusté'!P84="","",'Historique ajusté'!P84/MAX('Historique ajusté'!P$6:P84)-1)</f>
        <v/>
      </c>
      <c r="AJ84" s="34">
        <f>IF(Composites!L84="","",Composites!L84/MAX(Composites!L$6:L84)-1)</f>
        <v/>
      </c>
      <c r="AK84" s="34">
        <f>IF(Composites!M84="","",Composites!M84/MAX(Composites!M$6:M84)-1)</f>
        <v/>
      </c>
      <c r="AL84" s="34">
        <f>IF(Composites!N84="","",Composites!N84/MAX(Composites!N$6:N84)-1)</f>
        <v/>
      </c>
      <c r="AM84" s="34">
        <f>IF(Composites!O84="","",Composites!O84/MAX(Composites!O$6:O84)-1)</f>
        <v/>
      </c>
      <c r="AN84" s="34">
        <f>IF(Composites!P84="","",Composites!P84/MAX(Composites!P$6:P84)-1)</f>
        <v/>
      </c>
    </row>
    <row r="85">
      <c r="B85" s="32">
        <f>'Historique ajusté'!B85</f>
        <v/>
      </c>
      <c r="C85" s="34">
        <f>IF(OR('Historique ajusté'!C85="",ROW()-Fenetre&lt;6),"",IF(INDEX('Historique ajusté'!C:C,ROW()-Fenetre)="","",'Historique ajusté'!C85/INDEX('Historique ajusté'!C:C,ROW()-Fenetre)-1))</f>
        <v/>
      </c>
      <c r="D85" s="34">
        <f>IF(OR('Historique ajusté'!D85="",ROW()-Fenetre&lt;6),"",IF(INDEX('Historique ajusté'!D:D,ROW()-Fenetre)="","",'Historique ajusté'!D85/INDEX('Historique ajusté'!D:D,ROW()-Fenetre)-1))</f>
        <v/>
      </c>
      <c r="E85" s="34">
        <f>IF(OR('Historique ajusté'!E85="",ROW()-Fenetre&lt;6),"",IF(INDEX('Historique ajusté'!E:E,ROW()-Fenetre)="","",'Historique ajusté'!E85/INDEX('Historique ajusté'!E:E,ROW()-Fenetre)-1))</f>
        <v/>
      </c>
      <c r="F85" s="34">
        <f>IF(OR('Historique ajusté'!F85="",ROW()-Fenetre&lt;6),"",IF(INDEX('Historique ajusté'!F:F,ROW()-Fenetre)="","",'Historique ajusté'!F85/INDEX('Historique ajusté'!F:F,ROW()-Fenetre)-1))</f>
        <v/>
      </c>
      <c r="G85" s="34">
        <f>IF(OR('Historique ajusté'!G85="",ROW()-Fenetre&lt;6),"",IF(INDEX('Historique ajusté'!G:G,ROW()-Fenetre)="","",'Historique ajusté'!G85/INDEX('Historique ajusté'!G:G,ROW()-Fenetre)-1))</f>
        <v/>
      </c>
      <c r="H85" s="34">
        <f>IF(OR('Historique ajusté'!H85="",ROW()-Fenetre&lt;6),"",IF(INDEX('Historique ajusté'!H:H,ROW()-Fenetre)="","",'Historique ajusté'!H85/INDEX('Historique ajusté'!H:H,ROW()-Fenetre)-1))</f>
        <v/>
      </c>
      <c r="I85" s="34">
        <f>IF(OR('Historique ajusté'!I85="",ROW()-Fenetre&lt;6),"",IF(INDEX('Historique ajusté'!I:I,ROW()-Fenetre)="","",'Historique ajusté'!I85/INDEX('Historique ajusté'!I:I,ROW()-Fenetre)-1))</f>
        <v/>
      </c>
      <c r="J85" s="34">
        <f>IF(OR('Historique ajusté'!J85="",ROW()-Fenetre&lt;6),"",IF(INDEX('Historique ajusté'!J:J,ROW()-Fenetre)="","",'Historique ajusté'!J85/INDEX('Historique ajusté'!J:J,ROW()-Fenetre)-1))</f>
        <v/>
      </c>
      <c r="K85" s="34">
        <f>IF(OR('Historique ajusté'!K85="",ROW()-Fenetre&lt;6),"",IF(INDEX('Historique ajusté'!K:K,ROW()-Fenetre)="","",'Historique ajusté'!K85/INDEX('Historique ajusté'!K:K,ROW()-Fenetre)-1))</f>
        <v/>
      </c>
      <c r="L85" s="34">
        <f>IF(OR('Historique ajusté'!L85="",ROW()-Fenetre&lt;6),"",IF(INDEX('Historique ajusté'!L:L,ROW()-Fenetre)="","",'Historique ajusté'!L85/INDEX('Historique ajusté'!L:L,ROW()-Fenetre)-1))</f>
        <v/>
      </c>
      <c r="M85" s="34">
        <f>IF(OR('Historique ajusté'!M85="",ROW()-Fenetre&lt;6),"",IF(INDEX('Historique ajusté'!M:M,ROW()-Fenetre)="","",'Historique ajusté'!M85/INDEX('Historique ajusté'!M:M,ROW()-Fenetre)-1))</f>
        <v/>
      </c>
      <c r="N85" s="34">
        <f>IF(OR('Historique ajusté'!N85="",ROW()-Fenetre&lt;6),"",IF(INDEX('Historique ajusté'!N:N,ROW()-Fenetre)="","",'Historique ajusté'!N85/INDEX('Historique ajusté'!N:N,ROW()-Fenetre)-1))</f>
        <v/>
      </c>
      <c r="O85" s="34">
        <f>IF(OR('Historique ajusté'!O85="",ROW()-Fenetre&lt;6),"",IF(INDEX('Historique ajusté'!O:O,ROW()-Fenetre)="","",'Historique ajusté'!O85/INDEX('Historique ajusté'!O:O,ROW()-Fenetre)-1))</f>
        <v/>
      </c>
      <c r="P85" s="34">
        <f>IF(OR('Historique ajusté'!P85="",ROW()-Fenetre&lt;6),"",IF(INDEX('Historique ajusté'!P:P,ROW()-Fenetre)="","",'Historique ajusté'!P85/INDEX('Historique ajusté'!P:P,ROW()-Fenetre)-1))</f>
        <v/>
      </c>
      <c r="Q85" s="34">
        <f>IF(OR(Composites!L85="",ROW()-Fenetre&lt;6),"",IF(INDEX(Composites!L:L,ROW()-Fenetre)="","",Composites!L85/INDEX(Composites!L:L,ROW()-Fenetre)-1))</f>
        <v/>
      </c>
      <c r="R85" s="34">
        <f>IF(OR(Composites!M85="",ROW()-Fenetre&lt;6),"",IF(INDEX(Composites!M:M,ROW()-Fenetre)="","",Composites!M85/INDEX(Composites!M:M,ROW()-Fenetre)-1))</f>
        <v/>
      </c>
      <c r="S85" s="34">
        <f>IF(OR(Composites!N85="",ROW()-Fenetre&lt;6),"",IF(INDEX(Composites!N:N,ROW()-Fenetre)="","",Composites!N85/INDEX(Composites!N:N,ROW()-Fenetre)-1))</f>
        <v/>
      </c>
      <c r="T85" s="34">
        <f>IF(OR(Composites!O85="",ROW()-Fenetre&lt;6),"",IF(INDEX(Composites!O:O,ROW()-Fenetre)="","",Composites!O85/INDEX(Composites!O:O,ROW()-Fenetre)-1))</f>
        <v/>
      </c>
      <c r="U85" s="34">
        <f>IF(OR(Composites!P85="",ROW()-Fenetre&lt;6),"",IF(INDEX(Composites!P:P,ROW()-Fenetre)="","",Composites!P85/INDEX(Composites!P:P,ROW()-Fenetre)-1))</f>
        <v/>
      </c>
      <c r="V85" s="34">
        <f>IF('Historique ajusté'!C85="","",'Historique ajusté'!C85/MAX('Historique ajusté'!C$6:C85)-1)</f>
        <v/>
      </c>
      <c r="W85" s="34">
        <f>IF('Historique ajusté'!D85="","",'Historique ajusté'!D85/MAX('Historique ajusté'!D$6:D85)-1)</f>
        <v/>
      </c>
      <c r="X85" s="34">
        <f>IF('Historique ajusté'!E85="","",'Historique ajusté'!E85/MAX('Historique ajusté'!E$6:E85)-1)</f>
        <v/>
      </c>
      <c r="Y85" s="34">
        <f>IF('Historique ajusté'!F85="","",'Historique ajusté'!F85/MAX('Historique ajusté'!F$6:F85)-1)</f>
        <v/>
      </c>
      <c r="Z85" s="34">
        <f>IF('Historique ajusté'!G85="","",'Historique ajusté'!G85/MAX('Historique ajusté'!G$6:G85)-1)</f>
        <v/>
      </c>
      <c r="AA85" s="34">
        <f>IF('Historique ajusté'!H85="","",'Historique ajusté'!H85/MAX('Historique ajusté'!H$6:H85)-1)</f>
        <v/>
      </c>
      <c r="AB85" s="34">
        <f>IF('Historique ajusté'!I85="","",'Historique ajusté'!I85/MAX('Historique ajusté'!I$6:I85)-1)</f>
        <v/>
      </c>
      <c r="AC85" s="34">
        <f>IF('Historique ajusté'!J85="","",'Historique ajusté'!J85/MAX('Historique ajusté'!J$6:J85)-1)</f>
        <v/>
      </c>
      <c r="AD85" s="34">
        <f>IF('Historique ajusté'!K85="","",'Historique ajusté'!K85/MAX('Historique ajusté'!K$6:K85)-1)</f>
        <v/>
      </c>
      <c r="AE85" s="34">
        <f>IF('Historique ajusté'!L85="","",'Historique ajusté'!L85/MAX('Historique ajusté'!L$6:L85)-1)</f>
        <v/>
      </c>
      <c r="AF85" s="34">
        <f>IF('Historique ajusté'!M85="","",'Historique ajusté'!M85/MAX('Historique ajusté'!M$6:M85)-1)</f>
        <v/>
      </c>
      <c r="AG85" s="34">
        <f>IF('Historique ajusté'!N85="","",'Historique ajusté'!N85/MAX('Historique ajusté'!N$6:N85)-1)</f>
        <v/>
      </c>
      <c r="AH85" s="34">
        <f>IF('Historique ajusté'!O85="","",'Historique ajusté'!O85/MAX('Historique ajusté'!O$6:O85)-1)</f>
        <v/>
      </c>
      <c r="AI85" s="34">
        <f>IF('Historique ajusté'!P85="","",'Historique ajusté'!P85/MAX('Historique ajusté'!P$6:P85)-1)</f>
        <v/>
      </c>
      <c r="AJ85" s="34">
        <f>IF(Composites!L85="","",Composites!L85/MAX(Composites!L$6:L85)-1)</f>
        <v/>
      </c>
      <c r="AK85" s="34">
        <f>IF(Composites!M85="","",Composites!M85/MAX(Composites!M$6:M85)-1)</f>
        <v/>
      </c>
      <c r="AL85" s="34">
        <f>IF(Composites!N85="","",Composites!N85/MAX(Composites!N$6:N85)-1)</f>
        <v/>
      </c>
      <c r="AM85" s="34">
        <f>IF(Composites!O85="","",Composites!O85/MAX(Composites!O$6:O85)-1)</f>
        <v/>
      </c>
      <c r="AN85" s="34">
        <f>IF(Composites!P85="","",Composites!P85/MAX(Composites!P$6:P85)-1)</f>
        <v/>
      </c>
    </row>
    <row r="86">
      <c r="B86" s="32">
        <f>'Historique ajusté'!B86</f>
        <v/>
      </c>
      <c r="C86" s="34">
        <f>IF(OR('Historique ajusté'!C86="",ROW()-Fenetre&lt;6),"",IF(INDEX('Historique ajusté'!C:C,ROW()-Fenetre)="","",'Historique ajusté'!C86/INDEX('Historique ajusté'!C:C,ROW()-Fenetre)-1))</f>
        <v/>
      </c>
      <c r="D86" s="34">
        <f>IF(OR('Historique ajusté'!D86="",ROW()-Fenetre&lt;6),"",IF(INDEX('Historique ajusté'!D:D,ROW()-Fenetre)="","",'Historique ajusté'!D86/INDEX('Historique ajusté'!D:D,ROW()-Fenetre)-1))</f>
        <v/>
      </c>
      <c r="E86" s="34">
        <f>IF(OR('Historique ajusté'!E86="",ROW()-Fenetre&lt;6),"",IF(INDEX('Historique ajusté'!E:E,ROW()-Fenetre)="","",'Historique ajusté'!E86/INDEX('Historique ajusté'!E:E,ROW()-Fenetre)-1))</f>
        <v/>
      </c>
      <c r="F86" s="34">
        <f>IF(OR('Historique ajusté'!F86="",ROW()-Fenetre&lt;6),"",IF(INDEX('Historique ajusté'!F:F,ROW()-Fenetre)="","",'Historique ajusté'!F86/INDEX('Historique ajusté'!F:F,ROW()-Fenetre)-1))</f>
        <v/>
      </c>
      <c r="G86" s="34">
        <f>IF(OR('Historique ajusté'!G86="",ROW()-Fenetre&lt;6),"",IF(INDEX('Historique ajusté'!G:G,ROW()-Fenetre)="","",'Historique ajusté'!G86/INDEX('Historique ajusté'!G:G,ROW()-Fenetre)-1))</f>
        <v/>
      </c>
      <c r="H86" s="34">
        <f>IF(OR('Historique ajusté'!H86="",ROW()-Fenetre&lt;6),"",IF(INDEX('Historique ajusté'!H:H,ROW()-Fenetre)="","",'Historique ajusté'!H86/INDEX('Historique ajusté'!H:H,ROW()-Fenetre)-1))</f>
        <v/>
      </c>
      <c r="I86" s="34">
        <f>IF(OR('Historique ajusté'!I86="",ROW()-Fenetre&lt;6),"",IF(INDEX('Historique ajusté'!I:I,ROW()-Fenetre)="","",'Historique ajusté'!I86/INDEX('Historique ajusté'!I:I,ROW()-Fenetre)-1))</f>
        <v/>
      </c>
      <c r="J86" s="34">
        <f>IF(OR('Historique ajusté'!J86="",ROW()-Fenetre&lt;6),"",IF(INDEX('Historique ajusté'!J:J,ROW()-Fenetre)="","",'Historique ajusté'!J86/INDEX('Historique ajusté'!J:J,ROW()-Fenetre)-1))</f>
        <v/>
      </c>
      <c r="K86" s="34">
        <f>IF(OR('Historique ajusté'!K86="",ROW()-Fenetre&lt;6),"",IF(INDEX('Historique ajusté'!K:K,ROW()-Fenetre)="","",'Historique ajusté'!K86/INDEX('Historique ajusté'!K:K,ROW()-Fenetre)-1))</f>
        <v/>
      </c>
      <c r="L86" s="34">
        <f>IF(OR('Historique ajusté'!L86="",ROW()-Fenetre&lt;6),"",IF(INDEX('Historique ajusté'!L:L,ROW()-Fenetre)="","",'Historique ajusté'!L86/INDEX('Historique ajusté'!L:L,ROW()-Fenetre)-1))</f>
        <v/>
      </c>
      <c r="M86" s="34">
        <f>IF(OR('Historique ajusté'!M86="",ROW()-Fenetre&lt;6),"",IF(INDEX('Historique ajusté'!M:M,ROW()-Fenetre)="","",'Historique ajusté'!M86/INDEX('Historique ajusté'!M:M,ROW()-Fenetre)-1))</f>
        <v/>
      </c>
      <c r="N86" s="34">
        <f>IF(OR('Historique ajusté'!N86="",ROW()-Fenetre&lt;6),"",IF(INDEX('Historique ajusté'!N:N,ROW()-Fenetre)="","",'Historique ajusté'!N86/INDEX('Historique ajusté'!N:N,ROW()-Fenetre)-1))</f>
        <v/>
      </c>
      <c r="O86" s="34">
        <f>IF(OR('Historique ajusté'!O86="",ROW()-Fenetre&lt;6),"",IF(INDEX('Historique ajusté'!O:O,ROW()-Fenetre)="","",'Historique ajusté'!O86/INDEX('Historique ajusté'!O:O,ROW()-Fenetre)-1))</f>
        <v/>
      </c>
      <c r="P86" s="34">
        <f>IF(OR('Historique ajusté'!P86="",ROW()-Fenetre&lt;6),"",IF(INDEX('Historique ajusté'!P:P,ROW()-Fenetre)="","",'Historique ajusté'!P86/INDEX('Historique ajusté'!P:P,ROW()-Fenetre)-1))</f>
        <v/>
      </c>
      <c r="Q86" s="34">
        <f>IF(OR(Composites!L86="",ROW()-Fenetre&lt;6),"",IF(INDEX(Composites!L:L,ROW()-Fenetre)="","",Composites!L86/INDEX(Composites!L:L,ROW()-Fenetre)-1))</f>
        <v/>
      </c>
      <c r="R86" s="34">
        <f>IF(OR(Composites!M86="",ROW()-Fenetre&lt;6),"",IF(INDEX(Composites!M:M,ROW()-Fenetre)="","",Composites!M86/INDEX(Composites!M:M,ROW()-Fenetre)-1))</f>
        <v/>
      </c>
      <c r="S86" s="34">
        <f>IF(OR(Composites!N86="",ROW()-Fenetre&lt;6),"",IF(INDEX(Composites!N:N,ROW()-Fenetre)="","",Composites!N86/INDEX(Composites!N:N,ROW()-Fenetre)-1))</f>
        <v/>
      </c>
      <c r="T86" s="34">
        <f>IF(OR(Composites!O86="",ROW()-Fenetre&lt;6),"",IF(INDEX(Composites!O:O,ROW()-Fenetre)="","",Composites!O86/INDEX(Composites!O:O,ROW()-Fenetre)-1))</f>
        <v/>
      </c>
      <c r="U86" s="34">
        <f>IF(OR(Composites!P86="",ROW()-Fenetre&lt;6),"",IF(INDEX(Composites!P:P,ROW()-Fenetre)="","",Composites!P86/INDEX(Composites!P:P,ROW()-Fenetre)-1))</f>
        <v/>
      </c>
      <c r="V86" s="34">
        <f>IF('Historique ajusté'!C86="","",'Historique ajusté'!C86/MAX('Historique ajusté'!C$6:C86)-1)</f>
        <v/>
      </c>
      <c r="W86" s="34">
        <f>IF('Historique ajusté'!D86="","",'Historique ajusté'!D86/MAX('Historique ajusté'!D$6:D86)-1)</f>
        <v/>
      </c>
      <c r="X86" s="34">
        <f>IF('Historique ajusté'!E86="","",'Historique ajusté'!E86/MAX('Historique ajusté'!E$6:E86)-1)</f>
        <v/>
      </c>
      <c r="Y86" s="34">
        <f>IF('Historique ajusté'!F86="","",'Historique ajusté'!F86/MAX('Historique ajusté'!F$6:F86)-1)</f>
        <v/>
      </c>
      <c r="Z86" s="34">
        <f>IF('Historique ajusté'!G86="","",'Historique ajusté'!G86/MAX('Historique ajusté'!G$6:G86)-1)</f>
        <v/>
      </c>
      <c r="AA86" s="34">
        <f>IF('Historique ajusté'!H86="","",'Historique ajusté'!H86/MAX('Historique ajusté'!H$6:H86)-1)</f>
        <v/>
      </c>
      <c r="AB86" s="34">
        <f>IF('Historique ajusté'!I86="","",'Historique ajusté'!I86/MAX('Historique ajusté'!I$6:I86)-1)</f>
        <v/>
      </c>
      <c r="AC86" s="34">
        <f>IF('Historique ajusté'!J86="","",'Historique ajusté'!J86/MAX('Historique ajusté'!J$6:J86)-1)</f>
        <v/>
      </c>
      <c r="AD86" s="34">
        <f>IF('Historique ajusté'!K86="","",'Historique ajusté'!K86/MAX('Historique ajusté'!K$6:K86)-1)</f>
        <v/>
      </c>
      <c r="AE86" s="34">
        <f>IF('Historique ajusté'!L86="","",'Historique ajusté'!L86/MAX('Historique ajusté'!L$6:L86)-1)</f>
        <v/>
      </c>
      <c r="AF86" s="34">
        <f>IF('Historique ajusté'!M86="","",'Historique ajusté'!M86/MAX('Historique ajusté'!M$6:M86)-1)</f>
        <v/>
      </c>
      <c r="AG86" s="34">
        <f>IF('Historique ajusté'!N86="","",'Historique ajusté'!N86/MAX('Historique ajusté'!N$6:N86)-1)</f>
        <v/>
      </c>
      <c r="AH86" s="34">
        <f>IF('Historique ajusté'!O86="","",'Historique ajusté'!O86/MAX('Historique ajusté'!O$6:O86)-1)</f>
        <v/>
      </c>
      <c r="AI86" s="34">
        <f>IF('Historique ajusté'!P86="","",'Historique ajusté'!P86/MAX('Historique ajusté'!P$6:P86)-1)</f>
        <v/>
      </c>
      <c r="AJ86" s="34">
        <f>IF(Composites!L86="","",Composites!L86/MAX(Composites!L$6:L86)-1)</f>
        <v/>
      </c>
      <c r="AK86" s="34">
        <f>IF(Composites!M86="","",Composites!M86/MAX(Composites!M$6:M86)-1)</f>
        <v/>
      </c>
      <c r="AL86" s="34">
        <f>IF(Composites!N86="","",Composites!N86/MAX(Composites!N$6:N86)-1)</f>
        <v/>
      </c>
      <c r="AM86" s="34">
        <f>IF(Composites!O86="","",Composites!O86/MAX(Composites!O$6:O86)-1)</f>
        <v/>
      </c>
      <c r="AN86" s="34">
        <f>IF(Composites!P86="","",Composites!P86/MAX(Composites!P$6:P86)-1)</f>
        <v/>
      </c>
    </row>
    <row r="87">
      <c r="B87" s="32">
        <f>'Historique ajusté'!B87</f>
        <v/>
      </c>
      <c r="C87" s="34">
        <f>IF(OR('Historique ajusté'!C87="",ROW()-Fenetre&lt;6),"",IF(INDEX('Historique ajusté'!C:C,ROW()-Fenetre)="","",'Historique ajusté'!C87/INDEX('Historique ajusté'!C:C,ROW()-Fenetre)-1))</f>
        <v/>
      </c>
      <c r="D87" s="34">
        <f>IF(OR('Historique ajusté'!D87="",ROW()-Fenetre&lt;6),"",IF(INDEX('Historique ajusté'!D:D,ROW()-Fenetre)="","",'Historique ajusté'!D87/INDEX('Historique ajusté'!D:D,ROW()-Fenetre)-1))</f>
        <v/>
      </c>
      <c r="E87" s="34">
        <f>IF(OR('Historique ajusté'!E87="",ROW()-Fenetre&lt;6),"",IF(INDEX('Historique ajusté'!E:E,ROW()-Fenetre)="","",'Historique ajusté'!E87/INDEX('Historique ajusté'!E:E,ROW()-Fenetre)-1))</f>
        <v/>
      </c>
      <c r="F87" s="34">
        <f>IF(OR('Historique ajusté'!F87="",ROW()-Fenetre&lt;6),"",IF(INDEX('Historique ajusté'!F:F,ROW()-Fenetre)="","",'Historique ajusté'!F87/INDEX('Historique ajusté'!F:F,ROW()-Fenetre)-1))</f>
        <v/>
      </c>
      <c r="G87" s="34">
        <f>IF(OR('Historique ajusté'!G87="",ROW()-Fenetre&lt;6),"",IF(INDEX('Historique ajusté'!G:G,ROW()-Fenetre)="","",'Historique ajusté'!G87/INDEX('Historique ajusté'!G:G,ROW()-Fenetre)-1))</f>
        <v/>
      </c>
      <c r="H87" s="34">
        <f>IF(OR('Historique ajusté'!H87="",ROW()-Fenetre&lt;6),"",IF(INDEX('Historique ajusté'!H:H,ROW()-Fenetre)="","",'Historique ajusté'!H87/INDEX('Historique ajusté'!H:H,ROW()-Fenetre)-1))</f>
        <v/>
      </c>
      <c r="I87" s="34">
        <f>IF(OR('Historique ajusté'!I87="",ROW()-Fenetre&lt;6),"",IF(INDEX('Historique ajusté'!I:I,ROW()-Fenetre)="","",'Historique ajusté'!I87/INDEX('Historique ajusté'!I:I,ROW()-Fenetre)-1))</f>
        <v/>
      </c>
      <c r="J87" s="34">
        <f>IF(OR('Historique ajusté'!J87="",ROW()-Fenetre&lt;6),"",IF(INDEX('Historique ajusté'!J:J,ROW()-Fenetre)="","",'Historique ajusté'!J87/INDEX('Historique ajusté'!J:J,ROW()-Fenetre)-1))</f>
        <v/>
      </c>
      <c r="K87" s="34">
        <f>IF(OR('Historique ajusté'!K87="",ROW()-Fenetre&lt;6),"",IF(INDEX('Historique ajusté'!K:K,ROW()-Fenetre)="","",'Historique ajusté'!K87/INDEX('Historique ajusté'!K:K,ROW()-Fenetre)-1))</f>
        <v/>
      </c>
      <c r="L87" s="34">
        <f>IF(OR('Historique ajusté'!L87="",ROW()-Fenetre&lt;6),"",IF(INDEX('Historique ajusté'!L:L,ROW()-Fenetre)="","",'Historique ajusté'!L87/INDEX('Historique ajusté'!L:L,ROW()-Fenetre)-1))</f>
        <v/>
      </c>
      <c r="M87" s="34">
        <f>IF(OR('Historique ajusté'!M87="",ROW()-Fenetre&lt;6),"",IF(INDEX('Historique ajusté'!M:M,ROW()-Fenetre)="","",'Historique ajusté'!M87/INDEX('Historique ajusté'!M:M,ROW()-Fenetre)-1))</f>
        <v/>
      </c>
      <c r="N87" s="34">
        <f>IF(OR('Historique ajusté'!N87="",ROW()-Fenetre&lt;6),"",IF(INDEX('Historique ajusté'!N:N,ROW()-Fenetre)="","",'Historique ajusté'!N87/INDEX('Historique ajusté'!N:N,ROW()-Fenetre)-1))</f>
        <v/>
      </c>
      <c r="O87" s="34">
        <f>IF(OR('Historique ajusté'!O87="",ROW()-Fenetre&lt;6),"",IF(INDEX('Historique ajusté'!O:O,ROW()-Fenetre)="","",'Historique ajusté'!O87/INDEX('Historique ajusté'!O:O,ROW()-Fenetre)-1))</f>
        <v/>
      </c>
      <c r="P87" s="34">
        <f>IF(OR('Historique ajusté'!P87="",ROW()-Fenetre&lt;6),"",IF(INDEX('Historique ajusté'!P:P,ROW()-Fenetre)="","",'Historique ajusté'!P87/INDEX('Historique ajusté'!P:P,ROW()-Fenetre)-1))</f>
        <v/>
      </c>
      <c r="Q87" s="34">
        <f>IF(OR(Composites!L87="",ROW()-Fenetre&lt;6),"",IF(INDEX(Composites!L:L,ROW()-Fenetre)="","",Composites!L87/INDEX(Composites!L:L,ROW()-Fenetre)-1))</f>
        <v/>
      </c>
      <c r="R87" s="34">
        <f>IF(OR(Composites!M87="",ROW()-Fenetre&lt;6),"",IF(INDEX(Composites!M:M,ROW()-Fenetre)="","",Composites!M87/INDEX(Composites!M:M,ROW()-Fenetre)-1))</f>
        <v/>
      </c>
      <c r="S87" s="34">
        <f>IF(OR(Composites!N87="",ROW()-Fenetre&lt;6),"",IF(INDEX(Composites!N:N,ROW()-Fenetre)="","",Composites!N87/INDEX(Composites!N:N,ROW()-Fenetre)-1))</f>
        <v/>
      </c>
      <c r="T87" s="34">
        <f>IF(OR(Composites!O87="",ROW()-Fenetre&lt;6),"",IF(INDEX(Composites!O:O,ROW()-Fenetre)="","",Composites!O87/INDEX(Composites!O:O,ROW()-Fenetre)-1))</f>
        <v/>
      </c>
      <c r="U87" s="34">
        <f>IF(OR(Composites!P87="",ROW()-Fenetre&lt;6),"",IF(INDEX(Composites!P:P,ROW()-Fenetre)="","",Composites!P87/INDEX(Composites!P:P,ROW()-Fenetre)-1))</f>
        <v/>
      </c>
      <c r="V87" s="34">
        <f>IF('Historique ajusté'!C87="","",'Historique ajusté'!C87/MAX('Historique ajusté'!C$6:C87)-1)</f>
        <v/>
      </c>
      <c r="W87" s="34">
        <f>IF('Historique ajusté'!D87="","",'Historique ajusté'!D87/MAX('Historique ajusté'!D$6:D87)-1)</f>
        <v/>
      </c>
      <c r="X87" s="34">
        <f>IF('Historique ajusté'!E87="","",'Historique ajusté'!E87/MAX('Historique ajusté'!E$6:E87)-1)</f>
        <v/>
      </c>
      <c r="Y87" s="34">
        <f>IF('Historique ajusté'!F87="","",'Historique ajusté'!F87/MAX('Historique ajusté'!F$6:F87)-1)</f>
        <v/>
      </c>
      <c r="Z87" s="34">
        <f>IF('Historique ajusté'!G87="","",'Historique ajusté'!G87/MAX('Historique ajusté'!G$6:G87)-1)</f>
        <v/>
      </c>
      <c r="AA87" s="34">
        <f>IF('Historique ajusté'!H87="","",'Historique ajusté'!H87/MAX('Historique ajusté'!H$6:H87)-1)</f>
        <v/>
      </c>
      <c r="AB87" s="34">
        <f>IF('Historique ajusté'!I87="","",'Historique ajusté'!I87/MAX('Historique ajusté'!I$6:I87)-1)</f>
        <v/>
      </c>
      <c r="AC87" s="34">
        <f>IF('Historique ajusté'!J87="","",'Historique ajusté'!J87/MAX('Historique ajusté'!J$6:J87)-1)</f>
        <v/>
      </c>
      <c r="AD87" s="34">
        <f>IF('Historique ajusté'!K87="","",'Historique ajusté'!K87/MAX('Historique ajusté'!K$6:K87)-1)</f>
        <v/>
      </c>
      <c r="AE87" s="34">
        <f>IF('Historique ajusté'!L87="","",'Historique ajusté'!L87/MAX('Historique ajusté'!L$6:L87)-1)</f>
        <v/>
      </c>
      <c r="AF87" s="34">
        <f>IF('Historique ajusté'!M87="","",'Historique ajusté'!M87/MAX('Historique ajusté'!M$6:M87)-1)</f>
        <v/>
      </c>
      <c r="AG87" s="34">
        <f>IF('Historique ajusté'!N87="","",'Historique ajusté'!N87/MAX('Historique ajusté'!N$6:N87)-1)</f>
        <v/>
      </c>
      <c r="AH87" s="34">
        <f>IF('Historique ajusté'!O87="","",'Historique ajusté'!O87/MAX('Historique ajusté'!O$6:O87)-1)</f>
        <v/>
      </c>
      <c r="AI87" s="34">
        <f>IF('Historique ajusté'!P87="","",'Historique ajusté'!P87/MAX('Historique ajusté'!P$6:P87)-1)</f>
        <v/>
      </c>
      <c r="AJ87" s="34">
        <f>IF(Composites!L87="","",Composites!L87/MAX(Composites!L$6:L87)-1)</f>
        <v/>
      </c>
      <c r="AK87" s="34">
        <f>IF(Composites!M87="","",Composites!M87/MAX(Composites!M$6:M87)-1)</f>
        <v/>
      </c>
      <c r="AL87" s="34">
        <f>IF(Composites!N87="","",Composites!N87/MAX(Composites!N$6:N87)-1)</f>
        <v/>
      </c>
      <c r="AM87" s="34">
        <f>IF(Composites!O87="","",Composites!O87/MAX(Composites!O$6:O87)-1)</f>
        <v/>
      </c>
      <c r="AN87" s="34">
        <f>IF(Composites!P87="","",Composites!P87/MAX(Composites!P$6:P87)-1)</f>
        <v/>
      </c>
    </row>
    <row r="88">
      <c r="B88" s="32">
        <f>'Historique ajusté'!B88</f>
        <v/>
      </c>
      <c r="C88" s="34">
        <f>IF(OR('Historique ajusté'!C88="",ROW()-Fenetre&lt;6),"",IF(INDEX('Historique ajusté'!C:C,ROW()-Fenetre)="","",'Historique ajusté'!C88/INDEX('Historique ajusté'!C:C,ROW()-Fenetre)-1))</f>
        <v/>
      </c>
      <c r="D88" s="34">
        <f>IF(OR('Historique ajusté'!D88="",ROW()-Fenetre&lt;6),"",IF(INDEX('Historique ajusté'!D:D,ROW()-Fenetre)="","",'Historique ajusté'!D88/INDEX('Historique ajusté'!D:D,ROW()-Fenetre)-1))</f>
        <v/>
      </c>
      <c r="E88" s="34">
        <f>IF(OR('Historique ajusté'!E88="",ROW()-Fenetre&lt;6),"",IF(INDEX('Historique ajusté'!E:E,ROW()-Fenetre)="","",'Historique ajusté'!E88/INDEX('Historique ajusté'!E:E,ROW()-Fenetre)-1))</f>
        <v/>
      </c>
      <c r="F88" s="34">
        <f>IF(OR('Historique ajusté'!F88="",ROW()-Fenetre&lt;6),"",IF(INDEX('Historique ajusté'!F:F,ROW()-Fenetre)="","",'Historique ajusté'!F88/INDEX('Historique ajusté'!F:F,ROW()-Fenetre)-1))</f>
        <v/>
      </c>
      <c r="G88" s="34">
        <f>IF(OR('Historique ajusté'!G88="",ROW()-Fenetre&lt;6),"",IF(INDEX('Historique ajusté'!G:G,ROW()-Fenetre)="","",'Historique ajusté'!G88/INDEX('Historique ajusté'!G:G,ROW()-Fenetre)-1))</f>
        <v/>
      </c>
      <c r="H88" s="34">
        <f>IF(OR('Historique ajusté'!H88="",ROW()-Fenetre&lt;6),"",IF(INDEX('Historique ajusté'!H:H,ROW()-Fenetre)="","",'Historique ajusté'!H88/INDEX('Historique ajusté'!H:H,ROW()-Fenetre)-1))</f>
        <v/>
      </c>
      <c r="I88" s="34">
        <f>IF(OR('Historique ajusté'!I88="",ROW()-Fenetre&lt;6),"",IF(INDEX('Historique ajusté'!I:I,ROW()-Fenetre)="","",'Historique ajusté'!I88/INDEX('Historique ajusté'!I:I,ROW()-Fenetre)-1))</f>
        <v/>
      </c>
      <c r="J88" s="34">
        <f>IF(OR('Historique ajusté'!J88="",ROW()-Fenetre&lt;6),"",IF(INDEX('Historique ajusté'!J:J,ROW()-Fenetre)="","",'Historique ajusté'!J88/INDEX('Historique ajusté'!J:J,ROW()-Fenetre)-1))</f>
        <v/>
      </c>
      <c r="K88" s="34">
        <f>IF(OR('Historique ajusté'!K88="",ROW()-Fenetre&lt;6),"",IF(INDEX('Historique ajusté'!K:K,ROW()-Fenetre)="","",'Historique ajusté'!K88/INDEX('Historique ajusté'!K:K,ROW()-Fenetre)-1))</f>
        <v/>
      </c>
      <c r="L88" s="34">
        <f>IF(OR('Historique ajusté'!L88="",ROW()-Fenetre&lt;6),"",IF(INDEX('Historique ajusté'!L:L,ROW()-Fenetre)="","",'Historique ajusté'!L88/INDEX('Historique ajusté'!L:L,ROW()-Fenetre)-1))</f>
        <v/>
      </c>
      <c r="M88" s="34">
        <f>IF(OR('Historique ajusté'!M88="",ROW()-Fenetre&lt;6),"",IF(INDEX('Historique ajusté'!M:M,ROW()-Fenetre)="","",'Historique ajusté'!M88/INDEX('Historique ajusté'!M:M,ROW()-Fenetre)-1))</f>
        <v/>
      </c>
      <c r="N88" s="34">
        <f>IF(OR('Historique ajusté'!N88="",ROW()-Fenetre&lt;6),"",IF(INDEX('Historique ajusté'!N:N,ROW()-Fenetre)="","",'Historique ajusté'!N88/INDEX('Historique ajusté'!N:N,ROW()-Fenetre)-1))</f>
        <v/>
      </c>
      <c r="O88" s="34">
        <f>IF(OR('Historique ajusté'!O88="",ROW()-Fenetre&lt;6),"",IF(INDEX('Historique ajusté'!O:O,ROW()-Fenetre)="","",'Historique ajusté'!O88/INDEX('Historique ajusté'!O:O,ROW()-Fenetre)-1))</f>
        <v/>
      </c>
      <c r="P88" s="34">
        <f>IF(OR('Historique ajusté'!P88="",ROW()-Fenetre&lt;6),"",IF(INDEX('Historique ajusté'!P:P,ROW()-Fenetre)="","",'Historique ajusté'!P88/INDEX('Historique ajusté'!P:P,ROW()-Fenetre)-1))</f>
        <v/>
      </c>
      <c r="Q88" s="34">
        <f>IF(OR(Composites!L88="",ROW()-Fenetre&lt;6),"",IF(INDEX(Composites!L:L,ROW()-Fenetre)="","",Composites!L88/INDEX(Composites!L:L,ROW()-Fenetre)-1))</f>
        <v/>
      </c>
      <c r="R88" s="34">
        <f>IF(OR(Composites!M88="",ROW()-Fenetre&lt;6),"",IF(INDEX(Composites!M:M,ROW()-Fenetre)="","",Composites!M88/INDEX(Composites!M:M,ROW()-Fenetre)-1))</f>
        <v/>
      </c>
      <c r="S88" s="34">
        <f>IF(OR(Composites!N88="",ROW()-Fenetre&lt;6),"",IF(INDEX(Composites!N:N,ROW()-Fenetre)="","",Composites!N88/INDEX(Composites!N:N,ROW()-Fenetre)-1))</f>
        <v/>
      </c>
      <c r="T88" s="34">
        <f>IF(OR(Composites!O88="",ROW()-Fenetre&lt;6),"",IF(INDEX(Composites!O:O,ROW()-Fenetre)="","",Composites!O88/INDEX(Composites!O:O,ROW()-Fenetre)-1))</f>
        <v/>
      </c>
      <c r="U88" s="34">
        <f>IF(OR(Composites!P88="",ROW()-Fenetre&lt;6),"",IF(INDEX(Composites!P:P,ROW()-Fenetre)="","",Composites!P88/INDEX(Composites!P:P,ROW()-Fenetre)-1))</f>
        <v/>
      </c>
      <c r="V88" s="34">
        <f>IF('Historique ajusté'!C88="","",'Historique ajusté'!C88/MAX('Historique ajusté'!C$6:C88)-1)</f>
        <v/>
      </c>
      <c r="W88" s="34">
        <f>IF('Historique ajusté'!D88="","",'Historique ajusté'!D88/MAX('Historique ajusté'!D$6:D88)-1)</f>
        <v/>
      </c>
      <c r="X88" s="34">
        <f>IF('Historique ajusté'!E88="","",'Historique ajusté'!E88/MAX('Historique ajusté'!E$6:E88)-1)</f>
        <v/>
      </c>
      <c r="Y88" s="34">
        <f>IF('Historique ajusté'!F88="","",'Historique ajusté'!F88/MAX('Historique ajusté'!F$6:F88)-1)</f>
        <v/>
      </c>
      <c r="Z88" s="34">
        <f>IF('Historique ajusté'!G88="","",'Historique ajusté'!G88/MAX('Historique ajusté'!G$6:G88)-1)</f>
        <v/>
      </c>
      <c r="AA88" s="34">
        <f>IF('Historique ajusté'!H88="","",'Historique ajusté'!H88/MAX('Historique ajusté'!H$6:H88)-1)</f>
        <v/>
      </c>
      <c r="AB88" s="34">
        <f>IF('Historique ajusté'!I88="","",'Historique ajusté'!I88/MAX('Historique ajusté'!I$6:I88)-1)</f>
        <v/>
      </c>
      <c r="AC88" s="34">
        <f>IF('Historique ajusté'!J88="","",'Historique ajusté'!J88/MAX('Historique ajusté'!J$6:J88)-1)</f>
        <v/>
      </c>
      <c r="AD88" s="34">
        <f>IF('Historique ajusté'!K88="","",'Historique ajusté'!K88/MAX('Historique ajusté'!K$6:K88)-1)</f>
        <v/>
      </c>
      <c r="AE88" s="34">
        <f>IF('Historique ajusté'!L88="","",'Historique ajusté'!L88/MAX('Historique ajusté'!L$6:L88)-1)</f>
        <v/>
      </c>
      <c r="AF88" s="34">
        <f>IF('Historique ajusté'!M88="","",'Historique ajusté'!M88/MAX('Historique ajusté'!M$6:M88)-1)</f>
        <v/>
      </c>
      <c r="AG88" s="34">
        <f>IF('Historique ajusté'!N88="","",'Historique ajusté'!N88/MAX('Historique ajusté'!N$6:N88)-1)</f>
        <v/>
      </c>
      <c r="AH88" s="34">
        <f>IF('Historique ajusté'!O88="","",'Historique ajusté'!O88/MAX('Historique ajusté'!O$6:O88)-1)</f>
        <v/>
      </c>
      <c r="AI88" s="34">
        <f>IF('Historique ajusté'!P88="","",'Historique ajusté'!P88/MAX('Historique ajusté'!P$6:P88)-1)</f>
        <v/>
      </c>
      <c r="AJ88" s="34">
        <f>IF(Composites!L88="","",Composites!L88/MAX(Composites!L$6:L88)-1)</f>
        <v/>
      </c>
      <c r="AK88" s="34">
        <f>IF(Composites!M88="","",Composites!M88/MAX(Composites!M$6:M88)-1)</f>
        <v/>
      </c>
      <c r="AL88" s="34">
        <f>IF(Composites!N88="","",Composites!N88/MAX(Composites!N$6:N88)-1)</f>
        <v/>
      </c>
      <c r="AM88" s="34">
        <f>IF(Composites!O88="","",Composites!O88/MAX(Composites!O$6:O88)-1)</f>
        <v/>
      </c>
      <c r="AN88" s="34">
        <f>IF(Composites!P88="","",Composites!P88/MAX(Composites!P$6:P88)-1)</f>
        <v/>
      </c>
    </row>
    <row r="89">
      <c r="B89" s="32">
        <f>'Historique ajusté'!B89</f>
        <v/>
      </c>
      <c r="C89" s="34">
        <f>IF(OR('Historique ajusté'!C89="",ROW()-Fenetre&lt;6),"",IF(INDEX('Historique ajusté'!C:C,ROW()-Fenetre)="","",'Historique ajusté'!C89/INDEX('Historique ajusté'!C:C,ROW()-Fenetre)-1))</f>
        <v/>
      </c>
      <c r="D89" s="34">
        <f>IF(OR('Historique ajusté'!D89="",ROW()-Fenetre&lt;6),"",IF(INDEX('Historique ajusté'!D:D,ROW()-Fenetre)="","",'Historique ajusté'!D89/INDEX('Historique ajusté'!D:D,ROW()-Fenetre)-1))</f>
        <v/>
      </c>
      <c r="E89" s="34">
        <f>IF(OR('Historique ajusté'!E89="",ROW()-Fenetre&lt;6),"",IF(INDEX('Historique ajusté'!E:E,ROW()-Fenetre)="","",'Historique ajusté'!E89/INDEX('Historique ajusté'!E:E,ROW()-Fenetre)-1))</f>
        <v/>
      </c>
      <c r="F89" s="34">
        <f>IF(OR('Historique ajusté'!F89="",ROW()-Fenetre&lt;6),"",IF(INDEX('Historique ajusté'!F:F,ROW()-Fenetre)="","",'Historique ajusté'!F89/INDEX('Historique ajusté'!F:F,ROW()-Fenetre)-1))</f>
        <v/>
      </c>
      <c r="G89" s="34">
        <f>IF(OR('Historique ajusté'!G89="",ROW()-Fenetre&lt;6),"",IF(INDEX('Historique ajusté'!G:G,ROW()-Fenetre)="","",'Historique ajusté'!G89/INDEX('Historique ajusté'!G:G,ROW()-Fenetre)-1))</f>
        <v/>
      </c>
      <c r="H89" s="34">
        <f>IF(OR('Historique ajusté'!H89="",ROW()-Fenetre&lt;6),"",IF(INDEX('Historique ajusté'!H:H,ROW()-Fenetre)="","",'Historique ajusté'!H89/INDEX('Historique ajusté'!H:H,ROW()-Fenetre)-1))</f>
        <v/>
      </c>
      <c r="I89" s="34">
        <f>IF(OR('Historique ajusté'!I89="",ROW()-Fenetre&lt;6),"",IF(INDEX('Historique ajusté'!I:I,ROW()-Fenetre)="","",'Historique ajusté'!I89/INDEX('Historique ajusté'!I:I,ROW()-Fenetre)-1))</f>
        <v/>
      </c>
      <c r="J89" s="34">
        <f>IF(OR('Historique ajusté'!J89="",ROW()-Fenetre&lt;6),"",IF(INDEX('Historique ajusté'!J:J,ROW()-Fenetre)="","",'Historique ajusté'!J89/INDEX('Historique ajusté'!J:J,ROW()-Fenetre)-1))</f>
        <v/>
      </c>
      <c r="K89" s="34">
        <f>IF(OR('Historique ajusté'!K89="",ROW()-Fenetre&lt;6),"",IF(INDEX('Historique ajusté'!K:K,ROW()-Fenetre)="","",'Historique ajusté'!K89/INDEX('Historique ajusté'!K:K,ROW()-Fenetre)-1))</f>
        <v/>
      </c>
      <c r="L89" s="34">
        <f>IF(OR('Historique ajusté'!L89="",ROW()-Fenetre&lt;6),"",IF(INDEX('Historique ajusté'!L:L,ROW()-Fenetre)="","",'Historique ajusté'!L89/INDEX('Historique ajusté'!L:L,ROW()-Fenetre)-1))</f>
        <v/>
      </c>
      <c r="M89" s="34">
        <f>IF(OR('Historique ajusté'!M89="",ROW()-Fenetre&lt;6),"",IF(INDEX('Historique ajusté'!M:M,ROW()-Fenetre)="","",'Historique ajusté'!M89/INDEX('Historique ajusté'!M:M,ROW()-Fenetre)-1))</f>
        <v/>
      </c>
      <c r="N89" s="34">
        <f>IF(OR('Historique ajusté'!N89="",ROW()-Fenetre&lt;6),"",IF(INDEX('Historique ajusté'!N:N,ROW()-Fenetre)="","",'Historique ajusté'!N89/INDEX('Historique ajusté'!N:N,ROW()-Fenetre)-1))</f>
        <v/>
      </c>
      <c r="O89" s="34">
        <f>IF(OR('Historique ajusté'!O89="",ROW()-Fenetre&lt;6),"",IF(INDEX('Historique ajusté'!O:O,ROW()-Fenetre)="","",'Historique ajusté'!O89/INDEX('Historique ajusté'!O:O,ROW()-Fenetre)-1))</f>
        <v/>
      </c>
      <c r="P89" s="34">
        <f>IF(OR('Historique ajusté'!P89="",ROW()-Fenetre&lt;6),"",IF(INDEX('Historique ajusté'!P:P,ROW()-Fenetre)="","",'Historique ajusté'!P89/INDEX('Historique ajusté'!P:P,ROW()-Fenetre)-1))</f>
        <v/>
      </c>
      <c r="Q89" s="34">
        <f>IF(OR(Composites!L89="",ROW()-Fenetre&lt;6),"",IF(INDEX(Composites!L:L,ROW()-Fenetre)="","",Composites!L89/INDEX(Composites!L:L,ROW()-Fenetre)-1))</f>
        <v/>
      </c>
      <c r="R89" s="34">
        <f>IF(OR(Composites!M89="",ROW()-Fenetre&lt;6),"",IF(INDEX(Composites!M:M,ROW()-Fenetre)="","",Composites!M89/INDEX(Composites!M:M,ROW()-Fenetre)-1))</f>
        <v/>
      </c>
      <c r="S89" s="34">
        <f>IF(OR(Composites!N89="",ROW()-Fenetre&lt;6),"",IF(INDEX(Composites!N:N,ROW()-Fenetre)="","",Composites!N89/INDEX(Composites!N:N,ROW()-Fenetre)-1))</f>
        <v/>
      </c>
      <c r="T89" s="34">
        <f>IF(OR(Composites!O89="",ROW()-Fenetre&lt;6),"",IF(INDEX(Composites!O:O,ROW()-Fenetre)="","",Composites!O89/INDEX(Composites!O:O,ROW()-Fenetre)-1))</f>
        <v/>
      </c>
      <c r="U89" s="34">
        <f>IF(OR(Composites!P89="",ROW()-Fenetre&lt;6),"",IF(INDEX(Composites!P:P,ROW()-Fenetre)="","",Composites!P89/INDEX(Composites!P:P,ROW()-Fenetre)-1))</f>
        <v/>
      </c>
      <c r="V89" s="34">
        <f>IF('Historique ajusté'!C89="","",'Historique ajusté'!C89/MAX('Historique ajusté'!C$6:C89)-1)</f>
        <v/>
      </c>
      <c r="W89" s="34">
        <f>IF('Historique ajusté'!D89="","",'Historique ajusté'!D89/MAX('Historique ajusté'!D$6:D89)-1)</f>
        <v/>
      </c>
      <c r="X89" s="34">
        <f>IF('Historique ajusté'!E89="","",'Historique ajusté'!E89/MAX('Historique ajusté'!E$6:E89)-1)</f>
        <v/>
      </c>
      <c r="Y89" s="34">
        <f>IF('Historique ajusté'!F89="","",'Historique ajusté'!F89/MAX('Historique ajusté'!F$6:F89)-1)</f>
        <v/>
      </c>
      <c r="Z89" s="34">
        <f>IF('Historique ajusté'!G89="","",'Historique ajusté'!G89/MAX('Historique ajusté'!G$6:G89)-1)</f>
        <v/>
      </c>
      <c r="AA89" s="34">
        <f>IF('Historique ajusté'!H89="","",'Historique ajusté'!H89/MAX('Historique ajusté'!H$6:H89)-1)</f>
        <v/>
      </c>
      <c r="AB89" s="34">
        <f>IF('Historique ajusté'!I89="","",'Historique ajusté'!I89/MAX('Historique ajusté'!I$6:I89)-1)</f>
        <v/>
      </c>
      <c r="AC89" s="34">
        <f>IF('Historique ajusté'!J89="","",'Historique ajusté'!J89/MAX('Historique ajusté'!J$6:J89)-1)</f>
        <v/>
      </c>
      <c r="AD89" s="34">
        <f>IF('Historique ajusté'!K89="","",'Historique ajusté'!K89/MAX('Historique ajusté'!K$6:K89)-1)</f>
        <v/>
      </c>
      <c r="AE89" s="34">
        <f>IF('Historique ajusté'!L89="","",'Historique ajusté'!L89/MAX('Historique ajusté'!L$6:L89)-1)</f>
        <v/>
      </c>
      <c r="AF89" s="34">
        <f>IF('Historique ajusté'!M89="","",'Historique ajusté'!M89/MAX('Historique ajusté'!M$6:M89)-1)</f>
        <v/>
      </c>
      <c r="AG89" s="34">
        <f>IF('Historique ajusté'!N89="","",'Historique ajusté'!N89/MAX('Historique ajusté'!N$6:N89)-1)</f>
        <v/>
      </c>
      <c r="AH89" s="34">
        <f>IF('Historique ajusté'!O89="","",'Historique ajusté'!O89/MAX('Historique ajusté'!O$6:O89)-1)</f>
        <v/>
      </c>
      <c r="AI89" s="34">
        <f>IF('Historique ajusté'!P89="","",'Historique ajusté'!P89/MAX('Historique ajusté'!P$6:P89)-1)</f>
        <v/>
      </c>
      <c r="AJ89" s="34">
        <f>IF(Composites!L89="","",Composites!L89/MAX(Composites!L$6:L89)-1)</f>
        <v/>
      </c>
      <c r="AK89" s="34">
        <f>IF(Composites!M89="","",Composites!M89/MAX(Composites!M$6:M89)-1)</f>
        <v/>
      </c>
      <c r="AL89" s="34">
        <f>IF(Composites!N89="","",Composites!N89/MAX(Composites!N$6:N89)-1)</f>
        <v/>
      </c>
      <c r="AM89" s="34">
        <f>IF(Composites!O89="","",Composites!O89/MAX(Composites!O$6:O89)-1)</f>
        <v/>
      </c>
      <c r="AN89" s="34">
        <f>IF(Composites!P89="","",Composites!P89/MAX(Composites!P$6:P89)-1)</f>
        <v/>
      </c>
    </row>
    <row r="90">
      <c r="B90" s="32">
        <f>'Historique ajusté'!B90</f>
        <v/>
      </c>
      <c r="C90" s="34">
        <f>IF(OR('Historique ajusté'!C90="",ROW()-Fenetre&lt;6),"",IF(INDEX('Historique ajusté'!C:C,ROW()-Fenetre)="","",'Historique ajusté'!C90/INDEX('Historique ajusté'!C:C,ROW()-Fenetre)-1))</f>
        <v/>
      </c>
      <c r="D90" s="34">
        <f>IF(OR('Historique ajusté'!D90="",ROW()-Fenetre&lt;6),"",IF(INDEX('Historique ajusté'!D:D,ROW()-Fenetre)="","",'Historique ajusté'!D90/INDEX('Historique ajusté'!D:D,ROW()-Fenetre)-1))</f>
        <v/>
      </c>
      <c r="E90" s="34">
        <f>IF(OR('Historique ajusté'!E90="",ROW()-Fenetre&lt;6),"",IF(INDEX('Historique ajusté'!E:E,ROW()-Fenetre)="","",'Historique ajusté'!E90/INDEX('Historique ajusté'!E:E,ROW()-Fenetre)-1))</f>
        <v/>
      </c>
      <c r="F90" s="34">
        <f>IF(OR('Historique ajusté'!F90="",ROW()-Fenetre&lt;6),"",IF(INDEX('Historique ajusté'!F:F,ROW()-Fenetre)="","",'Historique ajusté'!F90/INDEX('Historique ajusté'!F:F,ROW()-Fenetre)-1))</f>
        <v/>
      </c>
      <c r="G90" s="34">
        <f>IF(OR('Historique ajusté'!G90="",ROW()-Fenetre&lt;6),"",IF(INDEX('Historique ajusté'!G:G,ROW()-Fenetre)="","",'Historique ajusté'!G90/INDEX('Historique ajusté'!G:G,ROW()-Fenetre)-1))</f>
        <v/>
      </c>
      <c r="H90" s="34">
        <f>IF(OR('Historique ajusté'!H90="",ROW()-Fenetre&lt;6),"",IF(INDEX('Historique ajusté'!H:H,ROW()-Fenetre)="","",'Historique ajusté'!H90/INDEX('Historique ajusté'!H:H,ROW()-Fenetre)-1))</f>
        <v/>
      </c>
      <c r="I90" s="34">
        <f>IF(OR('Historique ajusté'!I90="",ROW()-Fenetre&lt;6),"",IF(INDEX('Historique ajusté'!I:I,ROW()-Fenetre)="","",'Historique ajusté'!I90/INDEX('Historique ajusté'!I:I,ROW()-Fenetre)-1))</f>
        <v/>
      </c>
      <c r="J90" s="34">
        <f>IF(OR('Historique ajusté'!J90="",ROW()-Fenetre&lt;6),"",IF(INDEX('Historique ajusté'!J:J,ROW()-Fenetre)="","",'Historique ajusté'!J90/INDEX('Historique ajusté'!J:J,ROW()-Fenetre)-1))</f>
        <v/>
      </c>
      <c r="K90" s="34">
        <f>IF(OR('Historique ajusté'!K90="",ROW()-Fenetre&lt;6),"",IF(INDEX('Historique ajusté'!K:K,ROW()-Fenetre)="","",'Historique ajusté'!K90/INDEX('Historique ajusté'!K:K,ROW()-Fenetre)-1))</f>
        <v/>
      </c>
      <c r="L90" s="34">
        <f>IF(OR('Historique ajusté'!L90="",ROW()-Fenetre&lt;6),"",IF(INDEX('Historique ajusté'!L:L,ROW()-Fenetre)="","",'Historique ajusté'!L90/INDEX('Historique ajusté'!L:L,ROW()-Fenetre)-1))</f>
        <v/>
      </c>
      <c r="M90" s="34">
        <f>IF(OR('Historique ajusté'!M90="",ROW()-Fenetre&lt;6),"",IF(INDEX('Historique ajusté'!M:M,ROW()-Fenetre)="","",'Historique ajusté'!M90/INDEX('Historique ajusté'!M:M,ROW()-Fenetre)-1))</f>
        <v/>
      </c>
      <c r="N90" s="34">
        <f>IF(OR('Historique ajusté'!N90="",ROW()-Fenetre&lt;6),"",IF(INDEX('Historique ajusté'!N:N,ROW()-Fenetre)="","",'Historique ajusté'!N90/INDEX('Historique ajusté'!N:N,ROW()-Fenetre)-1))</f>
        <v/>
      </c>
      <c r="O90" s="34">
        <f>IF(OR('Historique ajusté'!O90="",ROW()-Fenetre&lt;6),"",IF(INDEX('Historique ajusté'!O:O,ROW()-Fenetre)="","",'Historique ajusté'!O90/INDEX('Historique ajusté'!O:O,ROW()-Fenetre)-1))</f>
        <v/>
      </c>
      <c r="P90" s="34">
        <f>IF(OR('Historique ajusté'!P90="",ROW()-Fenetre&lt;6),"",IF(INDEX('Historique ajusté'!P:P,ROW()-Fenetre)="","",'Historique ajusté'!P90/INDEX('Historique ajusté'!P:P,ROW()-Fenetre)-1))</f>
        <v/>
      </c>
      <c r="Q90" s="34">
        <f>IF(OR(Composites!L90="",ROW()-Fenetre&lt;6),"",IF(INDEX(Composites!L:L,ROW()-Fenetre)="","",Composites!L90/INDEX(Composites!L:L,ROW()-Fenetre)-1))</f>
        <v/>
      </c>
      <c r="R90" s="34">
        <f>IF(OR(Composites!M90="",ROW()-Fenetre&lt;6),"",IF(INDEX(Composites!M:M,ROW()-Fenetre)="","",Composites!M90/INDEX(Composites!M:M,ROW()-Fenetre)-1))</f>
        <v/>
      </c>
      <c r="S90" s="34">
        <f>IF(OR(Composites!N90="",ROW()-Fenetre&lt;6),"",IF(INDEX(Composites!N:N,ROW()-Fenetre)="","",Composites!N90/INDEX(Composites!N:N,ROW()-Fenetre)-1))</f>
        <v/>
      </c>
      <c r="T90" s="34">
        <f>IF(OR(Composites!O90="",ROW()-Fenetre&lt;6),"",IF(INDEX(Composites!O:O,ROW()-Fenetre)="","",Composites!O90/INDEX(Composites!O:O,ROW()-Fenetre)-1))</f>
        <v/>
      </c>
      <c r="U90" s="34">
        <f>IF(OR(Composites!P90="",ROW()-Fenetre&lt;6),"",IF(INDEX(Composites!P:P,ROW()-Fenetre)="","",Composites!P90/INDEX(Composites!P:P,ROW()-Fenetre)-1))</f>
        <v/>
      </c>
      <c r="V90" s="34">
        <f>IF('Historique ajusté'!C90="","",'Historique ajusté'!C90/MAX('Historique ajusté'!C$6:C90)-1)</f>
        <v/>
      </c>
      <c r="W90" s="34">
        <f>IF('Historique ajusté'!D90="","",'Historique ajusté'!D90/MAX('Historique ajusté'!D$6:D90)-1)</f>
        <v/>
      </c>
      <c r="X90" s="34">
        <f>IF('Historique ajusté'!E90="","",'Historique ajusté'!E90/MAX('Historique ajusté'!E$6:E90)-1)</f>
        <v/>
      </c>
      <c r="Y90" s="34">
        <f>IF('Historique ajusté'!F90="","",'Historique ajusté'!F90/MAX('Historique ajusté'!F$6:F90)-1)</f>
        <v/>
      </c>
      <c r="Z90" s="34">
        <f>IF('Historique ajusté'!G90="","",'Historique ajusté'!G90/MAX('Historique ajusté'!G$6:G90)-1)</f>
        <v/>
      </c>
      <c r="AA90" s="34">
        <f>IF('Historique ajusté'!H90="","",'Historique ajusté'!H90/MAX('Historique ajusté'!H$6:H90)-1)</f>
        <v/>
      </c>
      <c r="AB90" s="34">
        <f>IF('Historique ajusté'!I90="","",'Historique ajusté'!I90/MAX('Historique ajusté'!I$6:I90)-1)</f>
        <v/>
      </c>
      <c r="AC90" s="34">
        <f>IF('Historique ajusté'!J90="","",'Historique ajusté'!J90/MAX('Historique ajusté'!J$6:J90)-1)</f>
        <v/>
      </c>
      <c r="AD90" s="34">
        <f>IF('Historique ajusté'!K90="","",'Historique ajusté'!K90/MAX('Historique ajusté'!K$6:K90)-1)</f>
        <v/>
      </c>
      <c r="AE90" s="34">
        <f>IF('Historique ajusté'!L90="","",'Historique ajusté'!L90/MAX('Historique ajusté'!L$6:L90)-1)</f>
        <v/>
      </c>
      <c r="AF90" s="34">
        <f>IF('Historique ajusté'!M90="","",'Historique ajusté'!M90/MAX('Historique ajusté'!M$6:M90)-1)</f>
        <v/>
      </c>
      <c r="AG90" s="34">
        <f>IF('Historique ajusté'!N90="","",'Historique ajusté'!N90/MAX('Historique ajusté'!N$6:N90)-1)</f>
        <v/>
      </c>
      <c r="AH90" s="34">
        <f>IF('Historique ajusté'!O90="","",'Historique ajusté'!O90/MAX('Historique ajusté'!O$6:O90)-1)</f>
        <v/>
      </c>
      <c r="AI90" s="34">
        <f>IF('Historique ajusté'!P90="","",'Historique ajusté'!P90/MAX('Historique ajusté'!P$6:P90)-1)</f>
        <v/>
      </c>
      <c r="AJ90" s="34">
        <f>IF(Composites!L90="","",Composites!L90/MAX(Composites!L$6:L90)-1)</f>
        <v/>
      </c>
      <c r="AK90" s="34">
        <f>IF(Composites!M90="","",Composites!M90/MAX(Composites!M$6:M90)-1)</f>
        <v/>
      </c>
      <c r="AL90" s="34">
        <f>IF(Composites!N90="","",Composites!N90/MAX(Composites!N$6:N90)-1)</f>
        <v/>
      </c>
      <c r="AM90" s="34">
        <f>IF(Composites!O90="","",Composites!O90/MAX(Composites!O$6:O90)-1)</f>
        <v/>
      </c>
      <c r="AN90" s="34">
        <f>IF(Composites!P90="","",Composites!P90/MAX(Composites!P$6:P90)-1)</f>
        <v/>
      </c>
    </row>
    <row r="91">
      <c r="B91" s="32">
        <f>'Historique ajusté'!B91</f>
        <v/>
      </c>
      <c r="C91" s="34">
        <f>IF(OR('Historique ajusté'!C91="",ROW()-Fenetre&lt;6),"",IF(INDEX('Historique ajusté'!C:C,ROW()-Fenetre)="","",'Historique ajusté'!C91/INDEX('Historique ajusté'!C:C,ROW()-Fenetre)-1))</f>
        <v/>
      </c>
      <c r="D91" s="34">
        <f>IF(OR('Historique ajusté'!D91="",ROW()-Fenetre&lt;6),"",IF(INDEX('Historique ajusté'!D:D,ROW()-Fenetre)="","",'Historique ajusté'!D91/INDEX('Historique ajusté'!D:D,ROW()-Fenetre)-1))</f>
        <v/>
      </c>
      <c r="E91" s="34">
        <f>IF(OR('Historique ajusté'!E91="",ROW()-Fenetre&lt;6),"",IF(INDEX('Historique ajusté'!E:E,ROW()-Fenetre)="","",'Historique ajusté'!E91/INDEX('Historique ajusté'!E:E,ROW()-Fenetre)-1))</f>
        <v/>
      </c>
      <c r="F91" s="34">
        <f>IF(OR('Historique ajusté'!F91="",ROW()-Fenetre&lt;6),"",IF(INDEX('Historique ajusté'!F:F,ROW()-Fenetre)="","",'Historique ajusté'!F91/INDEX('Historique ajusté'!F:F,ROW()-Fenetre)-1))</f>
        <v/>
      </c>
      <c r="G91" s="34">
        <f>IF(OR('Historique ajusté'!G91="",ROW()-Fenetre&lt;6),"",IF(INDEX('Historique ajusté'!G:G,ROW()-Fenetre)="","",'Historique ajusté'!G91/INDEX('Historique ajusté'!G:G,ROW()-Fenetre)-1))</f>
        <v/>
      </c>
      <c r="H91" s="34">
        <f>IF(OR('Historique ajusté'!H91="",ROW()-Fenetre&lt;6),"",IF(INDEX('Historique ajusté'!H:H,ROW()-Fenetre)="","",'Historique ajusté'!H91/INDEX('Historique ajusté'!H:H,ROW()-Fenetre)-1))</f>
        <v/>
      </c>
      <c r="I91" s="34">
        <f>IF(OR('Historique ajusté'!I91="",ROW()-Fenetre&lt;6),"",IF(INDEX('Historique ajusté'!I:I,ROW()-Fenetre)="","",'Historique ajusté'!I91/INDEX('Historique ajusté'!I:I,ROW()-Fenetre)-1))</f>
        <v/>
      </c>
      <c r="J91" s="34">
        <f>IF(OR('Historique ajusté'!J91="",ROW()-Fenetre&lt;6),"",IF(INDEX('Historique ajusté'!J:J,ROW()-Fenetre)="","",'Historique ajusté'!J91/INDEX('Historique ajusté'!J:J,ROW()-Fenetre)-1))</f>
        <v/>
      </c>
      <c r="K91" s="34">
        <f>IF(OR('Historique ajusté'!K91="",ROW()-Fenetre&lt;6),"",IF(INDEX('Historique ajusté'!K:K,ROW()-Fenetre)="","",'Historique ajusté'!K91/INDEX('Historique ajusté'!K:K,ROW()-Fenetre)-1))</f>
        <v/>
      </c>
      <c r="L91" s="34">
        <f>IF(OR('Historique ajusté'!L91="",ROW()-Fenetre&lt;6),"",IF(INDEX('Historique ajusté'!L:L,ROW()-Fenetre)="","",'Historique ajusté'!L91/INDEX('Historique ajusté'!L:L,ROW()-Fenetre)-1))</f>
        <v/>
      </c>
      <c r="M91" s="34">
        <f>IF(OR('Historique ajusté'!M91="",ROW()-Fenetre&lt;6),"",IF(INDEX('Historique ajusté'!M:M,ROW()-Fenetre)="","",'Historique ajusté'!M91/INDEX('Historique ajusté'!M:M,ROW()-Fenetre)-1))</f>
        <v/>
      </c>
      <c r="N91" s="34">
        <f>IF(OR('Historique ajusté'!N91="",ROW()-Fenetre&lt;6),"",IF(INDEX('Historique ajusté'!N:N,ROW()-Fenetre)="","",'Historique ajusté'!N91/INDEX('Historique ajusté'!N:N,ROW()-Fenetre)-1))</f>
        <v/>
      </c>
      <c r="O91" s="34">
        <f>IF(OR('Historique ajusté'!O91="",ROW()-Fenetre&lt;6),"",IF(INDEX('Historique ajusté'!O:O,ROW()-Fenetre)="","",'Historique ajusté'!O91/INDEX('Historique ajusté'!O:O,ROW()-Fenetre)-1))</f>
        <v/>
      </c>
      <c r="P91" s="34">
        <f>IF(OR('Historique ajusté'!P91="",ROW()-Fenetre&lt;6),"",IF(INDEX('Historique ajusté'!P:P,ROW()-Fenetre)="","",'Historique ajusté'!P91/INDEX('Historique ajusté'!P:P,ROW()-Fenetre)-1))</f>
        <v/>
      </c>
      <c r="Q91" s="34">
        <f>IF(OR(Composites!L91="",ROW()-Fenetre&lt;6),"",IF(INDEX(Composites!L:L,ROW()-Fenetre)="","",Composites!L91/INDEX(Composites!L:L,ROW()-Fenetre)-1))</f>
        <v/>
      </c>
      <c r="R91" s="34">
        <f>IF(OR(Composites!M91="",ROW()-Fenetre&lt;6),"",IF(INDEX(Composites!M:M,ROW()-Fenetre)="","",Composites!M91/INDEX(Composites!M:M,ROW()-Fenetre)-1))</f>
        <v/>
      </c>
      <c r="S91" s="34">
        <f>IF(OR(Composites!N91="",ROW()-Fenetre&lt;6),"",IF(INDEX(Composites!N:N,ROW()-Fenetre)="","",Composites!N91/INDEX(Composites!N:N,ROW()-Fenetre)-1))</f>
        <v/>
      </c>
      <c r="T91" s="34">
        <f>IF(OR(Composites!O91="",ROW()-Fenetre&lt;6),"",IF(INDEX(Composites!O:O,ROW()-Fenetre)="","",Composites!O91/INDEX(Composites!O:O,ROW()-Fenetre)-1))</f>
        <v/>
      </c>
      <c r="U91" s="34">
        <f>IF(OR(Composites!P91="",ROW()-Fenetre&lt;6),"",IF(INDEX(Composites!P:P,ROW()-Fenetre)="","",Composites!P91/INDEX(Composites!P:P,ROW()-Fenetre)-1))</f>
        <v/>
      </c>
      <c r="V91" s="34">
        <f>IF('Historique ajusté'!C91="","",'Historique ajusté'!C91/MAX('Historique ajusté'!C$6:C91)-1)</f>
        <v/>
      </c>
      <c r="W91" s="34">
        <f>IF('Historique ajusté'!D91="","",'Historique ajusté'!D91/MAX('Historique ajusté'!D$6:D91)-1)</f>
        <v/>
      </c>
      <c r="X91" s="34">
        <f>IF('Historique ajusté'!E91="","",'Historique ajusté'!E91/MAX('Historique ajusté'!E$6:E91)-1)</f>
        <v/>
      </c>
      <c r="Y91" s="34">
        <f>IF('Historique ajusté'!F91="","",'Historique ajusté'!F91/MAX('Historique ajusté'!F$6:F91)-1)</f>
        <v/>
      </c>
      <c r="Z91" s="34">
        <f>IF('Historique ajusté'!G91="","",'Historique ajusté'!G91/MAX('Historique ajusté'!G$6:G91)-1)</f>
        <v/>
      </c>
      <c r="AA91" s="34">
        <f>IF('Historique ajusté'!H91="","",'Historique ajusté'!H91/MAX('Historique ajusté'!H$6:H91)-1)</f>
        <v/>
      </c>
      <c r="AB91" s="34">
        <f>IF('Historique ajusté'!I91="","",'Historique ajusté'!I91/MAX('Historique ajusté'!I$6:I91)-1)</f>
        <v/>
      </c>
      <c r="AC91" s="34">
        <f>IF('Historique ajusté'!J91="","",'Historique ajusté'!J91/MAX('Historique ajusté'!J$6:J91)-1)</f>
        <v/>
      </c>
      <c r="AD91" s="34">
        <f>IF('Historique ajusté'!K91="","",'Historique ajusté'!K91/MAX('Historique ajusté'!K$6:K91)-1)</f>
        <v/>
      </c>
      <c r="AE91" s="34">
        <f>IF('Historique ajusté'!L91="","",'Historique ajusté'!L91/MAX('Historique ajusté'!L$6:L91)-1)</f>
        <v/>
      </c>
      <c r="AF91" s="34">
        <f>IF('Historique ajusté'!M91="","",'Historique ajusté'!M91/MAX('Historique ajusté'!M$6:M91)-1)</f>
        <v/>
      </c>
      <c r="AG91" s="34">
        <f>IF('Historique ajusté'!N91="","",'Historique ajusté'!N91/MAX('Historique ajusté'!N$6:N91)-1)</f>
        <v/>
      </c>
      <c r="AH91" s="34">
        <f>IF('Historique ajusté'!O91="","",'Historique ajusté'!O91/MAX('Historique ajusté'!O$6:O91)-1)</f>
        <v/>
      </c>
      <c r="AI91" s="34">
        <f>IF('Historique ajusté'!P91="","",'Historique ajusté'!P91/MAX('Historique ajusté'!P$6:P91)-1)</f>
        <v/>
      </c>
      <c r="AJ91" s="34">
        <f>IF(Composites!L91="","",Composites!L91/MAX(Composites!L$6:L91)-1)</f>
        <v/>
      </c>
      <c r="AK91" s="34">
        <f>IF(Composites!M91="","",Composites!M91/MAX(Composites!M$6:M91)-1)</f>
        <v/>
      </c>
      <c r="AL91" s="34">
        <f>IF(Composites!N91="","",Composites!N91/MAX(Composites!N$6:N91)-1)</f>
        <v/>
      </c>
      <c r="AM91" s="34">
        <f>IF(Composites!O91="","",Composites!O91/MAX(Composites!O$6:O91)-1)</f>
        <v/>
      </c>
      <c r="AN91" s="34">
        <f>IF(Composites!P91="","",Composites!P91/MAX(Composites!P$6:P91)-1)</f>
        <v/>
      </c>
    </row>
    <row r="92">
      <c r="B92" s="32">
        <f>'Historique ajusté'!B92</f>
        <v/>
      </c>
      <c r="C92" s="34">
        <f>IF(OR('Historique ajusté'!C92="",ROW()-Fenetre&lt;6),"",IF(INDEX('Historique ajusté'!C:C,ROW()-Fenetre)="","",'Historique ajusté'!C92/INDEX('Historique ajusté'!C:C,ROW()-Fenetre)-1))</f>
        <v/>
      </c>
      <c r="D92" s="34">
        <f>IF(OR('Historique ajusté'!D92="",ROW()-Fenetre&lt;6),"",IF(INDEX('Historique ajusté'!D:D,ROW()-Fenetre)="","",'Historique ajusté'!D92/INDEX('Historique ajusté'!D:D,ROW()-Fenetre)-1))</f>
        <v/>
      </c>
      <c r="E92" s="34">
        <f>IF(OR('Historique ajusté'!E92="",ROW()-Fenetre&lt;6),"",IF(INDEX('Historique ajusté'!E:E,ROW()-Fenetre)="","",'Historique ajusté'!E92/INDEX('Historique ajusté'!E:E,ROW()-Fenetre)-1))</f>
        <v/>
      </c>
      <c r="F92" s="34">
        <f>IF(OR('Historique ajusté'!F92="",ROW()-Fenetre&lt;6),"",IF(INDEX('Historique ajusté'!F:F,ROW()-Fenetre)="","",'Historique ajusté'!F92/INDEX('Historique ajusté'!F:F,ROW()-Fenetre)-1))</f>
        <v/>
      </c>
      <c r="G92" s="34">
        <f>IF(OR('Historique ajusté'!G92="",ROW()-Fenetre&lt;6),"",IF(INDEX('Historique ajusté'!G:G,ROW()-Fenetre)="","",'Historique ajusté'!G92/INDEX('Historique ajusté'!G:G,ROW()-Fenetre)-1))</f>
        <v/>
      </c>
      <c r="H92" s="34">
        <f>IF(OR('Historique ajusté'!H92="",ROW()-Fenetre&lt;6),"",IF(INDEX('Historique ajusté'!H:H,ROW()-Fenetre)="","",'Historique ajusté'!H92/INDEX('Historique ajusté'!H:H,ROW()-Fenetre)-1))</f>
        <v/>
      </c>
      <c r="I92" s="34">
        <f>IF(OR('Historique ajusté'!I92="",ROW()-Fenetre&lt;6),"",IF(INDEX('Historique ajusté'!I:I,ROW()-Fenetre)="","",'Historique ajusté'!I92/INDEX('Historique ajusté'!I:I,ROW()-Fenetre)-1))</f>
        <v/>
      </c>
      <c r="J92" s="34">
        <f>IF(OR('Historique ajusté'!J92="",ROW()-Fenetre&lt;6),"",IF(INDEX('Historique ajusté'!J:J,ROW()-Fenetre)="","",'Historique ajusté'!J92/INDEX('Historique ajusté'!J:J,ROW()-Fenetre)-1))</f>
        <v/>
      </c>
      <c r="K92" s="34">
        <f>IF(OR('Historique ajusté'!K92="",ROW()-Fenetre&lt;6),"",IF(INDEX('Historique ajusté'!K:K,ROW()-Fenetre)="","",'Historique ajusté'!K92/INDEX('Historique ajusté'!K:K,ROW()-Fenetre)-1))</f>
        <v/>
      </c>
      <c r="L92" s="34">
        <f>IF(OR('Historique ajusté'!L92="",ROW()-Fenetre&lt;6),"",IF(INDEX('Historique ajusté'!L:L,ROW()-Fenetre)="","",'Historique ajusté'!L92/INDEX('Historique ajusté'!L:L,ROW()-Fenetre)-1))</f>
        <v/>
      </c>
      <c r="M92" s="34">
        <f>IF(OR('Historique ajusté'!M92="",ROW()-Fenetre&lt;6),"",IF(INDEX('Historique ajusté'!M:M,ROW()-Fenetre)="","",'Historique ajusté'!M92/INDEX('Historique ajusté'!M:M,ROW()-Fenetre)-1))</f>
        <v/>
      </c>
      <c r="N92" s="34">
        <f>IF(OR('Historique ajusté'!N92="",ROW()-Fenetre&lt;6),"",IF(INDEX('Historique ajusté'!N:N,ROW()-Fenetre)="","",'Historique ajusté'!N92/INDEX('Historique ajusté'!N:N,ROW()-Fenetre)-1))</f>
        <v/>
      </c>
      <c r="O92" s="34">
        <f>IF(OR('Historique ajusté'!O92="",ROW()-Fenetre&lt;6),"",IF(INDEX('Historique ajusté'!O:O,ROW()-Fenetre)="","",'Historique ajusté'!O92/INDEX('Historique ajusté'!O:O,ROW()-Fenetre)-1))</f>
        <v/>
      </c>
      <c r="P92" s="34">
        <f>IF(OR('Historique ajusté'!P92="",ROW()-Fenetre&lt;6),"",IF(INDEX('Historique ajusté'!P:P,ROW()-Fenetre)="","",'Historique ajusté'!P92/INDEX('Historique ajusté'!P:P,ROW()-Fenetre)-1))</f>
        <v/>
      </c>
      <c r="Q92" s="34">
        <f>IF(OR(Composites!L92="",ROW()-Fenetre&lt;6),"",IF(INDEX(Composites!L:L,ROW()-Fenetre)="","",Composites!L92/INDEX(Composites!L:L,ROW()-Fenetre)-1))</f>
        <v/>
      </c>
      <c r="R92" s="34">
        <f>IF(OR(Composites!M92="",ROW()-Fenetre&lt;6),"",IF(INDEX(Composites!M:M,ROW()-Fenetre)="","",Composites!M92/INDEX(Composites!M:M,ROW()-Fenetre)-1))</f>
        <v/>
      </c>
      <c r="S92" s="34">
        <f>IF(OR(Composites!N92="",ROW()-Fenetre&lt;6),"",IF(INDEX(Composites!N:N,ROW()-Fenetre)="","",Composites!N92/INDEX(Composites!N:N,ROW()-Fenetre)-1))</f>
        <v/>
      </c>
      <c r="T92" s="34">
        <f>IF(OR(Composites!O92="",ROW()-Fenetre&lt;6),"",IF(INDEX(Composites!O:O,ROW()-Fenetre)="","",Composites!O92/INDEX(Composites!O:O,ROW()-Fenetre)-1))</f>
        <v/>
      </c>
      <c r="U92" s="34">
        <f>IF(OR(Composites!P92="",ROW()-Fenetre&lt;6),"",IF(INDEX(Composites!P:P,ROW()-Fenetre)="","",Composites!P92/INDEX(Composites!P:P,ROW()-Fenetre)-1))</f>
        <v/>
      </c>
      <c r="V92" s="34">
        <f>IF('Historique ajusté'!C92="","",'Historique ajusté'!C92/MAX('Historique ajusté'!C$6:C92)-1)</f>
        <v/>
      </c>
      <c r="W92" s="34">
        <f>IF('Historique ajusté'!D92="","",'Historique ajusté'!D92/MAX('Historique ajusté'!D$6:D92)-1)</f>
        <v/>
      </c>
      <c r="X92" s="34">
        <f>IF('Historique ajusté'!E92="","",'Historique ajusté'!E92/MAX('Historique ajusté'!E$6:E92)-1)</f>
        <v/>
      </c>
      <c r="Y92" s="34">
        <f>IF('Historique ajusté'!F92="","",'Historique ajusté'!F92/MAX('Historique ajusté'!F$6:F92)-1)</f>
        <v/>
      </c>
      <c r="Z92" s="34">
        <f>IF('Historique ajusté'!G92="","",'Historique ajusté'!G92/MAX('Historique ajusté'!G$6:G92)-1)</f>
        <v/>
      </c>
      <c r="AA92" s="34">
        <f>IF('Historique ajusté'!H92="","",'Historique ajusté'!H92/MAX('Historique ajusté'!H$6:H92)-1)</f>
        <v/>
      </c>
      <c r="AB92" s="34">
        <f>IF('Historique ajusté'!I92="","",'Historique ajusté'!I92/MAX('Historique ajusté'!I$6:I92)-1)</f>
        <v/>
      </c>
      <c r="AC92" s="34">
        <f>IF('Historique ajusté'!J92="","",'Historique ajusté'!J92/MAX('Historique ajusté'!J$6:J92)-1)</f>
        <v/>
      </c>
      <c r="AD92" s="34">
        <f>IF('Historique ajusté'!K92="","",'Historique ajusté'!K92/MAX('Historique ajusté'!K$6:K92)-1)</f>
        <v/>
      </c>
      <c r="AE92" s="34">
        <f>IF('Historique ajusté'!L92="","",'Historique ajusté'!L92/MAX('Historique ajusté'!L$6:L92)-1)</f>
        <v/>
      </c>
      <c r="AF92" s="34">
        <f>IF('Historique ajusté'!M92="","",'Historique ajusté'!M92/MAX('Historique ajusté'!M$6:M92)-1)</f>
        <v/>
      </c>
      <c r="AG92" s="34">
        <f>IF('Historique ajusté'!N92="","",'Historique ajusté'!N92/MAX('Historique ajusté'!N$6:N92)-1)</f>
        <v/>
      </c>
      <c r="AH92" s="34">
        <f>IF('Historique ajusté'!O92="","",'Historique ajusté'!O92/MAX('Historique ajusté'!O$6:O92)-1)</f>
        <v/>
      </c>
      <c r="AI92" s="34">
        <f>IF('Historique ajusté'!P92="","",'Historique ajusté'!P92/MAX('Historique ajusté'!P$6:P92)-1)</f>
        <v/>
      </c>
      <c r="AJ92" s="34">
        <f>IF(Composites!L92="","",Composites!L92/MAX(Composites!L$6:L92)-1)</f>
        <v/>
      </c>
      <c r="AK92" s="34">
        <f>IF(Composites!M92="","",Composites!M92/MAX(Composites!M$6:M92)-1)</f>
        <v/>
      </c>
      <c r="AL92" s="34">
        <f>IF(Composites!N92="","",Composites!N92/MAX(Composites!N$6:N92)-1)</f>
        <v/>
      </c>
      <c r="AM92" s="34">
        <f>IF(Composites!O92="","",Composites!O92/MAX(Composites!O$6:O92)-1)</f>
        <v/>
      </c>
      <c r="AN92" s="34">
        <f>IF(Composites!P92="","",Composites!P92/MAX(Composites!P$6:P92)-1)</f>
        <v/>
      </c>
    </row>
    <row r="93">
      <c r="B93" s="32">
        <f>'Historique ajusté'!B93</f>
        <v/>
      </c>
      <c r="C93" s="34">
        <f>IF(OR('Historique ajusté'!C93="",ROW()-Fenetre&lt;6),"",IF(INDEX('Historique ajusté'!C:C,ROW()-Fenetre)="","",'Historique ajusté'!C93/INDEX('Historique ajusté'!C:C,ROW()-Fenetre)-1))</f>
        <v/>
      </c>
      <c r="D93" s="34">
        <f>IF(OR('Historique ajusté'!D93="",ROW()-Fenetre&lt;6),"",IF(INDEX('Historique ajusté'!D:D,ROW()-Fenetre)="","",'Historique ajusté'!D93/INDEX('Historique ajusté'!D:D,ROW()-Fenetre)-1))</f>
        <v/>
      </c>
      <c r="E93" s="34">
        <f>IF(OR('Historique ajusté'!E93="",ROW()-Fenetre&lt;6),"",IF(INDEX('Historique ajusté'!E:E,ROW()-Fenetre)="","",'Historique ajusté'!E93/INDEX('Historique ajusté'!E:E,ROW()-Fenetre)-1))</f>
        <v/>
      </c>
      <c r="F93" s="34">
        <f>IF(OR('Historique ajusté'!F93="",ROW()-Fenetre&lt;6),"",IF(INDEX('Historique ajusté'!F:F,ROW()-Fenetre)="","",'Historique ajusté'!F93/INDEX('Historique ajusté'!F:F,ROW()-Fenetre)-1))</f>
        <v/>
      </c>
      <c r="G93" s="34">
        <f>IF(OR('Historique ajusté'!G93="",ROW()-Fenetre&lt;6),"",IF(INDEX('Historique ajusté'!G:G,ROW()-Fenetre)="","",'Historique ajusté'!G93/INDEX('Historique ajusté'!G:G,ROW()-Fenetre)-1))</f>
        <v/>
      </c>
      <c r="H93" s="34">
        <f>IF(OR('Historique ajusté'!H93="",ROW()-Fenetre&lt;6),"",IF(INDEX('Historique ajusté'!H:H,ROW()-Fenetre)="","",'Historique ajusté'!H93/INDEX('Historique ajusté'!H:H,ROW()-Fenetre)-1))</f>
        <v/>
      </c>
      <c r="I93" s="34">
        <f>IF(OR('Historique ajusté'!I93="",ROW()-Fenetre&lt;6),"",IF(INDEX('Historique ajusté'!I:I,ROW()-Fenetre)="","",'Historique ajusté'!I93/INDEX('Historique ajusté'!I:I,ROW()-Fenetre)-1))</f>
        <v/>
      </c>
      <c r="J93" s="34">
        <f>IF(OR('Historique ajusté'!J93="",ROW()-Fenetre&lt;6),"",IF(INDEX('Historique ajusté'!J:J,ROW()-Fenetre)="","",'Historique ajusté'!J93/INDEX('Historique ajusté'!J:J,ROW()-Fenetre)-1))</f>
        <v/>
      </c>
      <c r="K93" s="34">
        <f>IF(OR('Historique ajusté'!K93="",ROW()-Fenetre&lt;6),"",IF(INDEX('Historique ajusté'!K:K,ROW()-Fenetre)="","",'Historique ajusté'!K93/INDEX('Historique ajusté'!K:K,ROW()-Fenetre)-1))</f>
        <v/>
      </c>
      <c r="L93" s="34">
        <f>IF(OR('Historique ajusté'!L93="",ROW()-Fenetre&lt;6),"",IF(INDEX('Historique ajusté'!L:L,ROW()-Fenetre)="","",'Historique ajusté'!L93/INDEX('Historique ajusté'!L:L,ROW()-Fenetre)-1))</f>
        <v/>
      </c>
      <c r="M93" s="34">
        <f>IF(OR('Historique ajusté'!M93="",ROW()-Fenetre&lt;6),"",IF(INDEX('Historique ajusté'!M:M,ROW()-Fenetre)="","",'Historique ajusté'!M93/INDEX('Historique ajusté'!M:M,ROW()-Fenetre)-1))</f>
        <v/>
      </c>
      <c r="N93" s="34">
        <f>IF(OR('Historique ajusté'!N93="",ROW()-Fenetre&lt;6),"",IF(INDEX('Historique ajusté'!N:N,ROW()-Fenetre)="","",'Historique ajusté'!N93/INDEX('Historique ajusté'!N:N,ROW()-Fenetre)-1))</f>
        <v/>
      </c>
      <c r="O93" s="34">
        <f>IF(OR('Historique ajusté'!O93="",ROW()-Fenetre&lt;6),"",IF(INDEX('Historique ajusté'!O:O,ROW()-Fenetre)="","",'Historique ajusté'!O93/INDEX('Historique ajusté'!O:O,ROW()-Fenetre)-1))</f>
        <v/>
      </c>
      <c r="P93" s="34">
        <f>IF(OR('Historique ajusté'!P93="",ROW()-Fenetre&lt;6),"",IF(INDEX('Historique ajusté'!P:P,ROW()-Fenetre)="","",'Historique ajusté'!P93/INDEX('Historique ajusté'!P:P,ROW()-Fenetre)-1))</f>
        <v/>
      </c>
      <c r="Q93" s="34">
        <f>IF(OR(Composites!L93="",ROW()-Fenetre&lt;6),"",IF(INDEX(Composites!L:L,ROW()-Fenetre)="","",Composites!L93/INDEX(Composites!L:L,ROW()-Fenetre)-1))</f>
        <v/>
      </c>
      <c r="R93" s="34">
        <f>IF(OR(Composites!M93="",ROW()-Fenetre&lt;6),"",IF(INDEX(Composites!M:M,ROW()-Fenetre)="","",Composites!M93/INDEX(Composites!M:M,ROW()-Fenetre)-1))</f>
        <v/>
      </c>
      <c r="S93" s="34">
        <f>IF(OR(Composites!N93="",ROW()-Fenetre&lt;6),"",IF(INDEX(Composites!N:N,ROW()-Fenetre)="","",Composites!N93/INDEX(Composites!N:N,ROW()-Fenetre)-1))</f>
        <v/>
      </c>
      <c r="T93" s="34">
        <f>IF(OR(Composites!O93="",ROW()-Fenetre&lt;6),"",IF(INDEX(Composites!O:O,ROW()-Fenetre)="","",Composites!O93/INDEX(Composites!O:O,ROW()-Fenetre)-1))</f>
        <v/>
      </c>
      <c r="U93" s="34">
        <f>IF(OR(Composites!P93="",ROW()-Fenetre&lt;6),"",IF(INDEX(Composites!P:P,ROW()-Fenetre)="","",Composites!P93/INDEX(Composites!P:P,ROW()-Fenetre)-1))</f>
        <v/>
      </c>
      <c r="V93" s="34">
        <f>IF('Historique ajusté'!C93="","",'Historique ajusté'!C93/MAX('Historique ajusté'!C$6:C93)-1)</f>
        <v/>
      </c>
      <c r="W93" s="34">
        <f>IF('Historique ajusté'!D93="","",'Historique ajusté'!D93/MAX('Historique ajusté'!D$6:D93)-1)</f>
        <v/>
      </c>
      <c r="X93" s="34">
        <f>IF('Historique ajusté'!E93="","",'Historique ajusté'!E93/MAX('Historique ajusté'!E$6:E93)-1)</f>
        <v/>
      </c>
      <c r="Y93" s="34">
        <f>IF('Historique ajusté'!F93="","",'Historique ajusté'!F93/MAX('Historique ajusté'!F$6:F93)-1)</f>
        <v/>
      </c>
      <c r="Z93" s="34">
        <f>IF('Historique ajusté'!G93="","",'Historique ajusté'!G93/MAX('Historique ajusté'!G$6:G93)-1)</f>
        <v/>
      </c>
      <c r="AA93" s="34">
        <f>IF('Historique ajusté'!H93="","",'Historique ajusté'!H93/MAX('Historique ajusté'!H$6:H93)-1)</f>
        <v/>
      </c>
      <c r="AB93" s="34">
        <f>IF('Historique ajusté'!I93="","",'Historique ajusté'!I93/MAX('Historique ajusté'!I$6:I93)-1)</f>
        <v/>
      </c>
      <c r="AC93" s="34">
        <f>IF('Historique ajusté'!J93="","",'Historique ajusté'!J93/MAX('Historique ajusté'!J$6:J93)-1)</f>
        <v/>
      </c>
      <c r="AD93" s="34">
        <f>IF('Historique ajusté'!K93="","",'Historique ajusté'!K93/MAX('Historique ajusté'!K$6:K93)-1)</f>
        <v/>
      </c>
      <c r="AE93" s="34">
        <f>IF('Historique ajusté'!L93="","",'Historique ajusté'!L93/MAX('Historique ajusté'!L$6:L93)-1)</f>
        <v/>
      </c>
      <c r="AF93" s="34">
        <f>IF('Historique ajusté'!M93="","",'Historique ajusté'!M93/MAX('Historique ajusté'!M$6:M93)-1)</f>
        <v/>
      </c>
      <c r="AG93" s="34">
        <f>IF('Historique ajusté'!N93="","",'Historique ajusté'!N93/MAX('Historique ajusté'!N$6:N93)-1)</f>
        <v/>
      </c>
      <c r="AH93" s="34">
        <f>IF('Historique ajusté'!O93="","",'Historique ajusté'!O93/MAX('Historique ajusté'!O$6:O93)-1)</f>
        <v/>
      </c>
      <c r="AI93" s="34">
        <f>IF('Historique ajusté'!P93="","",'Historique ajusté'!P93/MAX('Historique ajusté'!P$6:P93)-1)</f>
        <v/>
      </c>
      <c r="AJ93" s="34">
        <f>IF(Composites!L93="","",Composites!L93/MAX(Composites!L$6:L93)-1)</f>
        <v/>
      </c>
      <c r="AK93" s="34">
        <f>IF(Composites!M93="","",Composites!M93/MAX(Composites!M$6:M93)-1)</f>
        <v/>
      </c>
      <c r="AL93" s="34">
        <f>IF(Composites!N93="","",Composites!N93/MAX(Composites!N$6:N93)-1)</f>
        <v/>
      </c>
      <c r="AM93" s="34">
        <f>IF(Composites!O93="","",Composites!O93/MAX(Composites!O$6:O93)-1)</f>
        <v/>
      </c>
      <c r="AN93" s="34">
        <f>IF(Composites!P93="","",Composites!P93/MAX(Composites!P$6:P93)-1)</f>
        <v/>
      </c>
    </row>
    <row r="94">
      <c r="B94" s="32">
        <f>'Historique ajusté'!B94</f>
        <v/>
      </c>
      <c r="C94" s="34">
        <f>IF(OR('Historique ajusté'!C94="",ROW()-Fenetre&lt;6),"",IF(INDEX('Historique ajusté'!C:C,ROW()-Fenetre)="","",'Historique ajusté'!C94/INDEX('Historique ajusté'!C:C,ROW()-Fenetre)-1))</f>
        <v/>
      </c>
      <c r="D94" s="34">
        <f>IF(OR('Historique ajusté'!D94="",ROW()-Fenetre&lt;6),"",IF(INDEX('Historique ajusté'!D:D,ROW()-Fenetre)="","",'Historique ajusté'!D94/INDEX('Historique ajusté'!D:D,ROW()-Fenetre)-1))</f>
        <v/>
      </c>
      <c r="E94" s="34">
        <f>IF(OR('Historique ajusté'!E94="",ROW()-Fenetre&lt;6),"",IF(INDEX('Historique ajusté'!E:E,ROW()-Fenetre)="","",'Historique ajusté'!E94/INDEX('Historique ajusté'!E:E,ROW()-Fenetre)-1))</f>
        <v/>
      </c>
      <c r="F94" s="34">
        <f>IF(OR('Historique ajusté'!F94="",ROW()-Fenetre&lt;6),"",IF(INDEX('Historique ajusté'!F:F,ROW()-Fenetre)="","",'Historique ajusté'!F94/INDEX('Historique ajusté'!F:F,ROW()-Fenetre)-1))</f>
        <v/>
      </c>
      <c r="G94" s="34">
        <f>IF(OR('Historique ajusté'!G94="",ROW()-Fenetre&lt;6),"",IF(INDEX('Historique ajusté'!G:G,ROW()-Fenetre)="","",'Historique ajusté'!G94/INDEX('Historique ajusté'!G:G,ROW()-Fenetre)-1))</f>
        <v/>
      </c>
      <c r="H94" s="34">
        <f>IF(OR('Historique ajusté'!H94="",ROW()-Fenetre&lt;6),"",IF(INDEX('Historique ajusté'!H:H,ROW()-Fenetre)="","",'Historique ajusté'!H94/INDEX('Historique ajusté'!H:H,ROW()-Fenetre)-1))</f>
        <v/>
      </c>
      <c r="I94" s="34">
        <f>IF(OR('Historique ajusté'!I94="",ROW()-Fenetre&lt;6),"",IF(INDEX('Historique ajusté'!I:I,ROW()-Fenetre)="","",'Historique ajusté'!I94/INDEX('Historique ajusté'!I:I,ROW()-Fenetre)-1))</f>
        <v/>
      </c>
      <c r="J94" s="34">
        <f>IF(OR('Historique ajusté'!J94="",ROW()-Fenetre&lt;6),"",IF(INDEX('Historique ajusté'!J:J,ROW()-Fenetre)="","",'Historique ajusté'!J94/INDEX('Historique ajusté'!J:J,ROW()-Fenetre)-1))</f>
        <v/>
      </c>
      <c r="K94" s="34">
        <f>IF(OR('Historique ajusté'!K94="",ROW()-Fenetre&lt;6),"",IF(INDEX('Historique ajusté'!K:K,ROW()-Fenetre)="","",'Historique ajusté'!K94/INDEX('Historique ajusté'!K:K,ROW()-Fenetre)-1))</f>
        <v/>
      </c>
      <c r="L94" s="34">
        <f>IF(OR('Historique ajusté'!L94="",ROW()-Fenetre&lt;6),"",IF(INDEX('Historique ajusté'!L:L,ROW()-Fenetre)="","",'Historique ajusté'!L94/INDEX('Historique ajusté'!L:L,ROW()-Fenetre)-1))</f>
        <v/>
      </c>
      <c r="M94" s="34">
        <f>IF(OR('Historique ajusté'!M94="",ROW()-Fenetre&lt;6),"",IF(INDEX('Historique ajusté'!M:M,ROW()-Fenetre)="","",'Historique ajusté'!M94/INDEX('Historique ajusté'!M:M,ROW()-Fenetre)-1))</f>
        <v/>
      </c>
      <c r="N94" s="34">
        <f>IF(OR('Historique ajusté'!N94="",ROW()-Fenetre&lt;6),"",IF(INDEX('Historique ajusté'!N:N,ROW()-Fenetre)="","",'Historique ajusté'!N94/INDEX('Historique ajusté'!N:N,ROW()-Fenetre)-1))</f>
        <v/>
      </c>
      <c r="O94" s="34">
        <f>IF(OR('Historique ajusté'!O94="",ROW()-Fenetre&lt;6),"",IF(INDEX('Historique ajusté'!O:O,ROW()-Fenetre)="","",'Historique ajusté'!O94/INDEX('Historique ajusté'!O:O,ROW()-Fenetre)-1))</f>
        <v/>
      </c>
      <c r="P94" s="34">
        <f>IF(OR('Historique ajusté'!P94="",ROW()-Fenetre&lt;6),"",IF(INDEX('Historique ajusté'!P:P,ROW()-Fenetre)="","",'Historique ajusté'!P94/INDEX('Historique ajusté'!P:P,ROW()-Fenetre)-1))</f>
        <v/>
      </c>
      <c r="Q94" s="34">
        <f>IF(OR(Composites!L94="",ROW()-Fenetre&lt;6),"",IF(INDEX(Composites!L:L,ROW()-Fenetre)="","",Composites!L94/INDEX(Composites!L:L,ROW()-Fenetre)-1))</f>
        <v/>
      </c>
      <c r="R94" s="34">
        <f>IF(OR(Composites!M94="",ROW()-Fenetre&lt;6),"",IF(INDEX(Composites!M:M,ROW()-Fenetre)="","",Composites!M94/INDEX(Composites!M:M,ROW()-Fenetre)-1))</f>
        <v/>
      </c>
      <c r="S94" s="34">
        <f>IF(OR(Composites!N94="",ROW()-Fenetre&lt;6),"",IF(INDEX(Composites!N:N,ROW()-Fenetre)="","",Composites!N94/INDEX(Composites!N:N,ROW()-Fenetre)-1))</f>
        <v/>
      </c>
      <c r="T94" s="34">
        <f>IF(OR(Composites!O94="",ROW()-Fenetre&lt;6),"",IF(INDEX(Composites!O:O,ROW()-Fenetre)="","",Composites!O94/INDEX(Composites!O:O,ROW()-Fenetre)-1))</f>
        <v/>
      </c>
      <c r="U94" s="34">
        <f>IF(OR(Composites!P94="",ROW()-Fenetre&lt;6),"",IF(INDEX(Composites!P:P,ROW()-Fenetre)="","",Composites!P94/INDEX(Composites!P:P,ROW()-Fenetre)-1))</f>
        <v/>
      </c>
      <c r="V94" s="34">
        <f>IF('Historique ajusté'!C94="","",'Historique ajusté'!C94/MAX('Historique ajusté'!C$6:C94)-1)</f>
        <v/>
      </c>
      <c r="W94" s="34">
        <f>IF('Historique ajusté'!D94="","",'Historique ajusté'!D94/MAX('Historique ajusté'!D$6:D94)-1)</f>
        <v/>
      </c>
      <c r="X94" s="34">
        <f>IF('Historique ajusté'!E94="","",'Historique ajusté'!E94/MAX('Historique ajusté'!E$6:E94)-1)</f>
        <v/>
      </c>
      <c r="Y94" s="34">
        <f>IF('Historique ajusté'!F94="","",'Historique ajusté'!F94/MAX('Historique ajusté'!F$6:F94)-1)</f>
        <v/>
      </c>
      <c r="Z94" s="34">
        <f>IF('Historique ajusté'!G94="","",'Historique ajusté'!G94/MAX('Historique ajusté'!G$6:G94)-1)</f>
        <v/>
      </c>
      <c r="AA94" s="34">
        <f>IF('Historique ajusté'!H94="","",'Historique ajusté'!H94/MAX('Historique ajusté'!H$6:H94)-1)</f>
        <v/>
      </c>
      <c r="AB94" s="34">
        <f>IF('Historique ajusté'!I94="","",'Historique ajusté'!I94/MAX('Historique ajusté'!I$6:I94)-1)</f>
        <v/>
      </c>
      <c r="AC94" s="34">
        <f>IF('Historique ajusté'!J94="","",'Historique ajusté'!J94/MAX('Historique ajusté'!J$6:J94)-1)</f>
        <v/>
      </c>
      <c r="AD94" s="34">
        <f>IF('Historique ajusté'!K94="","",'Historique ajusté'!K94/MAX('Historique ajusté'!K$6:K94)-1)</f>
        <v/>
      </c>
      <c r="AE94" s="34">
        <f>IF('Historique ajusté'!L94="","",'Historique ajusté'!L94/MAX('Historique ajusté'!L$6:L94)-1)</f>
        <v/>
      </c>
      <c r="AF94" s="34">
        <f>IF('Historique ajusté'!M94="","",'Historique ajusté'!M94/MAX('Historique ajusté'!M$6:M94)-1)</f>
        <v/>
      </c>
      <c r="AG94" s="34">
        <f>IF('Historique ajusté'!N94="","",'Historique ajusté'!N94/MAX('Historique ajusté'!N$6:N94)-1)</f>
        <v/>
      </c>
      <c r="AH94" s="34">
        <f>IF('Historique ajusté'!O94="","",'Historique ajusté'!O94/MAX('Historique ajusté'!O$6:O94)-1)</f>
        <v/>
      </c>
      <c r="AI94" s="34">
        <f>IF('Historique ajusté'!P94="","",'Historique ajusté'!P94/MAX('Historique ajusté'!P$6:P94)-1)</f>
        <v/>
      </c>
      <c r="AJ94" s="34">
        <f>IF(Composites!L94="","",Composites!L94/MAX(Composites!L$6:L94)-1)</f>
        <v/>
      </c>
      <c r="AK94" s="34">
        <f>IF(Composites!M94="","",Composites!M94/MAX(Composites!M$6:M94)-1)</f>
        <v/>
      </c>
      <c r="AL94" s="34">
        <f>IF(Composites!N94="","",Composites!N94/MAX(Composites!N$6:N94)-1)</f>
        <v/>
      </c>
      <c r="AM94" s="34">
        <f>IF(Composites!O94="","",Composites!O94/MAX(Composites!O$6:O94)-1)</f>
        <v/>
      </c>
      <c r="AN94" s="34">
        <f>IF(Composites!P94="","",Composites!P94/MAX(Composites!P$6:P94)-1)</f>
        <v/>
      </c>
    </row>
    <row r="95">
      <c r="B95" s="32">
        <f>'Historique ajusté'!B95</f>
        <v/>
      </c>
      <c r="C95" s="34">
        <f>IF(OR('Historique ajusté'!C95="",ROW()-Fenetre&lt;6),"",IF(INDEX('Historique ajusté'!C:C,ROW()-Fenetre)="","",'Historique ajusté'!C95/INDEX('Historique ajusté'!C:C,ROW()-Fenetre)-1))</f>
        <v/>
      </c>
      <c r="D95" s="34">
        <f>IF(OR('Historique ajusté'!D95="",ROW()-Fenetre&lt;6),"",IF(INDEX('Historique ajusté'!D:D,ROW()-Fenetre)="","",'Historique ajusté'!D95/INDEX('Historique ajusté'!D:D,ROW()-Fenetre)-1))</f>
        <v/>
      </c>
      <c r="E95" s="34">
        <f>IF(OR('Historique ajusté'!E95="",ROW()-Fenetre&lt;6),"",IF(INDEX('Historique ajusté'!E:E,ROW()-Fenetre)="","",'Historique ajusté'!E95/INDEX('Historique ajusté'!E:E,ROW()-Fenetre)-1))</f>
        <v/>
      </c>
      <c r="F95" s="34">
        <f>IF(OR('Historique ajusté'!F95="",ROW()-Fenetre&lt;6),"",IF(INDEX('Historique ajusté'!F:F,ROW()-Fenetre)="","",'Historique ajusté'!F95/INDEX('Historique ajusté'!F:F,ROW()-Fenetre)-1))</f>
        <v/>
      </c>
      <c r="G95" s="34">
        <f>IF(OR('Historique ajusté'!G95="",ROW()-Fenetre&lt;6),"",IF(INDEX('Historique ajusté'!G:G,ROW()-Fenetre)="","",'Historique ajusté'!G95/INDEX('Historique ajusté'!G:G,ROW()-Fenetre)-1))</f>
        <v/>
      </c>
      <c r="H95" s="34">
        <f>IF(OR('Historique ajusté'!H95="",ROW()-Fenetre&lt;6),"",IF(INDEX('Historique ajusté'!H:H,ROW()-Fenetre)="","",'Historique ajusté'!H95/INDEX('Historique ajusté'!H:H,ROW()-Fenetre)-1))</f>
        <v/>
      </c>
      <c r="I95" s="34">
        <f>IF(OR('Historique ajusté'!I95="",ROW()-Fenetre&lt;6),"",IF(INDEX('Historique ajusté'!I:I,ROW()-Fenetre)="","",'Historique ajusté'!I95/INDEX('Historique ajusté'!I:I,ROW()-Fenetre)-1))</f>
        <v/>
      </c>
      <c r="J95" s="34">
        <f>IF(OR('Historique ajusté'!J95="",ROW()-Fenetre&lt;6),"",IF(INDEX('Historique ajusté'!J:J,ROW()-Fenetre)="","",'Historique ajusté'!J95/INDEX('Historique ajusté'!J:J,ROW()-Fenetre)-1))</f>
        <v/>
      </c>
      <c r="K95" s="34">
        <f>IF(OR('Historique ajusté'!K95="",ROW()-Fenetre&lt;6),"",IF(INDEX('Historique ajusté'!K:K,ROW()-Fenetre)="","",'Historique ajusté'!K95/INDEX('Historique ajusté'!K:K,ROW()-Fenetre)-1))</f>
        <v/>
      </c>
      <c r="L95" s="34">
        <f>IF(OR('Historique ajusté'!L95="",ROW()-Fenetre&lt;6),"",IF(INDEX('Historique ajusté'!L:L,ROW()-Fenetre)="","",'Historique ajusté'!L95/INDEX('Historique ajusté'!L:L,ROW()-Fenetre)-1))</f>
        <v/>
      </c>
      <c r="M95" s="34">
        <f>IF(OR('Historique ajusté'!M95="",ROW()-Fenetre&lt;6),"",IF(INDEX('Historique ajusté'!M:M,ROW()-Fenetre)="","",'Historique ajusté'!M95/INDEX('Historique ajusté'!M:M,ROW()-Fenetre)-1))</f>
        <v/>
      </c>
      <c r="N95" s="34">
        <f>IF(OR('Historique ajusté'!N95="",ROW()-Fenetre&lt;6),"",IF(INDEX('Historique ajusté'!N:N,ROW()-Fenetre)="","",'Historique ajusté'!N95/INDEX('Historique ajusté'!N:N,ROW()-Fenetre)-1))</f>
        <v/>
      </c>
      <c r="O95" s="34">
        <f>IF(OR('Historique ajusté'!O95="",ROW()-Fenetre&lt;6),"",IF(INDEX('Historique ajusté'!O:O,ROW()-Fenetre)="","",'Historique ajusté'!O95/INDEX('Historique ajusté'!O:O,ROW()-Fenetre)-1))</f>
        <v/>
      </c>
      <c r="P95" s="34">
        <f>IF(OR('Historique ajusté'!P95="",ROW()-Fenetre&lt;6),"",IF(INDEX('Historique ajusté'!P:P,ROW()-Fenetre)="","",'Historique ajusté'!P95/INDEX('Historique ajusté'!P:P,ROW()-Fenetre)-1))</f>
        <v/>
      </c>
      <c r="Q95" s="34">
        <f>IF(OR(Composites!L95="",ROW()-Fenetre&lt;6),"",IF(INDEX(Composites!L:L,ROW()-Fenetre)="","",Composites!L95/INDEX(Composites!L:L,ROW()-Fenetre)-1))</f>
        <v/>
      </c>
      <c r="R95" s="34">
        <f>IF(OR(Composites!M95="",ROW()-Fenetre&lt;6),"",IF(INDEX(Composites!M:M,ROW()-Fenetre)="","",Composites!M95/INDEX(Composites!M:M,ROW()-Fenetre)-1))</f>
        <v/>
      </c>
      <c r="S95" s="34">
        <f>IF(OR(Composites!N95="",ROW()-Fenetre&lt;6),"",IF(INDEX(Composites!N:N,ROW()-Fenetre)="","",Composites!N95/INDEX(Composites!N:N,ROW()-Fenetre)-1))</f>
        <v/>
      </c>
      <c r="T95" s="34">
        <f>IF(OR(Composites!O95="",ROW()-Fenetre&lt;6),"",IF(INDEX(Composites!O:O,ROW()-Fenetre)="","",Composites!O95/INDEX(Composites!O:O,ROW()-Fenetre)-1))</f>
        <v/>
      </c>
      <c r="U95" s="34">
        <f>IF(OR(Composites!P95="",ROW()-Fenetre&lt;6),"",IF(INDEX(Composites!P:P,ROW()-Fenetre)="","",Composites!P95/INDEX(Composites!P:P,ROW()-Fenetre)-1))</f>
        <v/>
      </c>
      <c r="V95" s="34">
        <f>IF('Historique ajusté'!C95="","",'Historique ajusté'!C95/MAX('Historique ajusté'!C$6:C95)-1)</f>
        <v/>
      </c>
      <c r="W95" s="34">
        <f>IF('Historique ajusté'!D95="","",'Historique ajusté'!D95/MAX('Historique ajusté'!D$6:D95)-1)</f>
        <v/>
      </c>
      <c r="X95" s="34">
        <f>IF('Historique ajusté'!E95="","",'Historique ajusté'!E95/MAX('Historique ajusté'!E$6:E95)-1)</f>
        <v/>
      </c>
      <c r="Y95" s="34">
        <f>IF('Historique ajusté'!F95="","",'Historique ajusté'!F95/MAX('Historique ajusté'!F$6:F95)-1)</f>
        <v/>
      </c>
      <c r="Z95" s="34">
        <f>IF('Historique ajusté'!G95="","",'Historique ajusté'!G95/MAX('Historique ajusté'!G$6:G95)-1)</f>
        <v/>
      </c>
      <c r="AA95" s="34">
        <f>IF('Historique ajusté'!H95="","",'Historique ajusté'!H95/MAX('Historique ajusté'!H$6:H95)-1)</f>
        <v/>
      </c>
      <c r="AB95" s="34">
        <f>IF('Historique ajusté'!I95="","",'Historique ajusté'!I95/MAX('Historique ajusté'!I$6:I95)-1)</f>
        <v/>
      </c>
      <c r="AC95" s="34">
        <f>IF('Historique ajusté'!J95="","",'Historique ajusté'!J95/MAX('Historique ajusté'!J$6:J95)-1)</f>
        <v/>
      </c>
      <c r="AD95" s="34">
        <f>IF('Historique ajusté'!K95="","",'Historique ajusté'!K95/MAX('Historique ajusté'!K$6:K95)-1)</f>
        <v/>
      </c>
      <c r="AE95" s="34">
        <f>IF('Historique ajusté'!L95="","",'Historique ajusté'!L95/MAX('Historique ajusté'!L$6:L95)-1)</f>
        <v/>
      </c>
      <c r="AF95" s="34">
        <f>IF('Historique ajusté'!M95="","",'Historique ajusté'!M95/MAX('Historique ajusté'!M$6:M95)-1)</f>
        <v/>
      </c>
      <c r="AG95" s="34">
        <f>IF('Historique ajusté'!N95="","",'Historique ajusté'!N95/MAX('Historique ajusté'!N$6:N95)-1)</f>
        <v/>
      </c>
      <c r="AH95" s="34">
        <f>IF('Historique ajusté'!O95="","",'Historique ajusté'!O95/MAX('Historique ajusté'!O$6:O95)-1)</f>
        <v/>
      </c>
      <c r="AI95" s="34">
        <f>IF('Historique ajusté'!P95="","",'Historique ajusté'!P95/MAX('Historique ajusté'!P$6:P95)-1)</f>
        <v/>
      </c>
      <c r="AJ95" s="34">
        <f>IF(Composites!L95="","",Composites!L95/MAX(Composites!L$6:L95)-1)</f>
        <v/>
      </c>
      <c r="AK95" s="34">
        <f>IF(Composites!M95="","",Composites!M95/MAX(Composites!M$6:M95)-1)</f>
        <v/>
      </c>
      <c r="AL95" s="34">
        <f>IF(Composites!N95="","",Composites!N95/MAX(Composites!N$6:N95)-1)</f>
        <v/>
      </c>
      <c r="AM95" s="34">
        <f>IF(Composites!O95="","",Composites!O95/MAX(Composites!O$6:O95)-1)</f>
        <v/>
      </c>
      <c r="AN95" s="34">
        <f>IF(Composites!P95="","",Composites!P95/MAX(Composites!P$6:P95)-1)</f>
        <v/>
      </c>
    </row>
    <row r="96">
      <c r="B96" s="32">
        <f>'Historique ajusté'!B96</f>
        <v/>
      </c>
      <c r="C96" s="34">
        <f>IF(OR('Historique ajusté'!C96="",ROW()-Fenetre&lt;6),"",IF(INDEX('Historique ajusté'!C:C,ROW()-Fenetre)="","",'Historique ajusté'!C96/INDEX('Historique ajusté'!C:C,ROW()-Fenetre)-1))</f>
        <v/>
      </c>
      <c r="D96" s="34">
        <f>IF(OR('Historique ajusté'!D96="",ROW()-Fenetre&lt;6),"",IF(INDEX('Historique ajusté'!D:D,ROW()-Fenetre)="","",'Historique ajusté'!D96/INDEX('Historique ajusté'!D:D,ROW()-Fenetre)-1))</f>
        <v/>
      </c>
      <c r="E96" s="34">
        <f>IF(OR('Historique ajusté'!E96="",ROW()-Fenetre&lt;6),"",IF(INDEX('Historique ajusté'!E:E,ROW()-Fenetre)="","",'Historique ajusté'!E96/INDEX('Historique ajusté'!E:E,ROW()-Fenetre)-1))</f>
        <v/>
      </c>
      <c r="F96" s="34">
        <f>IF(OR('Historique ajusté'!F96="",ROW()-Fenetre&lt;6),"",IF(INDEX('Historique ajusté'!F:F,ROW()-Fenetre)="","",'Historique ajusté'!F96/INDEX('Historique ajusté'!F:F,ROW()-Fenetre)-1))</f>
        <v/>
      </c>
      <c r="G96" s="34">
        <f>IF(OR('Historique ajusté'!G96="",ROW()-Fenetre&lt;6),"",IF(INDEX('Historique ajusté'!G:G,ROW()-Fenetre)="","",'Historique ajusté'!G96/INDEX('Historique ajusté'!G:G,ROW()-Fenetre)-1))</f>
        <v/>
      </c>
      <c r="H96" s="34">
        <f>IF(OR('Historique ajusté'!H96="",ROW()-Fenetre&lt;6),"",IF(INDEX('Historique ajusté'!H:H,ROW()-Fenetre)="","",'Historique ajusté'!H96/INDEX('Historique ajusté'!H:H,ROW()-Fenetre)-1))</f>
        <v/>
      </c>
      <c r="I96" s="34">
        <f>IF(OR('Historique ajusté'!I96="",ROW()-Fenetre&lt;6),"",IF(INDEX('Historique ajusté'!I:I,ROW()-Fenetre)="","",'Historique ajusté'!I96/INDEX('Historique ajusté'!I:I,ROW()-Fenetre)-1))</f>
        <v/>
      </c>
      <c r="J96" s="34">
        <f>IF(OR('Historique ajusté'!J96="",ROW()-Fenetre&lt;6),"",IF(INDEX('Historique ajusté'!J:J,ROW()-Fenetre)="","",'Historique ajusté'!J96/INDEX('Historique ajusté'!J:J,ROW()-Fenetre)-1))</f>
        <v/>
      </c>
      <c r="K96" s="34">
        <f>IF(OR('Historique ajusté'!K96="",ROW()-Fenetre&lt;6),"",IF(INDEX('Historique ajusté'!K:K,ROW()-Fenetre)="","",'Historique ajusté'!K96/INDEX('Historique ajusté'!K:K,ROW()-Fenetre)-1))</f>
        <v/>
      </c>
      <c r="L96" s="34">
        <f>IF(OR('Historique ajusté'!L96="",ROW()-Fenetre&lt;6),"",IF(INDEX('Historique ajusté'!L:L,ROW()-Fenetre)="","",'Historique ajusté'!L96/INDEX('Historique ajusté'!L:L,ROW()-Fenetre)-1))</f>
        <v/>
      </c>
      <c r="M96" s="34">
        <f>IF(OR('Historique ajusté'!M96="",ROW()-Fenetre&lt;6),"",IF(INDEX('Historique ajusté'!M:M,ROW()-Fenetre)="","",'Historique ajusté'!M96/INDEX('Historique ajusté'!M:M,ROW()-Fenetre)-1))</f>
        <v/>
      </c>
      <c r="N96" s="34">
        <f>IF(OR('Historique ajusté'!N96="",ROW()-Fenetre&lt;6),"",IF(INDEX('Historique ajusté'!N:N,ROW()-Fenetre)="","",'Historique ajusté'!N96/INDEX('Historique ajusté'!N:N,ROW()-Fenetre)-1))</f>
        <v/>
      </c>
      <c r="O96" s="34">
        <f>IF(OR('Historique ajusté'!O96="",ROW()-Fenetre&lt;6),"",IF(INDEX('Historique ajusté'!O:O,ROW()-Fenetre)="","",'Historique ajusté'!O96/INDEX('Historique ajusté'!O:O,ROW()-Fenetre)-1))</f>
        <v/>
      </c>
      <c r="P96" s="34">
        <f>IF(OR('Historique ajusté'!P96="",ROW()-Fenetre&lt;6),"",IF(INDEX('Historique ajusté'!P:P,ROW()-Fenetre)="","",'Historique ajusté'!P96/INDEX('Historique ajusté'!P:P,ROW()-Fenetre)-1))</f>
        <v/>
      </c>
      <c r="Q96" s="34">
        <f>IF(OR(Composites!L96="",ROW()-Fenetre&lt;6),"",IF(INDEX(Composites!L:L,ROW()-Fenetre)="","",Composites!L96/INDEX(Composites!L:L,ROW()-Fenetre)-1))</f>
        <v/>
      </c>
      <c r="R96" s="34">
        <f>IF(OR(Composites!M96="",ROW()-Fenetre&lt;6),"",IF(INDEX(Composites!M:M,ROW()-Fenetre)="","",Composites!M96/INDEX(Composites!M:M,ROW()-Fenetre)-1))</f>
        <v/>
      </c>
      <c r="S96" s="34">
        <f>IF(OR(Composites!N96="",ROW()-Fenetre&lt;6),"",IF(INDEX(Composites!N:N,ROW()-Fenetre)="","",Composites!N96/INDEX(Composites!N:N,ROW()-Fenetre)-1))</f>
        <v/>
      </c>
      <c r="T96" s="34">
        <f>IF(OR(Composites!O96="",ROW()-Fenetre&lt;6),"",IF(INDEX(Composites!O:O,ROW()-Fenetre)="","",Composites!O96/INDEX(Composites!O:O,ROW()-Fenetre)-1))</f>
        <v/>
      </c>
      <c r="U96" s="34">
        <f>IF(OR(Composites!P96="",ROW()-Fenetre&lt;6),"",IF(INDEX(Composites!P:P,ROW()-Fenetre)="","",Composites!P96/INDEX(Composites!P:P,ROW()-Fenetre)-1))</f>
        <v/>
      </c>
      <c r="V96" s="34">
        <f>IF('Historique ajusté'!C96="","",'Historique ajusté'!C96/MAX('Historique ajusté'!C$6:C96)-1)</f>
        <v/>
      </c>
      <c r="W96" s="34">
        <f>IF('Historique ajusté'!D96="","",'Historique ajusté'!D96/MAX('Historique ajusté'!D$6:D96)-1)</f>
        <v/>
      </c>
      <c r="X96" s="34">
        <f>IF('Historique ajusté'!E96="","",'Historique ajusté'!E96/MAX('Historique ajusté'!E$6:E96)-1)</f>
        <v/>
      </c>
      <c r="Y96" s="34">
        <f>IF('Historique ajusté'!F96="","",'Historique ajusté'!F96/MAX('Historique ajusté'!F$6:F96)-1)</f>
        <v/>
      </c>
      <c r="Z96" s="34">
        <f>IF('Historique ajusté'!G96="","",'Historique ajusté'!G96/MAX('Historique ajusté'!G$6:G96)-1)</f>
        <v/>
      </c>
      <c r="AA96" s="34">
        <f>IF('Historique ajusté'!H96="","",'Historique ajusté'!H96/MAX('Historique ajusté'!H$6:H96)-1)</f>
        <v/>
      </c>
      <c r="AB96" s="34">
        <f>IF('Historique ajusté'!I96="","",'Historique ajusté'!I96/MAX('Historique ajusté'!I$6:I96)-1)</f>
        <v/>
      </c>
      <c r="AC96" s="34">
        <f>IF('Historique ajusté'!J96="","",'Historique ajusté'!J96/MAX('Historique ajusté'!J$6:J96)-1)</f>
        <v/>
      </c>
      <c r="AD96" s="34">
        <f>IF('Historique ajusté'!K96="","",'Historique ajusté'!K96/MAX('Historique ajusté'!K$6:K96)-1)</f>
        <v/>
      </c>
      <c r="AE96" s="34">
        <f>IF('Historique ajusté'!L96="","",'Historique ajusté'!L96/MAX('Historique ajusté'!L$6:L96)-1)</f>
        <v/>
      </c>
      <c r="AF96" s="34">
        <f>IF('Historique ajusté'!M96="","",'Historique ajusté'!M96/MAX('Historique ajusté'!M$6:M96)-1)</f>
        <v/>
      </c>
      <c r="AG96" s="34">
        <f>IF('Historique ajusté'!N96="","",'Historique ajusté'!N96/MAX('Historique ajusté'!N$6:N96)-1)</f>
        <v/>
      </c>
      <c r="AH96" s="34">
        <f>IF('Historique ajusté'!O96="","",'Historique ajusté'!O96/MAX('Historique ajusté'!O$6:O96)-1)</f>
        <v/>
      </c>
      <c r="AI96" s="34">
        <f>IF('Historique ajusté'!P96="","",'Historique ajusté'!P96/MAX('Historique ajusté'!P$6:P96)-1)</f>
        <v/>
      </c>
      <c r="AJ96" s="34">
        <f>IF(Composites!L96="","",Composites!L96/MAX(Composites!L$6:L96)-1)</f>
        <v/>
      </c>
      <c r="AK96" s="34">
        <f>IF(Composites!M96="","",Composites!M96/MAX(Composites!M$6:M96)-1)</f>
        <v/>
      </c>
      <c r="AL96" s="34">
        <f>IF(Composites!N96="","",Composites!N96/MAX(Composites!N$6:N96)-1)</f>
        <v/>
      </c>
      <c r="AM96" s="34">
        <f>IF(Composites!O96="","",Composites!O96/MAX(Composites!O$6:O96)-1)</f>
        <v/>
      </c>
      <c r="AN96" s="34">
        <f>IF(Composites!P96="","",Composites!P96/MAX(Composites!P$6:P96)-1)</f>
        <v/>
      </c>
    </row>
    <row r="97">
      <c r="B97" s="32">
        <f>'Historique ajusté'!B97</f>
        <v/>
      </c>
      <c r="C97" s="34">
        <f>IF(OR('Historique ajusté'!C97="",ROW()-Fenetre&lt;6),"",IF(INDEX('Historique ajusté'!C:C,ROW()-Fenetre)="","",'Historique ajusté'!C97/INDEX('Historique ajusté'!C:C,ROW()-Fenetre)-1))</f>
        <v/>
      </c>
      <c r="D97" s="34">
        <f>IF(OR('Historique ajusté'!D97="",ROW()-Fenetre&lt;6),"",IF(INDEX('Historique ajusté'!D:D,ROW()-Fenetre)="","",'Historique ajusté'!D97/INDEX('Historique ajusté'!D:D,ROW()-Fenetre)-1))</f>
        <v/>
      </c>
      <c r="E97" s="34">
        <f>IF(OR('Historique ajusté'!E97="",ROW()-Fenetre&lt;6),"",IF(INDEX('Historique ajusté'!E:E,ROW()-Fenetre)="","",'Historique ajusté'!E97/INDEX('Historique ajusté'!E:E,ROW()-Fenetre)-1))</f>
        <v/>
      </c>
      <c r="F97" s="34">
        <f>IF(OR('Historique ajusté'!F97="",ROW()-Fenetre&lt;6),"",IF(INDEX('Historique ajusté'!F:F,ROW()-Fenetre)="","",'Historique ajusté'!F97/INDEX('Historique ajusté'!F:F,ROW()-Fenetre)-1))</f>
        <v/>
      </c>
      <c r="G97" s="34">
        <f>IF(OR('Historique ajusté'!G97="",ROW()-Fenetre&lt;6),"",IF(INDEX('Historique ajusté'!G:G,ROW()-Fenetre)="","",'Historique ajusté'!G97/INDEX('Historique ajusté'!G:G,ROW()-Fenetre)-1))</f>
        <v/>
      </c>
      <c r="H97" s="34">
        <f>IF(OR('Historique ajusté'!H97="",ROW()-Fenetre&lt;6),"",IF(INDEX('Historique ajusté'!H:H,ROW()-Fenetre)="","",'Historique ajusté'!H97/INDEX('Historique ajusté'!H:H,ROW()-Fenetre)-1))</f>
        <v/>
      </c>
      <c r="I97" s="34">
        <f>IF(OR('Historique ajusté'!I97="",ROW()-Fenetre&lt;6),"",IF(INDEX('Historique ajusté'!I:I,ROW()-Fenetre)="","",'Historique ajusté'!I97/INDEX('Historique ajusté'!I:I,ROW()-Fenetre)-1))</f>
        <v/>
      </c>
      <c r="J97" s="34">
        <f>IF(OR('Historique ajusté'!J97="",ROW()-Fenetre&lt;6),"",IF(INDEX('Historique ajusté'!J:J,ROW()-Fenetre)="","",'Historique ajusté'!J97/INDEX('Historique ajusté'!J:J,ROW()-Fenetre)-1))</f>
        <v/>
      </c>
      <c r="K97" s="34">
        <f>IF(OR('Historique ajusté'!K97="",ROW()-Fenetre&lt;6),"",IF(INDEX('Historique ajusté'!K:K,ROW()-Fenetre)="","",'Historique ajusté'!K97/INDEX('Historique ajusté'!K:K,ROW()-Fenetre)-1))</f>
        <v/>
      </c>
      <c r="L97" s="34">
        <f>IF(OR('Historique ajusté'!L97="",ROW()-Fenetre&lt;6),"",IF(INDEX('Historique ajusté'!L:L,ROW()-Fenetre)="","",'Historique ajusté'!L97/INDEX('Historique ajusté'!L:L,ROW()-Fenetre)-1))</f>
        <v/>
      </c>
      <c r="M97" s="34">
        <f>IF(OR('Historique ajusté'!M97="",ROW()-Fenetre&lt;6),"",IF(INDEX('Historique ajusté'!M:M,ROW()-Fenetre)="","",'Historique ajusté'!M97/INDEX('Historique ajusté'!M:M,ROW()-Fenetre)-1))</f>
        <v/>
      </c>
      <c r="N97" s="34">
        <f>IF(OR('Historique ajusté'!N97="",ROW()-Fenetre&lt;6),"",IF(INDEX('Historique ajusté'!N:N,ROW()-Fenetre)="","",'Historique ajusté'!N97/INDEX('Historique ajusté'!N:N,ROW()-Fenetre)-1))</f>
        <v/>
      </c>
      <c r="O97" s="34">
        <f>IF(OR('Historique ajusté'!O97="",ROW()-Fenetre&lt;6),"",IF(INDEX('Historique ajusté'!O:O,ROW()-Fenetre)="","",'Historique ajusté'!O97/INDEX('Historique ajusté'!O:O,ROW()-Fenetre)-1))</f>
        <v/>
      </c>
      <c r="P97" s="34">
        <f>IF(OR('Historique ajusté'!P97="",ROW()-Fenetre&lt;6),"",IF(INDEX('Historique ajusté'!P:P,ROW()-Fenetre)="","",'Historique ajusté'!P97/INDEX('Historique ajusté'!P:P,ROW()-Fenetre)-1))</f>
        <v/>
      </c>
      <c r="Q97" s="34">
        <f>IF(OR(Composites!L97="",ROW()-Fenetre&lt;6),"",IF(INDEX(Composites!L:L,ROW()-Fenetre)="","",Composites!L97/INDEX(Composites!L:L,ROW()-Fenetre)-1))</f>
        <v/>
      </c>
      <c r="R97" s="34">
        <f>IF(OR(Composites!M97="",ROW()-Fenetre&lt;6),"",IF(INDEX(Composites!M:M,ROW()-Fenetre)="","",Composites!M97/INDEX(Composites!M:M,ROW()-Fenetre)-1))</f>
        <v/>
      </c>
      <c r="S97" s="34">
        <f>IF(OR(Composites!N97="",ROW()-Fenetre&lt;6),"",IF(INDEX(Composites!N:N,ROW()-Fenetre)="","",Composites!N97/INDEX(Composites!N:N,ROW()-Fenetre)-1))</f>
        <v/>
      </c>
      <c r="T97" s="34">
        <f>IF(OR(Composites!O97="",ROW()-Fenetre&lt;6),"",IF(INDEX(Composites!O:O,ROW()-Fenetre)="","",Composites!O97/INDEX(Composites!O:O,ROW()-Fenetre)-1))</f>
        <v/>
      </c>
      <c r="U97" s="34">
        <f>IF(OR(Composites!P97="",ROW()-Fenetre&lt;6),"",IF(INDEX(Composites!P:P,ROW()-Fenetre)="","",Composites!P97/INDEX(Composites!P:P,ROW()-Fenetre)-1))</f>
        <v/>
      </c>
      <c r="V97" s="34">
        <f>IF('Historique ajusté'!C97="","",'Historique ajusté'!C97/MAX('Historique ajusté'!C$6:C97)-1)</f>
        <v/>
      </c>
      <c r="W97" s="34">
        <f>IF('Historique ajusté'!D97="","",'Historique ajusté'!D97/MAX('Historique ajusté'!D$6:D97)-1)</f>
        <v/>
      </c>
      <c r="X97" s="34">
        <f>IF('Historique ajusté'!E97="","",'Historique ajusté'!E97/MAX('Historique ajusté'!E$6:E97)-1)</f>
        <v/>
      </c>
      <c r="Y97" s="34">
        <f>IF('Historique ajusté'!F97="","",'Historique ajusté'!F97/MAX('Historique ajusté'!F$6:F97)-1)</f>
        <v/>
      </c>
      <c r="Z97" s="34">
        <f>IF('Historique ajusté'!G97="","",'Historique ajusté'!G97/MAX('Historique ajusté'!G$6:G97)-1)</f>
        <v/>
      </c>
      <c r="AA97" s="34">
        <f>IF('Historique ajusté'!H97="","",'Historique ajusté'!H97/MAX('Historique ajusté'!H$6:H97)-1)</f>
        <v/>
      </c>
      <c r="AB97" s="34">
        <f>IF('Historique ajusté'!I97="","",'Historique ajusté'!I97/MAX('Historique ajusté'!I$6:I97)-1)</f>
        <v/>
      </c>
      <c r="AC97" s="34">
        <f>IF('Historique ajusté'!J97="","",'Historique ajusté'!J97/MAX('Historique ajusté'!J$6:J97)-1)</f>
        <v/>
      </c>
      <c r="AD97" s="34">
        <f>IF('Historique ajusté'!K97="","",'Historique ajusté'!K97/MAX('Historique ajusté'!K$6:K97)-1)</f>
        <v/>
      </c>
      <c r="AE97" s="34">
        <f>IF('Historique ajusté'!L97="","",'Historique ajusté'!L97/MAX('Historique ajusté'!L$6:L97)-1)</f>
        <v/>
      </c>
      <c r="AF97" s="34">
        <f>IF('Historique ajusté'!M97="","",'Historique ajusté'!M97/MAX('Historique ajusté'!M$6:M97)-1)</f>
        <v/>
      </c>
      <c r="AG97" s="34">
        <f>IF('Historique ajusté'!N97="","",'Historique ajusté'!N97/MAX('Historique ajusté'!N$6:N97)-1)</f>
        <v/>
      </c>
      <c r="AH97" s="34">
        <f>IF('Historique ajusté'!O97="","",'Historique ajusté'!O97/MAX('Historique ajusté'!O$6:O97)-1)</f>
        <v/>
      </c>
      <c r="AI97" s="34">
        <f>IF('Historique ajusté'!P97="","",'Historique ajusté'!P97/MAX('Historique ajusté'!P$6:P97)-1)</f>
        <v/>
      </c>
      <c r="AJ97" s="34">
        <f>IF(Composites!L97="","",Composites!L97/MAX(Composites!L$6:L97)-1)</f>
        <v/>
      </c>
      <c r="AK97" s="34">
        <f>IF(Composites!M97="","",Composites!M97/MAX(Composites!M$6:M97)-1)</f>
        <v/>
      </c>
      <c r="AL97" s="34">
        <f>IF(Composites!N97="","",Composites!N97/MAX(Composites!N$6:N97)-1)</f>
        <v/>
      </c>
      <c r="AM97" s="34">
        <f>IF(Composites!O97="","",Composites!O97/MAX(Composites!O$6:O97)-1)</f>
        <v/>
      </c>
      <c r="AN97" s="34">
        <f>IF(Composites!P97="","",Composites!P97/MAX(Composites!P$6:P97)-1)</f>
        <v/>
      </c>
    </row>
    <row r="98">
      <c r="B98" s="32">
        <f>'Historique ajusté'!B98</f>
        <v/>
      </c>
      <c r="C98" s="34">
        <f>IF(OR('Historique ajusté'!C98="",ROW()-Fenetre&lt;6),"",IF(INDEX('Historique ajusté'!C:C,ROW()-Fenetre)="","",'Historique ajusté'!C98/INDEX('Historique ajusté'!C:C,ROW()-Fenetre)-1))</f>
        <v/>
      </c>
      <c r="D98" s="34">
        <f>IF(OR('Historique ajusté'!D98="",ROW()-Fenetre&lt;6),"",IF(INDEX('Historique ajusté'!D:D,ROW()-Fenetre)="","",'Historique ajusté'!D98/INDEX('Historique ajusté'!D:D,ROW()-Fenetre)-1))</f>
        <v/>
      </c>
      <c r="E98" s="34">
        <f>IF(OR('Historique ajusté'!E98="",ROW()-Fenetre&lt;6),"",IF(INDEX('Historique ajusté'!E:E,ROW()-Fenetre)="","",'Historique ajusté'!E98/INDEX('Historique ajusté'!E:E,ROW()-Fenetre)-1))</f>
        <v/>
      </c>
      <c r="F98" s="34">
        <f>IF(OR('Historique ajusté'!F98="",ROW()-Fenetre&lt;6),"",IF(INDEX('Historique ajusté'!F:F,ROW()-Fenetre)="","",'Historique ajusté'!F98/INDEX('Historique ajusté'!F:F,ROW()-Fenetre)-1))</f>
        <v/>
      </c>
      <c r="G98" s="34">
        <f>IF(OR('Historique ajusté'!G98="",ROW()-Fenetre&lt;6),"",IF(INDEX('Historique ajusté'!G:G,ROW()-Fenetre)="","",'Historique ajusté'!G98/INDEX('Historique ajusté'!G:G,ROW()-Fenetre)-1))</f>
        <v/>
      </c>
      <c r="H98" s="34">
        <f>IF(OR('Historique ajusté'!H98="",ROW()-Fenetre&lt;6),"",IF(INDEX('Historique ajusté'!H:H,ROW()-Fenetre)="","",'Historique ajusté'!H98/INDEX('Historique ajusté'!H:H,ROW()-Fenetre)-1))</f>
        <v/>
      </c>
      <c r="I98" s="34">
        <f>IF(OR('Historique ajusté'!I98="",ROW()-Fenetre&lt;6),"",IF(INDEX('Historique ajusté'!I:I,ROW()-Fenetre)="","",'Historique ajusté'!I98/INDEX('Historique ajusté'!I:I,ROW()-Fenetre)-1))</f>
        <v/>
      </c>
      <c r="J98" s="34">
        <f>IF(OR('Historique ajusté'!J98="",ROW()-Fenetre&lt;6),"",IF(INDEX('Historique ajusté'!J:J,ROW()-Fenetre)="","",'Historique ajusté'!J98/INDEX('Historique ajusté'!J:J,ROW()-Fenetre)-1))</f>
        <v/>
      </c>
      <c r="K98" s="34">
        <f>IF(OR('Historique ajusté'!K98="",ROW()-Fenetre&lt;6),"",IF(INDEX('Historique ajusté'!K:K,ROW()-Fenetre)="","",'Historique ajusté'!K98/INDEX('Historique ajusté'!K:K,ROW()-Fenetre)-1))</f>
        <v/>
      </c>
      <c r="L98" s="34">
        <f>IF(OR('Historique ajusté'!L98="",ROW()-Fenetre&lt;6),"",IF(INDEX('Historique ajusté'!L:L,ROW()-Fenetre)="","",'Historique ajusté'!L98/INDEX('Historique ajusté'!L:L,ROW()-Fenetre)-1))</f>
        <v/>
      </c>
      <c r="M98" s="34">
        <f>IF(OR('Historique ajusté'!M98="",ROW()-Fenetre&lt;6),"",IF(INDEX('Historique ajusté'!M:M,ROW()-Fenetre)="","",'Historique ajusté'!M98/INDEX('Historique ajusté'!M:M,ROW()-Fenetre)-1))</f>
        <v/>
      </c>
      <c r="N98" s="34">
        <f>IF(OR('Historique ajusté'!N98="",ROW()-Fenetre&lt;6),"",IF(INDEX('Historique ajusté'!N:N,ROW()-Fenetre)="","",'Historique ajusté'!N98/INDEX('Historique ajusté'!N:N,ROW()-Fenetre)-1))</f>
        <v/>
      </c>
      <c r="O98" s="34">
        <f>IF(OR('Historique ajusté'!O98="",ROW()-Fenetre&lt;6),"",IF(INDEX('Historique ajusté'!O:O,ROW()-Fenetre)="","",'Historique ajusté'!O98/INDEX('Historique ajusté'!O:O,ROW()-Fenetre)-1))</f>
        <v/>
      </c>
      <c r="P98" s="34">
        <f>IF(OR('Historique ajusté'!P98="",ROW()-Fenetre&lt;6),"",IF(INDEX('Historique ajusté'!P:P,ROW()-Fenetre)="","",'Historique ajusté'!P98/INDEX('Historique ajusté'!P:P,ROW()-Fenetre)-1))</f>
        <v/>
      </c>
      <c r="Q98" s="34">
        <f>IF(OR(Composites!L98="",ROW()-Fenetre&lt;6),"",IF(INDEX(Composites!L:L,ROW()-Fenetre)="","",Composites!L98/INDEX(Composites!L:L,ROW()-Fenetre)-1))</f>
        <v/>
      </c>
      <c r="R98" s="34">
        <f>IF(OR(Composites!M98="",ROW()-Fenetre&lt;6),"",IF(INDEX(Composites!M:M,ROW()-Fenetre)="","",Composites!M98/INDEX(Composites!M:M,ROW()-Fenetre)-1))</f>
        <v/>
      </c>
      <c r="S98" s="34">
        <f>IF(OR(Composites!N98="",ROW()-Fenetre&lt;6),"",IF(INDEX(Composites!N:N,ROW()-Fenetre)="","",Composites!N98/INDEX(Composites!N:N,ROW()-Fenetre)-1))</f>
        <v/>
      </c>
      <c r="T98" s="34">
        <f>IF(OR(Composites!O98="",ROW()-Fenetre&lt;6),"",IF(INDEX(Composites!O:O,ROW()-Fenetre)="","",Composites!O98/INDEX(Composites!O:O,ROW()-Fenetre)-1))</f>
        <v/>
      </c>
      <c r="U98" s="34">
        <f>IF(OR(Composites!P98="",ROW()-Fenetre&lt;6),"",IF(INDEX(Composites!P:P,ROW()-Fenetre)="","",Composites!P98/INDEX(Composites!P:P,ROW()-Fenetre)-1))</f>
        <v/>
      </c>
      <c r="V98" s="34">
        <f>IF('Historique ajusté'!C98="","",'Historique ajusté'!C98/MAX('Historique ajusté'!C$6:C98)-1)</f>
        <v/>
      </c>
      <c r="W98" s="34">
        <f>IF('Historique ajusté'!D98="","",'Historique ajusté'!D98/MAX('Historique ajusté'!D$6:D98)-1)</f>
        <v/>
      </c>
      <c r="X98" s="34">
        <f>IF('Historique ajusté'!E98="","",'Historique ajusté'!E98/MAX('Historique ajusté'!E$6:E98)-1)</f>
        <v/>
      </c>
      <c r="Y98" s="34">
        <f>IF('Historique ajusté'!F98="","",'Historique ajusté'!F98/MAX('Historique ajusté'!F$6:F98)-1)</f>
        <v/>
      </c>
      <c r="Z98" s="34">
        <f>IF('Historique ajusté'!G98="","",'Historique ajusté'!G98/MAX('Historique ajusté'!G$6:G98)-1)</f>
        <v/>
      </c>
      <c r="AA98" s="34">
        <f>IF('Historique ajusté'!H98="","",'Historique ajusté'!H98/MAX('Historique ajusté'!H$6:H98)-1)</f>
        <v/>
      </c>
      <c r="AB98" s="34">
        <f>IF('Historique ajusté'!I98="","",'Historique ajusté'!I98/MAX('Historique ajusté'!I$6:I98)-1)</f>
        <v/>
      </c>
      <c r="AC98" s="34">
        <f>IF('Historique ajusté'!J98="","",'Historique ajusté'!J98/MAX('Historique ajusté'!J$6:J98)-1)</f>
        <v/>
      </c>
      <c r="AD98" s="34">
        <f>IF('Historique ajusté'!K98="","",'Historique ajusté'!K98/MAX('Historique ajusté'!K$6:K98)-1)</f>
        <v/>
      </c>
      <c r="AE98" s="34">
        <f>IF('Historique ajusté'!L98="","",'Historique ajusté'!L98/MAX('Historique ajusté'!L$6:L98)-1)</f>
        <v/>
      </c>
      <c r="AF98" s="34">
        <f>IF('Historique ajusté'!M98="","",'Historique ajusté'!M98/MAX('Historique ajusté'!M$6:M98)-1)</f>
        <v/>
      </c>
      <c r="AG98" s="34">
        <f>IF('Historique ajusté'!N98="","",'Historique ajusté'!N98/MAX('Historique ajusté'!N$6:N98)-1)</f>
        <v/>
      </c>
      <c r="AH98" s="34">
        <f>IF('Historique ajusté'!O98="","",'Historique ajusté'!O98/MAX('Historique ajusté'!O$6:O98)-1)</f>
        <v/>
      </c>
      <c r="AI98" s="34">
        <f>IF('Historique ajusté'!P98="","",'Historique ajusté'!P98/MAX('Historique ajusté'!P$6:P98)-1)</f>
        <v/>
      </c>
      <c r="AJ98" s="34">
        <f>IF(Composites!L98="","",Composites!L98/MAX(Composites!L$6:L98)-1)</f>
        <v/>
      </c>
      <c r="AK98" s="34">
        <f>IF(Composites!M98="","",Composites!M98/MAX(Composites!M$6:M98)-1)</f>
        <v/>
      </c>
      <c r="AL98" s="34">
        <f>IF(Composites!N98="","",Composites!N98/MAX(Composites!N$6:N98)-1)</f>
        <v/>
      </c>
      <c r="AM98" s="34">
        <f>IF(Composites!O98="","",Composites!O98/MAX(Composites!O$6:O98)-1)</f>
        <v/>
      </c>
      <c r="AN98" s="34">
        <f>IF(Composites!P98="","",Composites!P98/MAX(Composites!P$6:P98)-1)</f>
        <v/>
      </c>
    </row>
    <row r="99">
      <c r="B99" s="32">
        <f>'Historique ajusté'!B99</f>
        <v/>
      </c>
      <c r="C99" s="34">
        <f>IF(OR('Historique ajusté'!C99="",ROW()-Fenetre&lt;6),"",IF(INDEX('Historique ajusté'!C:C,ROW()-Fenetre)="","",'Historique ajusté'!C99/INDEX('Historique ajusté'!C:C,ROW()-Fenetre)-1))</f>
        <v/>
      </c>
      <c r="D99" s="34">
        <f>IF(OR('Historique ajusté'!D99="",ROW()-Fenetre&lt;6),"",IF(INDEX('Historique ajusté'!D:D,ROW()-Fenetre)="","",'Historique ajusté'!D99/INDEX('Historique ajusté'!D:D,ROW()-Fenetre)-1))</f>
        <v/>
      </c>
      <c r="E99" s="34">
        <f>IF(OR('Historique ajusté'!E99="",ROW()-Fenetre&lt;6),"",IF(INDEX('Historique ajusté'!E:E,ROW()-Fenetre)="","",'Historique ajusté'!E99/INDEX('Historique ajusté'!E:E,ROW()-Fenetre)-1))</f>
        <v/>
      </c>
      <c r="F99" s="34">
        <f>IF(OR('Historique ajusté'!F99="",ROW()-Fenetre&lt;6),"",IF(INDEX('Historique ajusté'!F:F,ROW()-Fenetre)="","",'Historique ajusté'!F99/INDEX('Historique ajusté'!F:F,ROW()-Fenetre)-1))</f>
        <v/>
      </c>
      <c r="G99" s="34">
        <f>IF(OR('Historique ajusté'!G99="",ROW()-Fenetre&lt;6),"",IF(INDEX('Historique ajusté'!G:G,ROW()-Fenetre)="","",'Historique ajusté'!G99/INDEX('Historique ajusté'!G:G,ROW()-Fenetre)-1))</f>
        <v/>
      </c>
      <c r="H99" s="34">
        <f>IF(OR('Historique ajusté'!H99="",ROW()-Fenetre&lt;6),"",IF(INDEX('Historique ajusté'!H:H,ROW()-Fenetre)="","",'Historique ajusté'!H99/INDEX('Historique ajusté'!H:H,ROW()-Fenetre)-1))</f>
        <v/>
      </c>
      <c r="I99" s="34">
        <f>IF(OR('Historique ajusté'!I99="",ROW()-Fenetre&lt;6),"",IF(INDEX('Historique ajusté'!I:I,ROW()-Fenetre)="","",'Historique ajusté'!I99/INDEX('Historique ajusté'!I:I,ROW()-Fenetre)-1))</f>
        <v/>
      </c>
      <c r="J99" s="34">
        <f>IF(OR('Historique ajusté'!J99="",ROW()-Fenetre&lt;6),"",IF(INDEX('Historique ajusté'!J:J,ROW()-Fenetre)="","",'Historique ajusté'!J99/INDEX('Historique ajusté'!J:J,ROW()-Fenetre)-1))</f>
        <v/>
      </c>
      <c r="K99" s="34">
        <f>IF(OR('Historique ajusté'!K99="",ROW()-Fenetre&lt;6),"",IF(INDEX('Historique ajusté'!K:K,ROW()-Fenetre)="","",'Historique ajusté'!K99/INDEX('Historique ajusté'!K:K,ROW()-Fenetre)-1))</f>
        <v/>
      </c>
      <c r="L99" s="34">
        <f>IF(OR('Historique ajusté'!L99="",ROW()-Fenetre&lt;6),"",IF(INDEX('Historique ajusté'!L:L,ROW()-Fenetre)="","",'Historique ajusté'!L99/INDEX('Historique ajusté'!L:L,ROW()-Fenetre)-1))</f>
        <v/>
      </c>
      <c r="M99" s="34">
        <f>IF(OR('Historique ajusté'!M99="",ROW()-Fenetre&lt;6),"",IF(INDEX('Historique ajusté'!M:M,ROW()-Fenetre)="","",'Historique ajusté'!M99/INDEX('Historique ajusté'!M:M,ROW()-Fenetre)-1))</f>
        <v/>
      </c>
      <c r="N99" s="34">
        <f>IF(OR('Historique ajusté'!N99="",ROW()-Fenetre&lt;6),"",IF(INDEX('Historique ajusté'!N:N,ROW()-Fenetre)="","",'Historique ajusté'!N99/INDEX('Historique ajusté'!N:N,ROW()-Fenetre)-1))</f>
        <v/>
      </c>
      <c r="O99" s="34">
        <f>IF(OR('Historique ajusté'!O99="",ROW()-Fenetre&lt;6),"",IF(INDEX('Historique ajusté'!O:O,ROW()-Fenetre)="","",'Historique ajusté'!O99/INDEX('Historique ajusté'!O:O,ROW()-Fenetre)-1))</f>
        <v/>
      </c>
      <c r="P99" s="34">
        <f>IF(OR('Historique ajusté'!P99="",ROW()-Fenetre&lt;6),"",IF(INDEX('Historique ajusté'!P:P,ROW()-Fenetre)="","",'Historique ajusté'!P99/INDEX('Historique ajusté'!P:P,ROW()-Fenetre)-1))</f>
        <v/>
      </c>
      <c r="Q99" s="34">
        <f>IF(OR(Composites!L99="",ROW()-Fenetre&lt;6),"",IF(INDEX(Composites!L:L,ROW()-Fenetre)="","",Composites!L99/INDEX(Composites!L:L,ROW()-Fenetre)-1))</f>
        <v/>
      </c>
      <c r="R99" s="34">
        <f>IF(OR(Composites!M99="",ROW()-Fenetre&lt;6),"",IF(INDEX(Composites!M:M,ROW()-Fenetre)="","",Composites!M99/INDEX(Composites!M:M,ROW()-Fenetre)-1))</f>
        <v/>
      </c>
      <c r="S99" s="34">
        <f>IF(OR(Composites!N99="",ROW()-Fenetre&lt;6),"",IF(INDEX(Composites!N:N,ROW()-Fenetre)="","",Composites!N99/INDEX(Composites!N:N,ROW()-Fenetre)-1))</f>
        <v/>
      </c>
      <c r="T99" s="34">
        <f>IF(OR(Composites!O99="",ROW()-Fenetre&lt;6),"",IF(INDEX(Composites!O:O,ROW()-Fenetre)="","",Composites!O99/INDEX(Composites!O:O,ROW()-Fenetre)-1))</f>
        <v/>
      </c>
      <c r="U99" s="34">
        <f>IF(OR(Composites!P99="",ROW()-Fenetre&lt;6),"",IF(INDEX(Composites!P:P,ROW()-Fenetre)="","",Composites!P99/INDEX(Composites!P:P,ROW()-Fenetre)-1))</f>
        <v/>
      </c>
      <c r="V99" s="34">
        <f>IF('Historique ajusté'!C99="","",'Historique ajusté'!C99/MAX('Historique ajusté'!C$6:C99)-1)</f>
        <v/>
      </c>
      <c r="W99" s="34">
        <f>IF('Historique ajusté'!D99="","",'Historique ajusté'!D99/MAX('Historique ajusté'!D$6:D99)-1)</f>
        <v/>
      </c>
      <c r="X99" s="34">
        <f>IF('Historique ajusté'!E99="","",'Historique ajusté'!E99/MAX('Historique ajusté'!E$6:E99)-1)</f>
        <v/>
      </c>
      <c r="Y99" s="34">
        <f>IF('Historique ajusté'!F99="","",'Historique ajusté'!F99/MAX('Historique ajusté'!F$6:F99)-1)</f>
        <v/>
      </c>
      <c r="Z99" s="34">
        <f>IF('Historique ajusté'!G99="","",'Historique ajusté'!G99/MAX('Historique ajusté'!G$6:G99)-1)</f>
        <v/>
      </c>
      <c r="AA99" s="34">
        <f>IF('Historique ajusté'!H99="","",'Historique ajusté'!H99/MAX('Historique ajusté'!H$6:H99)-1)</f>
        <v/>
      </c>
      <c r="AB99" s="34">
        <f>IF('Historique ajusté'!I99="","",'Historique ajusté'!I99/MAX('Historique ajusté'!I$6:I99)-1)</f>
        <v/>
      </c>
      <c r="AC99" s="34">
        <f>IF('Historique ajusté'!J99="","",'Historique ajusté'!J99/MAX('Historique ajusté'!J$6:J99)-1)</f>
        <v/>
      </c>
      <c r="AD99" s="34">
        <f>IF('Historique ajusté'!K99="","",'Historique ajusté'!K99/MAX('Historique ajusté'!K$6:K99)-1)</f>
        <v/>
      </c>
      <c r="AE99" s="34">
        <f>IF('Historique ajusté'!L99="","",'Historique ajusté'!L99/MAX('Historique ajusté'!L$6:L99)-1)</f>
        <v/>
      </c>
      <c r="AF99" s="34">
        <f>IF('Historique ajusté'!M99="","",'Historique ajusté'!M99/MAX('Historique ajusté'!M$6:M99)-1)</f>
        <v/>
      </c>
      <c r="AG99" s="34">
        <f>IF('Historique ajusté'!N99="","",'Historique ajusté'!N99/MAX('Historique ajusté'!N$6:N99)-1)</f>
        <v/>
      </c>
      <c r="AH99" s="34">
        <f>IF('Historique ajusté'!O99="","",'Historique ajusté'!O99/MAX('Historique ajusté'!O$6:O99)-1)</f>
        <v/>
      </c>
      <c r="AI99" s="34">
        <f>IF('Historique ajusté'!P99="","",'Historique ajusté'!P99/MAX('Historique ajusté'!P$6:P99)-1)</f>
        <v/>
      </c>
      <c r="AJ99" s="34">
        <f>IF(Composites!L99="","",Composites!L99/MAX(Composites!L$6:L99)-1)</f>
        <v/>
      </c>
      <c r="AK99" s="34">
        <f>IF(Composites!M99="","",Composites!M99/MAX(Composites!M$6:M99)-1)</f>
        <v/>
      </c>
      <c r="AL99" s="34">
        <f>IF(Composites!N99="","",Composites!N99/MAX(Composites!N$6:N99)-1)</f>
        <v/>
      </c>
      <c r="AM99" s="34">
        <f>IF(Composites!O99="","",Composites!O99/MAX(Composites!O$6:O99)-1)</f>
        <v/>
      </c>
      <c r="AN99" s="34">
        <f>IF(Composites!P99="","",Composites!P99/MAX(Composites!P$6:P99)-1)</f>
        <v/>
      </c>
    </row>
    <row r="100">
      <c r="B100" s="32">
        <f>'Historique ajusté'!B100</f>
        <v/>
      </c>
      <c r="C100" s="34">
        <f>IF(OR('Historique ajusté'!C100="",ROW()-Fenetre&lt;6),"",IF(INDEX('Historique ajusté'!C:C,ROW()-Fenetre)="","",'Historique ajusté'!C100/INDEX('Historique ajusté'!C:C,ROW()-Fenetre)-1))</f>
        <v/>
      </c>
      <c r="D100" s="34">
        <f>IF(OR('Historique ajusté'!D100="",ROW()-Fenetre&lt;6),"",IF(INDEX('Historique ajusté'!D:D,ROW()-Fenetre)="","",'Historique ajusté'!D100/INDEX('Historique ajusté'!D:D,ROW()-Fenetre)-1))</f>
        <v/>
      </c>
      <c r="E100" s="34">
        <f>IF(OR('Historique ajusté'!E100="",ROW()-Fenetre&lt;6),"",IF(INDEX('Historique ajusté'!E:E,ROW()-Fenetre)="","",'Historique ajusté'!E100/INDEX('Historique ajusté'!E:E,ROW()-Fenetre)-1))</f>
        <v/>
      </c>
      <c r="F100" s="34">
        <f>IF(OR('Historique ajusté'!F100="",ROW()-Fenetre&lt;6),"",IF(INDEX('Historique ajusté'!F:F,ROW()-Fenetre)="","",'Historique ajusté'!F100/INDEX('Historique ajusté'!F:F,ROW()-Fenetre)-1))</f>
        <v/>
      </c>
      <c r="G100" s="34">
        <f>IF(OR('Historique ajusté'!G100="",ROW()-Fenetre&lt;6),"",IF(INDEX('Historique ajusté'!G:G,ROW()-Fenetre)="","",'Historique ajusté'!G100/INDEX('Historique ajusté'!G:G,ROW()-Fenetre)-1))</f>
        <v/>
      </c>
      <c r="H100" s="34">
        <f>IF(OR('Historique ajusté'!H100="",ROW()-Fenetre&lt;6),"",IF(INDEX('Historique ajusté'!H:H,ROW()-Fenetre)="","",'Historique ajusté'!H100/INDEX('Historique ajusté'!H:H,ROW()-Fenetre)-1))</f>
        <v/>
      </c>
      <c r="I100" s="34">
        <f>IF(OR('Historique ajusté'!I100="",ROW()-Fenetre&lt;6),"",IF(INDEX('Historique ajusté'!I:I,ROW()-Fenetre)="","",'Historique ajusté'!I100/INDEX('Historique ajusté'!I:I,ROW()-Fenetre)-1))</f>
        <v/>
      </c>
      <c r="J100" s="34">
        <f>IF(OR('Historique ajusté'!J100="",ROW()-Fenetre&lt;6),"",IF(INDEX('Historique ajusté'!J:J,ROW()-Fenetre)="","",'Historique ajusté'!J100/INDEX('Historique ajusté'!J:J,ROW()-Fenetre)-1))</f>
        <v/>
      </c>
      <c r="K100" s="34">
        <f>IF(OR('Historique ajusté'!K100="",ROW()-Fenetre&lt;6),"",IF(INDEX('Historique ajusté'!K:K,ROW()-Fenetre)="","",'Historique ajusté'!K100/INDEX('Historique ajusté'!K:K,ROW()-Fenetre)-1))</f>
        <v/>
      </c>
      <c r="L100" s="34">
        <f>IF(OR('Historique ajusté'!L100="",ROW()-Fenetre&lt;6),"",IF(INDEX('Historique ajusté'!L:L,ROW()-Fenetre)="","",'Historique ajusté'!L100/INDEX('Historique ajusté'!L:L,ROW()-Fenetre)-1))</f>
        <v/>
      </c>
      <c r="M100" s="34">
        <f>IF(OR('Historique ajusté'!M100="",ROW()-Fenetre&lt;6),"",IF(INDEX('Historique ajusté'!M:M,ROW()-Fenetre)="","",'Historique ajusté'!M100/INDEX('Historique ajusté'!M:M,ROW()-Fenetre)-1))</f>
        <v/>
      </c>
      <c r="N100" s="34">
        <f>IF(OR('Historique ajusté'!N100="",ROW()-Fenetre&lt;6),"",IF(INDEX('Historique ajusté'!N:N,ROW()-Fenetre)="","",'Historique ajusté'!N100/INDEX('Historique ajusté'!N:N,ROW()-Fenetre)-1))</f>
        <v/>
      </c>
      <c r="O100" s="34">
        <f>IF(OR('Historique ajusté'!O100="",ROW()-Fenetre&lt;6),"",IF(INDEX('Historique ajusté'!O:O,ROW()-Fenetre)="","",'Historique ajusté'!O100/INDEX('Historique ajusté'!O:O,ROW()-Fenetre)-1))</f>
        <v/>
      </c>
      <c r="P100" s="34">
        <f>IF(OR('Historique ajusté'!P100="",ROW()-Fenetre&lt;6),"",IF(INDEX('Historique ajusté'!P:P,ROW()-Fenetre)="","",'Historique ajusté'!P100/INDEX('Historique ajusté'!P:P,ROW()-Fenetre)-1))</f>
        <v/>
      </c>
      <c r="Q100" s="34">
        <f>IF(OR(Composites!L100="",ROW()-Fenetre&lt;6),"",IF(INDEX(Composites!L:L,ROW()-Fenetre)="","",Composites!L100/INDEX(Composites!L:L,ROW()-Fenetre)-1))</f>
        <v/>
      </c>
      <c r="R100" s="34">
        <f>IF(OR(Composites!M100="",ROW()-Fenetre&lt;6),"",IF(INDEX(Composites!M:M,ROW()-Fenetre)="","",Composites!M100/INDEX(Composites!M:M,ROW()-Fenetre)-1))</f>
        <v/>
      </c>
      <c r="S100" s="34">
        <f>IF(OR(Composites!N100="",ROW()-Fenetre&lt;6),"",IF(INDEX(Composites!N:N,ROW()-Fenetre)="","",Composites!N100/INDEX(Composites!N:N,ROW()-Fenetre)-1))</f>
        <v/>
      </c>
      <c r="T100" s="34">
        <f>IF(OR(Composites!O100="",ROW()-Fenetre&lt;6),"",IF(INDEX(Composites!O:O,ROW()-Fenetre)="","",Composites!O100/INDEX(Composites!O:O,ROW()-Fenetre)-1))</f>
        <v/>
      </c>
      <c r="U100" s="34">
        <f>IF(OR(Composites!P100="",ROW()-Fenetre&lt;6),"",IF(INDEX(Composites!P:P,ROW()-Fenetre)="","",Composites!P100/INDEX(Composites!P:P,ROW()-Fenetre)-1))</f>
        <v/>
      </c>
      <c r="V100" s="34">
        <f>IF('Historique ajusté'!C100="","",'Historique ajusté'!C100/MAX('Historique ajusté'!C$6:C100)-1)</f>
        <v/>
      </c>
      <c r="W100" s="34">
        <f>IF('Historique ajusté'!D100="","",'Historique ajusté'!D100/MAX('Historique ajusté'!D$6:D100)-1)</f>
        <v/>
      </c>
      <c r="X100" s="34">
        <f>IF('Historique ajusté'!E100="","",'Historique ajusté'!E100/MAX('Historique ajusté'!E$6:E100)-1)</f>
        <v/>
      </c>
      <c r="Y100" s="34">
        <f>IF('Historique ajusté'!F100="","",'Historique ajusté'!F100/MAX('Historique ajusté'!F$6:F100)-1)</f>
        <v/>
      </c>
      <c r="Z100" s="34">
        <f>IF('Historique ajusté'!G100="","",'Historique ajusté'!G100/MAX('Historique ajusté'!G$6:G100)-1)</f>
        <v/>
      </c>
      <c r="AA100" s="34">
        <f>IF('Historique ajusté'!H100="","",'Historique ajusté'!H100/MAX('Historique ajusté'!H$6:H100)-1)</f>
        <v/>
      </c>
      <c r="AB100" s="34">
        <f>IF('Historique ajusté'!I100="","",'Historique ajusté'!I100/MAX('Historique ajusté'!I$6:I100)-1)</f>
        <v/>
      </c>
      <c r="AC100" s="34">
        <f>IF('Historique ajusté'!J100="","",'Historique ajusté'!J100/MAX('Historique ajusté'!J$6:J100)-1)</f>
        <v/>
      </c>
      <c r="AD100" s="34">
        <f>IF('Historique ajusté'!K100="","",'Historique ajusté'!K100/MAX('Historique ajusté'!K$6:K100)-1)</f>
        <v/>
      </c>
      <c r="AE100" s="34">
        <f>IF('Historique ajusté'!L100="","",'Historique ajusté'!L100/MAX('Historique ajusté'!L$6:L100)-1)</f>
        <v/>
      </c>
      <c r="AF100" s="34">
        <f>IF('Historique ajusté'!M100="","",'Historique ajusté'!M100/MAX('Historique ajusté'!M$6:M100)-1)</f>
        <v/>
      </c>
      <c r="AG100" s="34">
        <f>IF('Historique ajusté'!N100="","",'Historique ajusté'!N100/MAX('Historique ajusté'!N$6:N100)-1)</f>
        <v/>
      </c>
      <c r="AH100" s="34">
        <f>IF('Historique ajusté'!O100="","",'Historique ajusté'!O100/MAX('Historique ajusté'!O$6:O100)-1)</f>
        <v/>
      </c>
      <c r="AI100" s="34">
        <f>IF('Historique ajusté'!P100="","",'Historique ajusté'!P100/MAX('Historique ajusté'!P$6:P100)-1)</f>
        <v/>
      </c>
      <c r="AJ100" s="34">
        <f>IF(Composites!L100="","",Composites!L100/MAX(Composites!L$6:L100)-1)</f>
        <v/>
      </c>
      <c r="AK100" s="34">
        <f>IF(Composites!M100="","",Composites!M100/MAX(Composites!M$6:M100)-1)</f>
        <v/>
      </c>
      <c r="AL100" s="34">
        <f>IF(Composites!N100="","",Composites!N100/MAX(Composites!N$6:N100)-1)</f>
        <v/>
      </c>
      <c r="AM100" s="34">
        <f>IF(Composites!O100="","",Composites!O100/MAX(Composites!O$6:O100)-1)</f>
        <v/>
      </c>
      <c r="AN100" s="34">
        <f>IF(Composites!P100="","",Composites!P100/MAX(Composites!P$6:P100)-1)</f>
        <v/>
      </c>
    </row>
    <row r="101">
      <c r="B101" s="32">
        <f>'Historique ajusté'!B101</f>
        <v/>
      </c>
      <c r="C101" s="34">
        <f>IF(OR('Historique ajusté'!C101="",ROW()-Fenetre&lt;6),"",IF(INDEX('Historique ajusté'!C:C,ROW()-Fenetre)="","",'Historique ajusté'!C101/INDEX('Historique ajusté'!C:C,ROW()-Fenetre)-1))</f>
        <v/>
      </c>
      <c r="D101" s="34">
        <f>IF(OR('Historique ajusté'!D101="",ROW()-Fenetre&lt;6),"",IF(INDEX('Historique ajusté'!D:D,ROW()-Fenetre)="","",'Historique ajusté'!D101/INDEX('Historique ajusté'!D:D,ROW()-Fenetre)-1))</f>
        <v/>
      </c>
      <c r="E101" s="34">
        <f>IF(OR('Historique ajusté'!E101="",ROW()-Fenetre&lt;6),"",IF(INDEX('Historique ajusté'!E:E,ROW()-Fenetre)="","",'Historique ajusté'!E101/INDEX('Historique ajusté'!E:E,ROW()-Fenetre)-1))</f>
        <v/>
      </c>
      <c r="F101" s="34">
        <f>IF(OR('Historique ajusté'!F101="",ROW()-Fenetre&lt;6),"",IF(INDEX('Historique ajusté'!F:F,ROW()-Fenetre)="","",'Historique ajusté'!F101/INDEX('Historique ajusté'!F:F,ROW()-Fenetre)-1))</f>
        <v/>
      </c>
      <c r="G101" s="34">
        <f>IF(OR('Historique ajusté'!G101="",ROW()-Fenetre&lt;6),"",IF(INDEX('Historique ajusté'!G:G,ROW()-Fenetre)="","",'Historique ajusté'!G101/INDEX('Historique ajusté'!G:G,ROW()-Fenetre)-1))</f>
        <v/>
      </c>
      <c r="H101" s="34">
        <f>IF(OR('Historique ajusté'!H101="",ROW()-Fenetre&lt;6),"",IF(INDEX('Historique ajusté'!H:H,ROW()-Fenetre)="","",'Historique ajusté'!H101/INDEX('Historique ajusté'!H:H,ROW()-Fenetre)-1))</f>
        <v/>
      </c>
      <c r="I101" s="34">
        <f>IF(OR('Historique ajusté'!I101="",ROW()-Fenetre&lt;6),"",IF(INDEX('Historique ajusté'!I:I,ROW()-Fenetre)="","",'Historique ajusté'!I101/INDEX('Historique ajusté'!I:I,ROW()-Fenetre)-1))</f>
        <v/>
      </c>
      <c r="J101" s="34">
        <f>IF(OR('Historique ajusté'!J101="",ROW()-Fenetre&lt;6),"",IF(INDEX('Historique ajusté'!J:J,ROW()-Fenetre)="","",'Historique ajusté'!J101/INDEX('Historique ajusté'!J:J,ROW()-Fenetre)-1))</f>
        <v/>
      </c>
      <c r="K101" s="34">
        <f>IF(OR('Historique ajusté'!K101="",ROW()-Fenetre&lt;6),"",IF(INDEX('Historique ajusté'!K:K,ROW()-Fenetre)="","",'Historique ajusté'!K101/INDEX('Historique ajusté'!K:K,ROW()-Fenetre)-1))</f>
        <v/>
      </c>
      <c r="L101" s="34">
        <f>IF(OR('Historique ajusté'!L101="",ROW()-Fenetre&lt;6),"",IF(INDEX('Historique ajusté'!L:L,ROW()-Fenetre)="","",'Historique ajusté'!L101/INDEX('Historique ajusté'!L:L,ROW()-Fenetre)-1))</f>
        <v/>
      </c>
      <c r="M101" s="34">
        <f>IF(OR('Historique ajusté'!M101="",ROW()-Fenetre&lt;6),"",IF(INDEX('Historique ajusté'!M:M,ROW()-Fenetre)="","",'Historique ajusté'!M101/INDEX('Historique ajusté'!M:M,ROW()-Fenetre)-1))</f>
        <v/>
      </c>
      <c r="N101" s="34">
        <f>IF(OR('Historique ajusté'!N101="",ROW()-Fenetre&lt;6),"",IF(INDEX('Historique ajusté'!N:N,ROW()-Fenetre)="","",'Historique ajusté'!N101/INDEX('Historique ajusté'!N:N,ROW()-Fenetre)-1))</f>
        <v/>
      </c>
      <c r="O101" s="34">
        <f>IF(OR('Historique ajusté'!O101="",ROW()-Fenetre&lt;6),"",IF(INDEX('Historique ajusté'!O:O,ROW()-Fenetre)="","",'Historique ajusté'!O101/INDEX('Historique ajusté'!O:O,ROW()-Fenetre)-1))</f>
        <v/>
      </c>
      <c r="P101" s="34">
        <f>IF(OR('Historique ajusté'!P101="",ROW()-Fenetre&lt;6),"",IF(INDEX('Historique ajusté'!P:P,ROW()-Fenetre)="","",'Historique ajusté'!P101/INDEX('Historique ajusté'!P:P,ROW()-Fenetre)-1))</f>
        <v/>
      </c>
      <c r="Q101" s="34">
        <f>IF(OR(Composites!L101="",ROW()-Fenetre&lt;6),"",IF(INDEX(Composites!L:L,ROW()-Fenetre)="","",Composites!L101/INDEX(Composites!L:L,ROW()-Fenetre)-1))</f>
        <v/>
      </c>
      <c r="R101" s="34">
        <f>IF(OR(Composites!M101="",ROW()-Fenetre&lt;6),"",IF(INDEX(Composites!M:M,ROW()-Fenetre)="","",Composites!M101/INDEX(Composites!M:M,ROW()-Fenetre)-1))</f>
        <v/>
      </c>
      <c r="S101" s="34">
        <f>IF(OR(Composites!N101="",ROW()-Fenetre&lt;6),"",IF(INDEX(Composites!N:N,ROW()-Fenetre)="","",Composites!N101/INDEX(Composites!N:N,ROW()-Fenetre)-1))</f>
        <v/>
      </c>
      <c r="T101" s="34">
        <f>IF(OR(Composites!O101="",ROW()-Fenetre&lt;6),"",IF(INDEX(Composites!O:O,ROW()-Fenetre)="","",Composites!O101/INDEX(Composites!O:O,ROW()-Fenetre)-1))</f>
        <v/>
      </c>
      <c r="U101" s="34">
        <f>IF(OR(Composites!P101="",ROW()-Fenetre&lt;6),"",IF(INDEX(Composites!P:P,ROW()-Fenetre)="","",Composites!P101/INDEX(Composites!P:P,ROW()-Fenetre)-1))</f>
        <v/>
      </c>
      <c r="V101" s="34">
        <f>IF('Historique ajusté'!C101="","",'Historique ajusté'!C101/MAX('Historique ajusté'!C$6:C101)-1)</f>
        <v/>
      </c>
      <c r="W101" s="34">
        <f>IF('Historique ajusté'!D101="","",'Historique ajusté'!D101/MAX('Historique ajusté'!D$6:D101)-1)</f>
        <v/>
      </c>
      <c r="X101" s="34">
        <f>IF('Historique ajusté'!E101="","",'Historique ajusté'!E101/MAX('Historique ajusté'!E$6:E101)-1)</f>
        <v/>
      </c>
      <c r="Y101" s="34">
        <f>IF('Historique ajusté'!F101="","",'Historique ajusté'!F101/MAX('Historique ajusté'!F$6:F101)-1)</f>
        <v/>
      </c>
      <c r="Z101" s="34">
        <f>IF('Historique ajusté'!G101="","",'Historique ajusté'!G101/MAX('Historique ajusté'!G$6:G101)-1)</f>
        <v/>
      </c>
      <c r="AA101" s="34">
        <f>IF('Historique ajusté'!H101="","",'Historique ajusté'!H101/MAX('Historique ajusté'!H$6:H101)-1)</f>
        <v/>
      </c>
      <c r="AB101" s="34">
        <f>IF('Historique ajusté'!I101="","",'Historique ajusté'!I101/MAX('Historique ajusté'!I$6:I101)-1)</f>
        <v/>
      </c>
      <c r="AC101" s="34">
        <f>IF('Historique ajusté'!J101="","",'Historique ajusté'!J101/MAX('Historique ajusté'!J$6:J101)-1)</f>
        <v/>
      </c>
      <c r="AD101" s="34">
        <f>IF('Historique ajusté'!K101="","",'Historique ajusté'!K101/MAX('Historique ajusté'!K$6:K101)-1)</f>
        <v/>
      </c>
      <c r="AE101" s="34">
        <f>IF('Historique ajusté'!L101="","",'Historique ajusté'!L101/MAX('Historique ajusté'!L$6:L101)-1)</f>
        <v/>
      </c>
      <c r="AF101" s="34">
        <f>IF('Historique ajusté'!M101="","",'Historique ajusté'!M101/MAX('Historique ajusté'!M$6:M101)-1)</f>
        <v/>
      </c>
      <c r="AG101" s="34">
        <f>IF('Historique ajusté'!N101="","",'Historique ajusté'!N101/MAX('Historique ajusté'!N$6:N101)-1)</f>
        <v/>
      </c>
      <c r="AH101" s="34">
        <f>IF('Historique ajusté'!O101="","",'Historique ajusté'!O101/MAX('Historique ajusté'!O$6:O101)-1)</f>
        <v/>
      </c>
      <c r="AI101" s="34">
        <f>IF('Historique ajusté'!P101="","",'Historique ajusté'!P101/MAX('Historique ajusté'!P$6:P101)-1)</f>
        <v/>
      </c>
      <c r="AJ101" s="34">
        <f>IF(Composites!L101="","",Composites!L101/MAX(Composites!L$6:L101)-1)</f>
        <v/>
      </c>
      <c r="AK101" s="34">
        <f>IF(Composites!M101="","",Composites!M101/MAX(Composites!M$6:M101)-1)</f>
        <v/>
      </c>
      <c r="AL101" s="34">
        <f>IF(Composites!N101="","",Composites!N101/MAX(Composites!N$6:N101)-1)</f>
        <v/>
      </c>
      <c r="AM101" s="34">
        <f>IF(Composites!O101="","",Composites!O101/MAX(Composites!O$6:O101)-1)</f>
        <v/>
      </c>
      <c r="AN101" s="34">
        <f>IF(Composites!P101="","",Composites!P101/MAX(Composites!P$6:P101)-1)</f>
        <v/>
      </c>
    </row>
    <row r="102">
      <c r="B102" s="32">
        <f>'Historique ajusté'!B102</f>
        <v/>
      </c>
      <c r="C102" s="34">
        <f>IF(OR('Historique ajusté'!C102="",ROW()-Fenetre&lt;6),"",IF(INDEX('Historique ajusté'!C:C,ROW()-Fenetre)="","",'Historique ajusté'!C102/INDEX('Historique ajusté'!C:C,ROW()-Fenetre)-1))</f>
        <v/>
      </c>
      <c r="D102" s="34">
        <f>IF(OR('Historique ajusté'!D102="",ROW()-Fenetre&lt;6),"",IF(INDEX('Historique ajusté'!D:D,ROW()-Fenetre)="","",'Historique ajusté'!D102/INDEX('Historique ajusté'!D:D,ROW()-Fenetre)-1))</f>
        <v/>
      </c>
      <c r="E102" s="34">
        <f>IF(OR('Historique ajusté'!E102="",ROW()-Fenetre&lt;6),"",IF(INDEX('Historique ajusté'!E:E,ROW()-Fenetre)="","",'Historique ajusté'!E102/INDEX('Historique ajusté'!E:E,ROW()-Fenetre)-1))</f>
        <v/>
      </c>
      <c r="F102" s="34">
        <f>IF(OR('Historique ajusté'!F102="",ROW()-Fenetre&lt;6),"",IF(INDEX('Historique ajusté'!F:F,ROW()-Fenetre)="","",'Historique ajusté'!F102/INDEX('Historique ajusté'!F:F,ROW()-Fenetre)-1))</f>
        <v/>
      </c>
      <c r="G102" s="34">
        <f>IF(OR('Historique ajusté'!G102="",ROW()-Fenetre&lt;6),"",IF(INDEX('Historique ajusté'!G:G,ROW()-Fenetre)="","",'Historique ajusté'!G102/INDEX('Historique ajusté'!G:G,ROW()-Fenetre)-1))</f>
        <v/>
      </c>
      <c r="H102" s="34">
        <f>IF(OR('Historique ajusté'!H102="",ROW()-Fenetre&lt;6),"",IF(INDEX('Historique ajusté'!H:H,ROW()-Fenetre)="","",'Historique ajusté'!H102/INDEX('Historique ajusté'!H:H,ROW()-Fenetre)-1))</f>
        <v/>
      </c>
      <c r="I102" s="34">
        <f>IF(OR('Historique ajusté'!I102="",ROW()-Fenetre&lt;6),"",IF(INDEX('Historique ajusté'!I:I,ROW()-Fenetre)="","",'Historique ajusté'!I102/INDEX('Historique ajusté'!I:I,ROW()-Fenetre)-1))</f>
        <v/>
      </c>
      <c r="J102" s="34">
        <f>IF(OR('Historique ajusté'!J102="",ROW()-Fenetre&lt;6),"",IF(INDEX('Historique ajusté'!J:J,ROW()-Fenetre)="","",'Historique ajusté'!J102/INDEX('Historique ajusté'!J:J,ROW()-Fenetre)-1))</f>
        <v/>
      </c>
      <c r="K102" s="34">
        <f>IF(OR('Historique ajusté'!K102="",ROW()-Fenetre&lt;6),"",IF(INDEX('Historique ajusté'!K:K,ROW()-Fenetre)="","",'Historique ajusté'!K102/INDEX('Historique ajusté'!K:K,ROW()-Fenetre)-1))</f>
        <v/>
      </c>
      <c r="L102" s="34">
        <f>IF(OR('Historique ajusté'!L102="",ROW()-Fenetre&lt;6),"",IF(INDEX('Historique ajusté'!L:L,ROW()-Fenetre)="","",'Historique ajusté'!L102/INDEX('Historique ajusté'!L:L,ROW()-Fenetre)-1))</f>
        <v/>
      </c>
      <c r="M102" s="34">
        <f>IF(OR('Historique ajusté'!M102="",ROW()-Fenetre&lt;6),"",IF(INDEX('Historique ajusté'!M:M,ROW()-Fenetre)="","",'Historique ajusté'!M102/INDEX('Historique ajusté'!M:M,ROW()-Fenetre)-1))</f>
        <v/>
      </c>
      <c r="N102" s="34">
        <f>IF(OR('Historique ajusté'!N102="",ROW()-Fenetre&lt;6),"",IF(INDEX('Historique ajusté'!N:N,ROW()-Fenetre)="","",'Historique ajusté'!N102/INDEX('Historique ajusté'!N:N,ROW()-Fenetre)-1))</f>
        <v/>
      </c>
      <c r="O102" s="34">
        <f>IF(OR('Historique ajusté'!O102="",ROW()-Fenetre&lt;6),"",IF(INDEX('Historique ajusté'!O:O,ROW()-Fenetre)="","",'Historique ajusté'!O102/INDEX('Historique ajusté'!O:O,ROW()-Fenetre)-1))</f>
        <v/>
      </c>
      <c r="P102" s="34">
        <f>IF(OR('Historique ajusté'!P102="",ROW()-Fenetre&lt;6),"",IF(INDEX('Historique ajusté'!P:P,ROW()-Fenetre)="","",'Historique ajusté'!P102/INDEX('Historique ajusté'!P:P,ROW()-Fenetre)-1))</f>
        <v/>
      </c>
      <c r="Q102" s="34">
        <f>IF(OR(Composites!L102="",ROW()-Fenetre&lt;6),"",IF(INDEX(Composites!L:L,ROW()-Fenetre)="","",Composites!L102/INDEX(Composites!L:L,ROW()-Fenetre)-1))</f>
        <v/>
      </c>
      <c r="R102" s="34">
        <f>IF(OR(Composites!M102="",ROW()-Fenetre&lt;6),"",IF(INDEX(Composites!M:M,ROW()-Fenetre)="","",Composites!M102/INDEX(Composites!M:M,ROW()-Fenetre)-1))</f>
        <v/>
      </c>
      <c r="S102" s="34">
        <f>IF(OR(Composites!N102="",ROW()-Fenetre&lt;6),"",IF(INDEX(Composites!N:N,ROW()-Fenetre)="","",Composites!N102/INDEX(Composites!N:N,ROW()-Fenetre)-1))</f>
        <v/>
      </c>
      <c r="T102" s="34">
        <f>IF(OR(Composites!O102="",ROW()-Fenetre&lt;6),"",IF(INDEX(Composites!O:O,ROW()-Fenetre)="","",Composites!O102/INDEX(Composites!O:O,ROW()-Fenetre)-1))</f>
        <v/>
      </c>
      <c r="U102" s="34">
        <f>IF(OR(Composites!P102="",ROW()-Fenetre&lt;6),"",IF(INDEX(Composites!P:P,ROW()-Fenetre)="","",Composites!P102/INDEX(Composites!P:P,ROW()-Fenetre)-1))</f>
        <v/>
      </c>
      <c r="V102" s="34">
        <f>IF('Historique ajusté'!C102="","",'Historique ajusté'!C102/MAX('Historique ajusté'!C$6:C102)-1)</f>
        <v/>
      </c>
      <c r="W102" s="34">
        <f>IF('Historique ajusté'!D102="","",'Historique ajusté'!D102/MAX('Historique ajusté'!D$6:D102)-1)</f>
        <v/>
      </c>
      <c r="X102" s="34">
        <f>IF('Historique ajusté'!E102="","",'Historique ajusté'!E102/MAX('Historique ajusté'!E$6:E102)-1)</f>
        <v/>
      </c>
      <c r="Y102" s="34">
        <f>IF('Historique ajusté'!F102="","",'Historique ajusté'!F102/MAX('Historique ajusté'!F$6:F102)-1)</f>
        <v/>
      </c>
      <c r="Z102" s="34">
        <f>IF('Historique ajusté'!G102="","",'Historique ajusté'!G102/MAX('Historique ajusté'!G$6:G102)-1)</f>
        <v/>
      </c>
      <c r="AA102" s="34">
        <f>IF('Historique ajusté'!H102="","",'Historique ajusté'!H102/MAX('Historique ajusté'!H$6:H102)-1)</f>
        <v/>
      </c>
      <c r="AB102" s="34">
        <f>IF('Historique ajusté'!I102="","",'Historique ajusté'!I102/MAX('Historique ajusté'!I$6:I102)-1)</f>
        <v/>
      </c>
      <c r="AC102" s="34">
        <f>IF('Historique ajusté'!J102="","",'Historique ajusté'!J102/MAX('Historique ajusté'!J$6:J102)-1)</f>
        <v/>
      </c>
      <c r="AD102" s="34">
        <f>IF('Historique ajusté'!K102="","",'Historique ajusté'!K102/MAX('Historique ajusté'!K$6:K102)-1)</f>
        <v/>
      </c>
      <c r="AE102" s="34">
        <f>IF('Historique ajusté'!L102="","",'Historique ajusté'!L102/MAX('Historique ajusté'!L$6:L102)-1)</f>
        <v/>
      </c>
      <c r="AF102" s="34">
        <f>IF('Historique ajusté'!M102="","",'Historique ajusté'!M102/MAX('Historique ajusté'!M$6:M102)-1)</f>
        <v/>
      </c>
      <c r="AG102" s="34">
        <f>IF('Historique ajusté'!N102="","",'Historique ajusté'!N102/MAX('Historique ajusté'!N$6:N102)-1)</f>
        <v/>
      </c>
      <c r="AH102" s="34">
        <f>IF('Historique ajusté'!O102="","",'Historique ajusté'!O102/MAX('Historique ajusté'!O$6:O102)-1)</f>
        <v/>
      </c>
      <c r="AI102" s="34">
        <f>IF('Historique ajusté'!P102="","",'Historique ajusté'!P102/MAX('Historique ajusté'!P$6:P102)-1)</f>
        <v/>
      </c>
      <c r="AJ102" s="34">
        <f>IF(Composites!L102="","",Composites!L102/MAX(Composites!L$6:L102)-1)</f>
        <v/>
      </c>
      <c r="AK102" s="34">
        <f>IF(Composites!M102="","",Composites!M102/MAX(Composites!M$6:M102)-1)</f>
        <v/>
      </c>
      <c r="AL102" s="34">
        <f>IF(Composites!N102="","",Composites!N102/MAX(Composites!N$6:N102)-1)</f>
        <v/>
      </c>
      <c r="AM102" s="34">
        <f>IF(Composites!O102="","",Composites!O102/MAX(Composites!O$6:O102)-1)</f>
        <v/>
      </c>
      <c r="AN102" s="34">
        <f>IF(Composites!P102="","",Composites!P102/MAX(Composites!P$6:P102)-1)</f>
        <v/>
      </c>
    </row>
    <row r="103">
      <c r="B103" s="32">
        <f>'Historique ajusté'!B103</f>
        <v/>
      </c>
      <c r="C103" s="34">
        <f>IF(OR('Historique ajusté'!C103="",ROW()-Fenetre&lt;6),"",IF(INDEX('Historique ajusté'!C:C,ROW()-Fenetre)="","",'Historique ajusté'!C103/INDEX('Historique ajusté'!C:C,ROW()-Fenetre)-1))</f>
        <v/>
      </c>
      <c r="D103" s="34">
        <f>IF(OR('Historique ajusté'!D103="",ROW()-Fenetre&lt;6),"",IF(INDEX('Historique ajusté'!D:D,ROW()-Fenetre)="","",'Historique ajusté'!D103/INDEX('Historique ajusté'!D:D,ROW()-Fenetre)-1))</f>
        <v/>
      </c>
      <c r="E103" s="34">
        <f>IF(OR('Historique ajusté'!E103="",ROW()-Fenetre&lt;6),"",IF(INDEX('Historique ajusté'!E:E,ROW()-Fenetre)="","",'Historique ajusté'!E103/INDEX('Historique ajusté'!E:E,ROW()-Fenetre)-1))</f>
        <v/>
      </c>
      <c r="F103" s="34">
        <f>IF(OR('Historique ajusté'!F103="",ROW()-Fenetre&lt;6),"",IF(INDEX('Historique ajusté'!F:F,ROW()-Fenetre)="","",'Historique ajusté'!F103/INDEX('Historique ajusté'!F:F,ROW()-Fenetre)-1))</f>
        <v/>
      </c>
      <c r="G103" s="34">
        <f>IF(OR('Historique ajusté'!G103="",ROW()-Fenetre&lt;6),"",IF(INDEX('Historique ajusté'!G:G,ROW()-Fenetre)="","",'Historique ajusté'!G103/INDEX('Historique ajusté'!G:G,ROW()-Fenetre)-1))</f>
        <v/>
      </c>
      <c r="H103" s="34">
        <f>IF(OR('Historique ajusté'!H103="",ROW()-Fenetre&lt;6),"",IF(INDEX('Historique ajusté'!H:H,ROW()-Fenetre)="","",'Historique ajusté'!H103/INDEX('Historique ajusté'!H:H,ROW()-Fenetre)-1))</f>
        <v/>
      </c>
      <c r="I103" s="34">
        <f>IF(OR('Historique ajusté'!I103="",ROW()-Fenetre&lt;6),"",IF(INDEX('Historique ajusté'!I:I,ROW()-Fenetre)="","",'Historique ajusté'!I103/INDEX('Historique ajusté'!I:I,ROW()-Fenetre)-1))</f>
        <v/>
      </c>
      <c r="J103" s="34">
        <f>IF(OR('Historique ajusté'!J103="",ROW()-Fenetre&lt;6),"",IF(INDEX('Historique ajusté'!J:J,ROW()-Fenetre)="","",'Historique ajusté'!J103/INDEX('Historique ajusté'!J:J,ROW()-Fenetre)-1))</f>
        <v/>
      </c>
      <c r="K103" s="34">
        <f>IF(OR('Historique ajusté'!K103="",ROW()-Fenetre&lt;6),"",IF(INDEX('Historique ajusté'!K:K,ROW()-Fenetre)="","",'Historique ajusté'!K103/INDEX('Historique ajusté'!K:K,ROW()-Fenetre)-1))</f>
        <v/>
      </c>
      <c r="L103" s="34">
        <f>IF(OR('Historique ajusté'!L103="",ROW()-Fenetre&lt;6),"",IF(INDEX('Historique ajusté'!L:L,ROW()-Fenetre)="","",'Historique ajusté'!L103/INDEX('Historique ajusté'!L:L,ROW()-Fenetre)-1))</f>
        <v/>
      </c>
      <c r="M103" s="34">
        <f>IF(OR('Historique ajusté'!M103="",ROW()-Fenetre&lt;6),"",IF(INDEX('Historique ajusté'!M:M,ROW()-Fenetre)="","",'Historique ajusté'!M103/INDEX('Historique ajusté'!M:M,ROW()-Fenetre)-1))</f>
        <v/>
      </c>
      <c r="N103" s="34">
        <f>IF(OR('Historique ajusté'!N103="",ROW()-Fenetre&lt;6),"",IF(INDEX('Historique ajusté'!N:N,ROW()-Fenetre)="","",'Historique ajusté'!N103/INDEX('Historique ajusté'!N:N,ROW()-Fenetre)-1))</f>
        <v/>
      </c>
      <c r="O103" s="34">
        <f>IF(OR('Historique ajusté'!O103="",ROW()-Fenetre&lt;6),"",IF(INDEX('Historique ajusté'!O:O,ROW()-Fenetre)="","",'Historique ajusté'!O103/INDEX('Historique ajusté'!O:O,ROW()-Fenetre)-1))</f>
        <v/>
      </c>
      <c r="P103" s="34">
        <f>IF(OR('Historique ajusté'!P103="",ROW()-Fenetre&lt;6),"",IF(INDEX('Historique ajusté'!P:P,ROW()-Fenetre)="","",'Historique ajusté'!P103/INDEX('Historique ajusté'!P:P,ROW()-Fenetre)-1))</f>
        <v/>
      </c>
      <c r="Q103" s="34">
        <f>IF(OR(Composites!L103="",ROW()-Fenetre&lt;6),"",IF(INDEX(Composites!L:L,ROW()-Fenetre)="","",Composites!L103/INDEX(Composites!L:L,ROW()-Fenetre)-1))</f>
        <v/>
      </c>
      <c r="R103" s="34">
        <f>IF(OR(Composites!M103="",ROW()-Fenetre&lt;6),"",IF(INDEX(Composites!M:M,ROW()-Fenetre)="","",Composites!M103/INDEX(Composites!M:M,ROW()-Fenetre)-1))</f>
        <v/>
      </c>
      <c r="S103" s="34">
        <f>IF(OR(Composites!N103="",ROW()-Fenetre&lt;6),"",IF(INDEX(Composites!N:N,ROW()-Fenetre)="","",Composites!N103/INDEX(Composites!N:N,ROW()-Fenetre)-1))</f>
        <v/>
      </c>
      <c r="T103" s="34">
        <f>IF(OR(Composites!O103="",ROW()-Fenetre&lt;6),"",IF(INDEX(Composites!O:O,ROW()-Fenetre)="","",Composites!O103/INDEX(Composites!O:O,ROW()-Fenetre)-1))</f>
        <v/>
      </c>
      <c r="U103" s="34">
        <f>IF(OR(Composites!P103="",ROW()-Fenetre&lt;6),"",IF(INDEX(Composites!P:P,ROW()-Fenetre)="","",Composites!P103/INDEX(Composites!P:P,ROW()-Fenetre)-1))</f>
        <v/>
      </c>
      <c r="V103" s="34">
        <f>IF('Historique ajusté'!C103="","",'Historique ajusté'!C103/MAX('Historique ajusté'!C$6:C103)-1)</f>
        <v/>
      </c>
      <c r="W103" s="34">
        <f>IF('Historique ajusté'!D103="","",'Historique ajusté'!D103/MAX('Historique ajusté'!D$6:D103)-1)</f>
        <v/>
      </c>
      <c r="X103" s="34">
        <f>IF('Historique ajusté'!E103="","",'Historique ajusté'!E103/MAX('Historique ajusté'!E$6:E103)-1)</f>
        <v/>
      </c>
      <c r="Y103" s="34">
        <f>IF('Historique ajusté'!F103="","",'Historique ajusté'!F103/MAX('Historique ajusté'!F$6:F103)-1)</f>
        <v/>
      </c>
      <c r="Z103" s="34">
        <f>IF('Historique ajusté'!G103="","",'Historique ajusté'!G103/MAX('Historique ajusté'!G$6:G103)-1)</f>
        <v/>
      </c>
      <c r="AA103" s="34">
        <f>IF('Historique ajusté'!H103="","",'Historique ajusté'!H103/MAX('Historique ajusté'!H$6:H103)-1)</f>
        <v/>
      </c>
      <c r="AB103" s="34">
        <f>IF('Historique ajusté'!I103="","",'Historique ajusté'!I103/MAX('Historique ajusté'!I$6:I103)-1)</f>
        <v/>
      </c>
      <c r="AC103" s="34">
        <f>IF('Historique ajusté'!J103="","",'Historique ajusté'!J103/MAX('Historique ajusté'!J$6:J103)-1)</f>
        <v/>
      </c>
      <c r="AD103" s="34">
        <f>IF('Historique ajusté'!K103="","",'Historique ajusté'!K103/MAX('Historique ajusté'!K$6:K103)-1)</f>
        <v/>
      </c>
      <c r="AE103" s="34">
        <f>IF('Historique ajusté'!L103="","",'Historique ajusté'!L103/MAX('Historique ajusté'!L$6:L103)-1)</f>
        <v/>
      </c>
      <c r="AF103" s="34">
        <f>IF('Historique ajusté'!M103="","",'Historique ajusté'!M103/MAX('Historique ajusté'!M$6:M103)-1)</f>
        <v/>
      </c>
      <c r="AG103" s="34">
        <f>IF('Historique ajusté'!N103="","",'Historique ajusté'!N103/MAX('Historique ajusté'!N$6:N103)-1)</f>
        <v/>
      </c>
      <c r="AH103" s="34">
        <f>IF('Historique ajusté'!O103="","",'Historique ajusté'!O103/MAX('Historique ajusté'!O$6:O103)-1)</f>
        <v/>
      </c>
      <c r="AI103" s="34">
        <f>IF('Historique ajusté'!P103="","",'Historique ajusté'!P103/MAX('Historique ajusté'!P$6:P103)-1)</f>
        <v/>
      </c>
      <c r="AJ103" s="34">
        <f>IF(Composites!L103="","",Composites!L103/MAX(Composites!L$6:L103)-1)</f>
        <v/>
      </c>
      <c r="AK103" s="34">
        <f>IF(Composites!M103="","",Composites!M103/MAX(Composites!M$6:M103)-1)</f>
        <v/>
      </c>
      <c r="AL103" s="34">
        <f>IF(Composites!N103="","",Composites!N103/MAX(Composites!N$6:N103)-1)</f>
        <v/>
      </c>
      <c r="AM103" s="34">
        <f>IF(Composites!O103="","",Composites!O103/MAX(Composites!O$6:O103)-1)</f>
        <v/>
      </c>
      <c r="AN103" s="34">
        <f>IF(Composites!P103="","",Composites!P103/MAX(Composites!P$6:P103)-1)</f>
        <v/>
      </c>
    </row>
    <row r="104">
      <c r="B104" s="32">
        <f>'Historique ajusté'!B104</f>
        <v/>
      </c>
      <c r="C104" s="34">
        <f>IF(OR('Historique ajusté'!C104="",ROW()-Fenetre&lt;6),"",IF(INDEX('Historique ajusté'!C:C,ROW()-Fenetre)="","",'Historique ajusté'!C104/INDEX('Historique ajusté'!C:C,ROW()-Fenetre)-1))</f>
        <v/>
      </c>
      <c r="D104" s="34">
        <f>IF(OR('Historique ajusté'!D104="",ROW()-Fenetre&lt;6),"",IF(INDEX('Historique ajusté'!D:D,ROW()-Fenetre)="","",'Historique ajusté'!D104/INDEX('Historique ajusté'!D:D,ROW()-Fenetre)-1))</f>
        <v/>
      </c>
      <c r="E104" s="34">
        <f>IF(OR('Historique ajusté'!E104="",ROW()-Fenetre&lt;6),"",IF(INDEX('Historique ajusté'!E:E,ROW()-Fenetre)="","",'Historique ajusté'!E104/INDEX('Historique ajusté'!E:E,ROW()-Fenetre)-1))</f>
        <v/>
      </c>
      <c r="F104" s="34">
        <f>IF(OR('Historique ajusté'!F104="",ROW()-Fenetre&lt;6),"",IF(INDEX('Historique ajusté'!F:F,ROW()-Fenetre)="","",'Historique ajusté'!F104/INDEX('Historique ajusté'!F:F,ROW()-Fenetre)-1))</f>
        <v/>
      </c>
      <c r="G104" s="34">
        <f>IF(OR('Historique ajusté'!G104="",ROW()-Fenetre&lt;6),"",IF(INDEX('Historique ajusté'!G:G,ROW()-Fenetre)="","",'Historique ajusté'!G104/INDEX('Historique ajusté'!G:G,ROW()-Fenetre)-1))</f>
        <v/>
      </c>
      <c r="H104" s="34">
        <f>IF(OR('Historique ajusté'!H104="",ROW()-Fenetre&lt;6),"",IF(INDEX('Historique ajusté'!H:H,ROW()-Fenetre)="","",'Historique ajusté'!H104/INDEX('Historique ajusté'!H:H,ROW()-Fenetre)-1))</f>
        <v/>
      </c>
      <c r="I104" s="34">
        <f>IF(OR('Historique ajusté'!I104="",ROW()-Fenetre&lt;6),"",IF(INDEX('Historique ajusté'!I:I,ROW()-Fenetre)="","",'Historique ajusté'!I104/INDEX('Historique ajusté'!I:I,ROW()-Fenetre)-1))</f>
        <v/>
      </c>
      <c r="J104" s="34">
        <f>IF(OR('Historique ajusté'!J104="",ROW()-Fenetre&lt;6),"",IF(INDEX('Historique ajusté'!J:J,ROW()-Fenetre)="","",'Historique ajusté'!J104/INDEX('Historique ajusté'!J:J,ROW()-Fenetre)-1))</f>
        <v/>
      </c>
      <c r="K104" s="34">
        <f>IF(OR('Historique ajusté'!K104="",ROW()-Fenetre&lt;6),"",IF(INDEX('Historique ajusté'!K:K,ROW()-Fenetre)="","",'Historique ajusté'!K104/INDEX('Historique ajusté'!K:K,ROW()-Fenetre)-1))</f>
        <v/>
      </c>
      <c r="L104" s="34">
        <f>IF(OR('Historique ajusté'!L104="",ROW()-Fenetre&lt;6),"",IF(INDEX('Historique ajusté'!L:L,ROW()-Fenetre)="","",'Historique ajusté'!L104/INDEX('Historique ajusté'!L:L,ROW()-Fenetre)-1))</f>
        <v/>
      </c>
      <c r="M104" s="34">
        <f>IF(OR('Historique ajusté'!M104="",ROW()-Fenetre&lt;6),"",IF(INDEX('Historique ajusté'!M:M,ROW()-Fenetre)="","",'Historique ajusté'!M104/INDEX('Historique ajusté'!M:M,ROW()-Fenetre)-1))</f>
        <v/>
      </c>
      <c r="N104" s="34">
        <f>IF(OR('Historique ajusté'!N104="",ROW()-Fenetre&lt;6),"",IF(INDEX('Historique ajusté'!N:N,ROW()-Fenetre)="","",'Historique ajusté'!N104/INDEX('Historique ajusté'!N:N,ROW()-Fenetre)-1))</f>
        <v/>
      </c>
      <c r="O104" s="34">
        <f>IF(OR('Historique ajusté'!O104="",ROW()-Fenetre&lt;6),"",IF(INDEX('Historique ajusté'!O:O,ROW()-Fenetre)="","",'Historique ajusté'!O104/INDEX('Historique ajusté'!O:O,ROW()-Fenetre)-1))</f>
        <v/>
      </c>
      <c r="P104" s="34">
        <f>IF(OR('Historique ajusté'!P104="",ROW()-Fenetre&lt;6),"",IF(INDEX('Historique ajusté'!P:P,ROW()-Fenetre)="","",'Historique ajusté'!P104/INDEX('Historique ajusté'!P:P,ROW()-Fenetre)-1))</f>
        <v/>
      </c>
      <c r="Q104" s="34">
        <f>IF(OR(Composites!L104="",ROW()-Fenetre&lt;6),"",IF(INDEX(Composites!L:L,ROW()-Fenetre)="","",Composites!L104/INDEX(Composites!L:L,ROW()-Fenetre)-1))</f>
        <v/>
      </c>
      <c r="R104" s="34">
        <f>IF(OR(Composites!M104="",ROW()-Fenetre&lt;6),"",IF(INDEX(Composites!M:M,ROW()-Fenetre)="","",Composites!M104/INDEX(Composites!M:M,ROW()-Fenetre)-1))</f>
        <v/>
      </c>
      <c r="S104" s="34">
        <f>IF(OR(Composites!N104="",ROW()-Fenetre&lt;6),"",IF(INDEX(Composites!N:N,ROW()-Fenetre)="","",Composites!N104/INDEX(Composites!N:N,ROW()-Fenetre)-1))</f>
        <v/>
      </c>
      <c r="T104" s="34">
        <f>IF(OR(Composites!O104="",ROW()-Fenetre&lt;6),"",IF(INDEX(Composites!O:O,ROW()-Fenetre)="","",Composites!O104/INDEX(Composites!O:O,ROW()-Fenetre)-1))</f>
        <v/>
      </c>
      <c r="U104" s="34">
        <f>IF(OR(Composites!P104="",ROW()-Fenetre&lt;6),"",IF(INDEX(Composites!P:P,ROW()-Fenetre)="","",Composites!P104/INDEX(Composites!P:P,ROW()-Fenetre)-1))</f>
        <v/>
      </c>
      <c r="V104" s="34">
        <f>IF('Historique ajusté'!C104="","",'Historique ajusté'!C104/MAX('Historique ajusté'!C$6:C104)-1)</f>
        <v/>
      </c>
      <c r="W104" s="34">
        <f>IF('Historique ajusté'!D104="","",'Historique ajusté'!D104/MAX('Historique ajusté'!D$6:D104)-1)</f>
        <v/>
      </c>
      <c r="X104" s="34">
        <f>IF('Historique ajusté'!E104="","",'Historique ajusté'!E104/MAX('Historique ajusté'!E$6:E104)-1)</f>
        <v/>
      </c>
      <c r="Y104" s="34">
        <f>IF('Historique ajusté'!F104="","",'Historique ajusté'!F104/MAX('Historique ajusté'!F$6:F104)-1)</f>
        <v/>
      </c>
      <c r="Z104" s="34">
        <f>IF('Historique ajusté'!G104="","",'Historique ajusté'!G104/MAX('Historique ajusté'!G$6:G104)-1)</f>
        <v/>
      </c>
      <c r="AA104" s="34">
        <f>IF('Historique ajusté'!H104="","",'Historique ajusté'!H104/MAX('Historique ajusté'!H$6:H104)-1)</f>
        <v/>
      </c>
      <c r="AB104" s="34">
        <f>IF('Historique ajusté'!I104="","",'Historique ajusté'!I104/MAX('Historique ajusté'!I$6:I104)-1)</f>
        <v/>
      </c>
      <c r="AC104" s="34">
        <f>IF('Historique ajusté'!J104="","",'Historique ajusté'!J104/MAX('Historique ajusté'!J$6:J104)-1)</f>
        <v/>
      </c>
      <c r="AD104" s="34">
        <f>IF('Historique ajusté'!K104="","",'Historique ajusté'!K104/MAX('Historique ajusté'!K$6:K104)-1)</f>
        <v/>
      </c>
      <c r="AE104" s="34">
        <f>IF('Historique ajusté'!L104="","",'Historique ajusté'!L104/MAX('Historique ajusté'!L$6:L104)-1)</f>
        <v/>
      </c>
      <c r="AF104" s="34">
        <f>IF('Historique ajusté'!M104="","",'Historique ajusté'!M104/MAX('Historique ajusté'!M$6:M104)-1)</f>
        <v/>
      </c>
      <c r="AG104" s="34">
        <f>IF('Historique ajusté'!N104="","",'Historique ajusté'!N104/MAX('Historique ajusté'!N$6:N104)-1)</f>
        <v/>
      </c>
      <c r="AH104" s="34">
        <f>IF('Historique ajusté'!O104="","",'Historique ajusté'!O104/MAX('Historique ajusté'!O$6:O104)-1)</f>
        <v/>
      </c>
      <c r="AI104" s="34">
        <f>IF('Historique ajusté'!P104="","",'Historique ajusté'!P104/MAX('Historique ajusté'!P$6:P104)-1)</f>
        <v/>
      </c>
      <c r="AJ104" s="34">
        <f>IF(Composites!L104="","",Composites!L104/MAX(Composites!L$6:L104)-1)</f>
        <v/>
      </c>
      <c r="AK104" s="34">
        <f>IF(Composites!M104="","",Composites!M104/MAX(Composites!M$6:M104)-1)</f>
        <v/>
      </c>
      <c r="AL104" s="34">
        <f>IF(Composites!N104="","",Composites!N104/MAX(Composites!N$6:N104)-1)</f>
        <v/>
      </c>
      <c r="AM104" s="34">
        <f>IF(Composites!O104="","",Composites!O104/MAX(Composites!O$6:O104)-1)</f>
        <v/>
      </c>
      <c r="AN104" s="34">
        <f>IF(Composites!P104="","",Composites!P104/MAX(Composites!P$6:P104)-1)</f>
        <v/>
      </c>
    </row>
    <row r="105">
      <c r="B105" s="32">
        <f>'Historique ajusté'!B105</f>
        <v/>
      </c>
      <c r="C105" s="34">
        <f>IF(OR('Historique ajusté'!C105="",ROW()-Fenetre&lt;6),"",IF(INDEX('Historique ajusté'!C:C,ROW()-Fenetre)="","",'Historique ajusté'!C105/INDEX('Historique ajusté'!C:C,ROW()-Fenetre)-1))</f>
        <v/>
      </c>
      <c r="D105" s="34">
        <f>IF(OR('Historique ajusté'!D105="",ROW()-Fenetre&lt;6),"",IF(INDEX('Historique ajusté'!D:D,ROW()-Fenetre)="","",'Historique ajusté'!D105/INDEX('Historique ajusté'!D:D,ROW()-Fenetre)-1))</f>
        <v/>
      </c>
      <c r="E105" s="34">
        <f>IF(OR('Historique ajusté'!E105="",ROW()-Fenetre&lt;6),"",IF(INDEX('Historique ajusté'!E:E,ROW()-Fenetre)="","",'Historique ajusté'!E105/INDEX('Historique ajusté'!E:E,ROW()-Fenetre)-1))</f>
        <v/>
      </c>
      <c r="F105" s="34">
        <f>IF(OR('Historique ajusté'!F105="",ROW()-Fenetre&lt;6),"",IF(INDEX('Historique ajusté'!F:F,ROW()-Fenetre)="","",'Historique ajusté'!F105/INDEX('Historique ajusté'!F:F,ROW()-Fenetre)-1))</f>
        <v/>
      </c>
      <c r="G105" s="34">
        <f>IF(OR('Historique ajusté'!G105="",ROW()-Fenetre&lt;6),"",IF(INDEX('Historique ajusté'!G:G,ROW()-Fenetre)="","",'Historique ajusté'!G105/INDEX('Historique ajusté'!G:G,ROW()-Fenetre)-1))</f>
        <v/>
      </c>
      <c r="H105" s="34">
        <f>IF(OR('Historique ajusté'!H105="",ROW()-Fenetre&lt;6),"",IF(INDEX('Historique ajusté'!H:H,ROW()-Fenetre)="","",'Historique ajusté'!H105/INDEX('Historique ajusté'!H:H,ROW()-Fenetre)-1))</f>
        <v/>
      </c>
      <c r="I105" s="34">
        <f>IF(OR('Historique ajusté'!I105="",ROW()-Fenetre&lt;6),"",IF(INDEX('Historique ajusté'!I:I,ROW()-Fenetre)="","",'Historique ajusté'!I105/INDEX('Historique ajusté'!I:I,ROW()-Fenetre)-1))</f>
        <v/>
      </c>
      <c r="J105" s="34">
        <f>IF(OR('Historique ajusté'!J105="",ROW()-Fenetre&lt;6),"",IF(INDEX('Historique ajusté'!J:J,ROW()-Fenetre)="","",'Historique ajusté'!J105/INDEX('Historique ajusté'!J:J,ROW()-Fenetre)-1))</f>
        <v/>
      </c>
      <c r="K105" s="34">
        <f>IF(OR('Historique ajusté'!K105="",ROW()-Fenetre&lt;6),"",IF(INDEX('Historique ajusté'!K:K,ROW()-Fenetre)="","",'Historique ajusté'!K105/INDEX('Historique ajusté'!K:K,ROW()-Fenetre)-1))</f>
        <v/>
      </c>
      <c r="L105" s="34">
        <f>IF(OR('Historique ajusté'!L105="",ROW()-Fenetre&lt;6),"",IF(INDEX('Historique ajusté'!L:L,ROW()-Fenetre)="","",'Historique ajusté'!L105/INDEX('Historique ajusté'!L:L,ROW()-Fenetre)-1))</f>
        <v/>
      </c>
      <c r="M105" s="34">
        <f>IF(OR('Historique ajusté'!M105="",ROW()-Fenetre&lt;6),"",IF(INDEX('Historique ajusté'!M:M,ROW()-Fenetre)="","",'Historique ajusté'!M105/INDEX('Historique ajusté'!M:M,ROW()-Fenetre)-1))</f>
        <v/>
      </c>
      <c r="N105" s="34">
        <f>IF(OR('Historique ajusté'!N105="",ROW()-Fenetre&lt;6),"",IF(INDEX('Historique ajusté'!N:N,ROW()-Fenetre)="","",'Historique ajusté'!N105/INDEX('Historique ajusté'!N:N,ROW()-Fenetre)-1))</f>
        <v/>
      </c>
      <c r="O105" s="34">
        <f>IF(OR('Historique ajusté'!O105="",ROW()-Fenetre&lt;6),"",IF(INDEX('Historique ajusté'!O:O,ROW()-Fenetre)="","",'Historique ajusté'!O105/INDEX('Historique ajusté'!O:O,ROW()-Fenetre)-1))</f>
        <v/>
      </c>
      <c r="P105" s="34">
        <f>IF(OR('Historique ajusté'!P105="",ROW()-Fenetre&lt;6),"",IF(INDEX('Historique ajusté'!P:P,ROW()-Fenetre)="","",'Historique ajusté'!P105/INDEX('Historique ajusté'!P:P,ROW()-Fenetre)-1))</f>
        <v/>
      </c>
      <c r="Q105" s="34">
        <f>IF(OR(Composites!L105="",ROW()-Fenetre&lt;6),"",IF(INDEX(Composites!L:L,ROW()-Fenetre)="","",Composites!L105/INDEX(Composites!L:L,ROW()-Fenetre)-1))</f>
        <v/>
      </c>
      <c r="R105" s="34">
        <f>IF(OR(Composites!M105="",ROW()-Fenetre&lt;6),"",IF(INDEX(Composites!M:M,ROW()-Fenetre)="","",Composites!M105/INDEX(Composites!M:M,ROW()-Fenetre)-1))</f>
        <v/>
      </c>
      <c r="S105" s="34">
        <f>IF(OR(Composites!N105="",ROW()-Fenetre&lt;6),"",IF(INDEX(Composites!N:N,ROW()-Fenetre)="","",Composites!N105/INDEX(Composites!N:N,ROW()-Fenetre)-1))</f>
        <v/>
      </c>
      <c r="T105" s="34">
        <f>IF(OR(Composites!O105="",ROW()-Fenetre&lt;6),"",IF(INDEX(Composites!O:O,ROW()-Fenetre)="","",Composites!O105/INDEX(Composites!O:O,ROW()-Fenetre)-1))</f>
        <v/>
      </c>
      <c r="U105" s="34">
        <f>IF(OR(Composites!P105="",ROW()-Fenetre&lt;6),"",IF(INDEX(Composites!P:P,ROW()-Fenetre)="","",Composites!P105/INDEX(Composites!P:P,ROW()-Fenetre)-1))</f>
        <v/>
      </c>
      <c r="V105" s="34">
        <f>IF('Historique ajusté'!C105="","",'Historique ajusté'!C105/MAX('Historique ajusté'!C$6:C105)-1)</f>
        <v/>
      </c>
      <c r="W105" s="34">
        <f>IF('Historique ajusté'!D105="","",'Historique ajusté'!D105/MAX('Historique ajusté'!D$6:D105)-1)</f>
        <v/>
      </c>
      <c r="X105" s="34">
        <f>IF('Historique ajusté'!E105="","",'Historique ajusté'!E105/MAX('Historique ajusté'!E$6:E105)-1)</f>
        <v/>
      </c>
      <c r="Y105" s="34">
        <f>IF('Historique ajusté'!F105="","",'Historique ajusté'!F105/MAX('Historique ajusté'!F$6:F105)-1)</f>
        <v/>
      </c>
      <c r="Z105" s="34">
        <f>IF('Historique ajusté'!G105="","",'Historique ajusté'!G105/MAX('Historique ajusté'!G$6:G105)-1)</f>
        <v/>
      </c>
      <c r="AA105" s="34">
        <f>IF('Historique ajusté'!H105="","",'Historique ajusté'!H105/MAX('Historique ajusté'!H$6:H105)-1)</f>
        <v/>
      </c>
      <c r="AB105" s="34">
        <f>IF('Historique ajusté'!I105="","",'Historique ajusté'!I105/MAX('Historique ajusté'!I$6:I105)-1)</f>
        <v/>
      </c>
      <c r="AC105" s="34">
        <f>IF('Historique ajusté'!J105="","",'Historique ajusté'!J105/MAX('Historique ajusté'!J$6:J105)-1)</f>
        <v/>
      </c>
      <c r="AD105" s="34">
        <f>IF('Historique ajusté'!K105="","",'Historique ajusté'!K105/MAX('Historique ajusté'!K$6:K105)-1)</f>
        <v/>
      </c>
      <c r="AE105" s="34">
        <f>IF('Historique ajusté'!L105="","",'Historique ajusté'!L105/MAX('Historique ajusté'!L$6:L105)-1)</f>
        <v/>
      </c>
      <c r="AF105" s="34">
        <f>IF('Historique ajusté'!M105="","",'Historique ajusté'!M105/MAX('Historique ajusté'!M$6:M105)-1)</f>
        <v/>
      </c>
      <c r="AG105" s="34">
        <f>IF('Historique ajusté'!N105="","",'Historique ajusté'!N105/MAX('Historique ajusté'!N$6:N105)-1)</f>
        <v/>
      </c>
      <c r="AH105" s="34">
        <f>IF('Historique ajusté'!O105="","",'Historique ajusté'!O105/MAX('Historique ajusté'!O$6:O105)-1)</f>
        <v/>
      </c>
      <c r="AI105" s="34">
        <f>IF('Historique ajusté'!P105="","",'Historique ajusté'!P105/MAX('Historique ajusté'!P$6:P105)-1)</f>
        <v/>
      </c>
      <c r="AJ105" s="34">
        <f>IF(Composites!L105="","",Composites!L105/MAX(Composites!L$6:L105)-1)</f>
        <v/>
      </c>
      <c r="AK105" s="34">
        <f>IF(Composites!M105="","",Composites!M105/MAX(Composites!M$6:M105)-1)</f>
        <v/>
      </c>
      <c r="AL105" s="34">
        <f>IF(Composites!N105="","",Composites!N105/MAX(Composites!N$6:N105)-1)</f>
        <v/>
      </c>
      <c r="AM105" s="34">
        <f>IF(Composites!O105="","",Composites!O105/MAX(Composites!O$6:O105)-1)</f>
        <v/>
      </c>
      <c r="AN105" s="34">
        <f>IF(Composites!P105="","",Composites!P105/MAX(Composites!P$6:P105)-1)</f>
        <v/>
      </c>
    </row>
    <row r="106">
      <c r="B106" s="32">
        <f>'Historique ajusté'!B106</f>
        <v/>
      </c>
      <c r="C106" s="34">
        <f>IF(OR('Historique ajusté'!C106="",ROW()-Fenetre&lt;6),"",IF(INDEX('Historique ajusté'!C:C,ROW()-Fenetre)="","",'Historique ajusté'!C106/INDEX('Historique ajusté'!C:C,ROW()-Fenetre)-1))</f>
        <v/>
      </c>
      <c r="D106" s="34">
        <f>IF(OR('Historique ajusté'!D106="",ROW()-Fenetre&lt;6),"",IF(INDEX('Historique ajusté'!D:D,ROW()-Fenetre)="","",'Historique ajusté'!D106/INDEX('Historique ajusté'!D:D,ROW()-Fenetre)-1))</f>
        <v/>
      </c>
      <c r="E106" s="34">
        <f>IF(OR('Historique ajusté'!E106="",ROW()-Fenetre&lt;6),"",IF(INDEX('Historique ajusté'!E:E,ROW()-Fenetre)="","",'Historique ajusté'!E106/INDEX('Historique ajusté'!E:E,ROW()-Fenetre)-1))</f>
        <v/>
      </c>
      <c r="F106" s="34">
        <f>IF(OR('Historique ajusté'!F106="",ROW()-Fenetre&lt;6),"",IF(INDEX('Historique ajusté'!F:F,ROW()-Fenetre)="","",'Historique ajusté'!F106/INDEX('Historique ajusté'!F:F,ROW()-Fenetre)-1))</f>
        <v/>
      </c>
      <c r="G106" s="34">
        <f>IF(OR('Historique ajusté'!G106="",ROW()-Fenetre&lt;6),"",IF(INDEX('Historique ajusté'!G:G,ROW()-Fenetre)="","",'Historique ajusté'!G106/INDEX('Historique ajusté'!G:G,ROW()-Fenetre)-1))</f>
        <v/>
      </c>
      <c r="H106" s="34">
        <f>IF(OR('Historique ajusté'!H106="",ROW()-Fenetre&lt;6),"",IF(INDEX('Historique ajusté'!H:H,ROW()-Fenetre)="","",'Historique ajusté'!H106/INDEX('Historique ajusté'!H:H,ROW()-Fenetre)-1))</f>
        <v/>
      </c>
      <c r="I106" s="34">
        <f>IF(OR('Historique ajusté'!I106="",ROW()-Fenetre&lt;6),"",IF(INDEX('Historique ajusté'!I:I,ROW()-Fenetre)="","",'Historique ajusté'!I106/INDEX('Historique ajusté'!I:I,ROW()-Fenetre)-1))</f>
        <v/>
      </c>
      <c r="J106" s="34">
        <f>IF(OR('Historique ajusté'!J106="",ROW()-Fenetre&lt;6),"",IF(INDEX('Historique ajusté'!J:J,ROW()-Fenetre)="","",'Historique ajusté'!J106/INDEX('Historique ajusté'!J:J,ROW()-Fenetre)-1))</f>
        <v/>
      </c>
      <c r="K106" s="34">
        <f>IF(OR('Historique ajusté'!K106="",ROW()-Fenetre&lt;6),"",IF(INDEX('Historique ajusté'!K:K,ROW()-Fenetre)="","",'Historique ajusté'!K106/INDEX('Historique ajusté'!K:K,ROW()-Fenetre)-1))</f>
        <v/>
      </c>
      <c r="L106" s="34">
        <f>IF(OR('Historique ajusté'!L106="",ROW()-Fenetre&lt;6),"",IF(INDEX('Historique ajusté'!L:L,ROW()-Fenetre)="","",'Historique ajusté'!L106/INDEX('Historique ajusté'!L:L,ROW()-Fenetre)-1))</f>
        <v/>
      </c>
      <c r="M106" s="34">
        <f>IF(OR('Historique ajusté'!M106="",ROW()-Fenetre&lt;6),"",IF(INDEX('Historique ajusté'!M:M,ROW()-Fenetre)="","",'Historique ajusté'!M106/INDEX('Historique ajusté'!M:M,ROW()-Fenetre)-1))</f>
        <v/>
      </c>
      <c r="N106" s="34">
        <f>IF(OR('Historique ajusté'!N106="",ROW()-Fenetre&lt;6),"",IF(INDEX('Historique ajusté'!N:N,ROW()-Fenetre)="","",'Historique ajusté'!N106/INDEX('Historique ajusté'!N:N,ROW()-Fenetre)-1))</f>
        <v/>
      </c>
      <c r="O106" s="34">
        <f>IF(OR('Historique ajusté'!O106="",ROW()-Fenetre&lt;6),"",IF(INDEX('Historique ajusté'!O:O,ROW()-Fenetre)="","",'Historique ajusté'!O106/INDEX('Historique ajusté'!O:O,ROW()-Fenetre)-1))</f>
        <v/>
      </c>
      <c r="P106" s="34">
        <f>IF(OR('Historique ajusté'!P106="",ROW()-Fenetre&lt;6),"",IF(INDEX('Historique ajusté'!P:P,ROW()-Fenetre)="","",'Historique ajusté'!P106/INDEX('Historique ajusté'!P:P,ROW()-Fenetre)-1))</f>
        <v/>
      </c>
      <c r="Q106" s="34">
        <f>IF(OR(Composites!L106="",ROW()-Fenetre&lt;6),"",IF(INDEX(Composites!L:L,ROW()-Fenetre)="","",Composites!L106/INDEX(Composites!L:L,ROW()-Fenetre)-1))</f>
        <v/>
      </c>
      <c r="R106" s="34">
        <f>IF(OR(Composites!M106="",ROW()-Fenetre&lt;6),"",IF(INDEX(Composites!M:M,ROW()-Fenetre)="","",Composites!M106/INDEX(Composites!M:M,ROW()-Fenetre)-1))</f>
        <v/>
      </c>
      <c r="S106" s="34">
        <f>IF(OR(Composites!N106="",ROW()-Fenetre&lt;6),"",IF(INDEX(Composites!N:N,ROW()-Fenetre)="","",Composites!N106/INDEX(Composites!N:N,ROW()-Fenetre)-1))</f>
        <v/>
      </c>
      <c r="T106" s="34">
        <f>IF(OR(Composites!O106="",ROW()-Fenetre&lt;6),"",IF(INDEX(Composites!O:O,ROW()-Fenetre)="","",Composites!O106/INDEX(Composites!O:O,ROW()-Fenetre)-1))</f>
        <v/>
      </c>
      <c r="U106" s="34">
        <f>IF(OR(Composites!P106="",ROW()-Fenetre&lt;6),"",IF(INDEX(Composites!P:P,ROW()-Fenetre)="","",Composites!P106/INDEX(Composites!P:P,ROW()-Fenetre)-1))</f>
        <v/>
      </c>
      <c r="V106" s="34">
        <f>IF('Historique ajusté'!C106="","",'Historique ajusté'!C106/MAX('Historique ajusté'!C$6:C106)-1)</f>
        <v/>
      </c>
      <c r="W106" s="34">
        <f>IF('Historique ajusté'!D106="","",'Historique ajusté'!D106/MAX('Historique ajusté'!D$6:D106)-1)</f>
        <v/>
      </c>
      <c r="X106" s="34">
        <f>IF('Historique ajusté'!E106="","",'Historique ajusté'!E106/MAX('Historique ajusté'!E$6:E106)-1)</f>
        <v/>
      </c>
      <c r="Y106" s="34">
        <f>IF('Historique ajusté'!F106="","",'Historique ajusté'!F106/MAX('Historique ajusté'!F$6:F106)-1)</f>
        <v/>
      </c>
      <c r="Z106" s="34">
        <f>IF('Historique ajusté'!G106="","",'Historique ajusté'!G106/MAX('Historique ajusté'!G$6:G106)-1)</f>
        <v/>
      </c>
      <c r="AA106" s="34">
        <f>IF('Historique ajusté'!H106="","",'Historique ajusté'!H106/MAX('Historique ajusté'!H$6:H106)-1)</f>
        <v/>
      </c>
      <c r="AB106" s="34">
        <f>IF('Historique ajusté'!I106="","",'Historique ajusté'!I106/MAX('Historique ajusté'!I$6:I106)-1)</f>
        <v/>
      </c>
      <c r="AC106" s="34">
        <f>IF('Historique ajusté'!J106="","",'Historique ajusté'!J106/MAX('Historique ajusté'!J$6:J106)-1)</f>
        <v/>
      </c>
      <c r="AD106" s="34">
        <f>IF('Historique ajusté'!K106="","",'Historique ajusté'!K106/MAX('Historique ajusté'!K$6:K106)-1)</f>
        <v/>
      </c>
      <c r="AE106" s="34">
        <f>IF('Historique ajusté'!L106="","",'Historique ajusté'!L106/MAX('Historique ajusté'!L$6:L106)-1)</f>
        <v/>
      </c>
      <c r="AF106" s="34">
        <f>IF('Historique ajusté'!M106="","",'Historique ajusté'!M106/MAX('Historique ajusté'!M$6:M106)-1)</f>
        <v/>
      </c>
      <c r="AG106" s="34">
        <f>IF('Historique ajusté'!N106="","",'Historique ajusté'!N106/MAX('Historique ajusté'!N$6:N106)-1)</f>
        <v/>
      </c>
      <c r="AH106" s="34">
        <f>IF('Historique ajusté'!O106="","",'Historique ajusté'!O106/MAX('Historique ajusté'!O$6:O106)-1)</f>
        <v/>
      </c>
      <c r="AI106" s="34">
        <f>IF('Historique ajusté'!P106="","",'Historique ajusté'!P106/MAX('Historique ajusté'!P$6:P106)-1)</f>
        <v/>
      </c>
      <c r="AJ106" s="34">
        <f>IF(Composites!L106="","",Composites!L106/MAX(Composites!L$6:L106)-1)</f>
        <v/>
      </c>
      <c r="AK106" s="34">
        <f>IF(Composites!M106="","",Composites!M106/MAX(Composites!M$6:M106)-1)</f>
        <v/>
      </c>
      <c r="AL106" s="34">
        <f>IF(Composites!N106="","",Composites!N106/MAX(Composites!N$6:N106)-1)</f>
        <v/>
      </c>
      <c r="AM106" s="34">
        <f>IF(Composites!O106="","",Composites!O106/MAX(Composites!O$6:O106)-1)</f>
        <v/>
      </c>
      <c r="AN106" s="34">
        <f>IF(Composites!P106="","",Composites!P106/MAX(Composites!P$6:P106)-1)</f>
        <v/>
      </c>
    </row>
    <row r="107">
      <c r="B107" s="32">
        <f>'Historique ajusté'!B107</f>
        <v/>
      </c>
      <c r="C107" s="34">
        <f>IF(OR('Historique ajusté'!C107="",ROW()-Fenetre&lt;6),"",IF(INDEX('Historique ajusté'!C:C,ROW()-Fenetre)="","",'Historique ajusté'!C107/INDEX('Historique ajusté'!C:C,ROW()-Fenetre)-1))</f>
        <v/>
      </c>
      <c r="D107" s="34">
        <f>IF(OR('Historique ajusté'!D107="",ROW()-Fenetre&lt;6),"",IF(INDEX('Historique ajusté'!D:D,ROW()-Fenetre)="","",'Historique ajusté'!D107/INDEX('Historique ajusté'!D:D,ROW()-Fenetre)-1))</f>
        <v/>
      </c>
      <c r="E107" s="34">
        <f>IF(OR('Historique ajusté'!E107="",ROW()-Fenetre&lt;6),"",IF(INDEX('Historique ajusté'!E:E,ROW()-Fenetre)="","",'Historique ajusté'!E107/INDEX('Historique ajusté'!E:E,ROW()-Fenetre)-1))</f>
        <v/>
      </c>
      <c r="F107" s="34">
        <f>IF(OR('Historique ajusté'!F107="",ROW()-Fenetre&lt;6),"",IF(INDEX('Historique ajusté'!F:F,ROW()-Fenetre)="","",'Historique ajusté'!F107/INDEX('Historique ajusté'!F:F,ROW()-Fenetre)-1))</f>
        <v/>
      </c>
      <c r="G107" s="34">
        <f>IF(OR('Historique ajusté'!G107="",ROW()-Fenetre&lt;6),"",IF(INDEX('Historique ajusté'!G:G,ROW()-Fenetre)="","",'Historique ajusté'!G107/INDEX('Historique ajusté'!G:G,ROW()-Fenetre)-1))</f>
        <v/>
      </c>
      <c r="H107" s="34">
        <f>IF(OR('Historique ajusté'!H107="",ROW()-Fenetre&lt;6),"",IF(INDEX('Historique ajusté'!H:H,ROW()-Fenetre)="","",'Historique ajusté'!H107/INDEX('Historique ajusté'!H:H,ROW()-Fenetre)-1))</f>
        <v/>
      </c>
      <c r="I107" s="34">
        <f>IF(OR('Historique ajusté'!I107="",ROW()-Fenetre&lt;6),"",IF(INDEX('Historique ajusté'!I:I,ROW()-Fenetre)="","",'Historique ajusté'!I107/INDEX('Historique ajusté'!I:I,ROW()-Fenetre)-1))</f>
        <v/>
      </c>
      <c r="J107" s="34">
        <f>IF(OR('Historique ajusté'!J107="",ROW()-Fenetre&lt;6),"",IF(INDEX('Historique ajusté'!J:J,ROW()-Fenetre)="","",'Historique ajusté'!J107/INDEX('Historique ajusté'!J:J,ROW()-Fenetre)-1))</f>
        <v/>
      </c>
      <c r="K107" s="34">
        <f>IF(OR('Historique ajusté'!K107="",ROW()-Fenetre&lt;6),"",IF(INDEX('Historique ajusté'!K:K,ROW()-Fenetre)="","",'Historique ajusté'!K107/INDEX('Historique ajusté'!K:K,ROW()-Fenetre)-1))</f>
        <v/>
      </c>
      <c r="L107" s="34">
        <f>IF(OR('Historique ajusté'!L107="",ROW()-Fenetre&lt;6),"",IF(INDEX('Historique ajusté'!L:L,ROW()-Fenetre)="","",'Historique ajusté'!L107/INDEX('Historique ajusté'!L:L,ROW()-Fenetre)-1))</f>
        <v/>
      </c>
      <c r="M107" s="34">
        <f>IF(OR('Historique ajusté'!M107="",ROW()-Fenetre&lt;6),"",IF(INDEX('Historique ajusté'!M:M,ROW()-Fenetre)="","",'Historique ajusté'!M107/INDEX('Historique ajusté'!M:M,ROW()-Fenetre)-1))</f>
        <v/>
      </c>
      <c r="N107" s="34">
        <f>IF(OR('Historique ajusté'!N107="",ROW()-Fenetre&lt;6),"",IF(INDEX('Historique ajusté'!N:N,ROW()-Fenetre)="","",'Historique ajusté'!N107/INDEX('Historique ajusté'!N:N,ROW()-Fenetre)-1))</f>
        <v/>
      </c>
      <c r="O107" s="34">
        <f>IF(OR('Historique ajusté'!O107="",ROW()-Fenetre&lt;6),"",IF(INDEX('Historique ajusté'!O:O,ROW()-Fenetre)="","",'Historique ajusté'!O107/INDEX('Historique ajusté'!O:O,ROW()-Fenetre)-1))</f>
        <v/>
      </c>
      <c r="P107" s="34">
        <f>IF(OR('Historique ajusté'!P107="",ROW()-Fenetre&lt;6),"",IF(INDEX('Historique ajusté'!P:P,ROW()-Fenetre)="","",'Historique ajusté'!P107/INDEX('Historique ajusté'!P:P,ROW()-Fenetre)-1))</f>
        <v/>
      </c>
      <c r="Q107" s="34">
        <f>IF(OR(Composites!L107="",ROW()-Fenetre&lt;6),"",IF(INDEX(Composites!L:L,ROW()-Fenetre)="","",Composites!L107/INDEX(Composites!L:L,ROW()-Fenetre)-1))</f>
        <v/>
      </c>
      <c r="R107" s="34">
        <f>IF(OR(Composites!M107="",ROW()-Fenetre&lt;6),"",IF(INDEX(Composites!M:M,ROW()-Fenetre)="","",Composites!M107/INDEX(Composites!M:M,ROW()-Fenetre)-1))</f>
        <v/>
      </c>
      <c r="S107" s="34">
        <f>IF(OR(Composites!N107="",ROW()-Fenetre&lt;6),"",IF(INDEX(Composites!N:N,ROW()-Fenetre)="","",Composites!N107/INDEX(Composites!N:N,ROW()-Fenetre)-1))</f>
        <v/>
      </c>
      <c r="T107" s="34">
        <f>IF(OR(Composites!O107="",ROW()-Fenetre&lt;6),"",IF(INDEX(Composites!O:O,ROW()-Fenetre)="","",Composites!O107/INDEX(Composites!O:O,ROW()-Fenetre)-1))</f>
        <v/>
      </c>
      <c r="U107" s="34">
        <f>IF(OR(Composites!P107="",ROW()-Fenetre&lt;6),"",IF(INDEX(Composites!P:P,ROW()-Fenetre)="","",Composites!P107/INDEX(Composites!P:P,ROW()-Fenetre)-1))</f>
        <v/>
      </c>
      <c r="V107" s="34">
        <f>IF('Historique ajusté'!C107="","",'Historique ajusté'!C107/MAX('Historique ajusté'!C$6:C107)-1)</f>
        <v/>
      </c>
      <c r="W107" s="34">
        <f>IF('Historique ajusté'!D107="","",'Historique ajusté'!D107/MAX('Historique ajusté'!D$6:D107)-1)</f>
        <v/>
      </c>
      <c r="X107" s="34">
        <f>IF('Historique ajusté'!E107="","",'Historique ajusté'!E107/MAX('Historique ajusté'!E$6:E107)-1)</f>
        <v/>
      </c>
      <c r="Y107" s="34">
        <f>IF('Historique ajusté'!F107="","",'Historique ajusté'!F107/MAX('Historique ajusté'!F$6:F107)-1)</f>
        <v/>
      </c>
      <c r="Z107" s="34">
        <f>IF('Historique ajusté'!G107="","",'Historique ajusté'!G107/MAX('Historique ajusté'!G$6:G107)-1)</f>
        <v/>
      </c>
      <c r="AA107" s="34">
        <f>IF('Historique ajusté'!H107="","",'Historique ajusté'!H107/MAX('Historique ajusté'!H$6:H107)-1)</f>
        <v/>
      </c>
      <c r="AB107" s="34">
        <f>IF('Historique ajusté'!I107="","",'Historique ajusté'!I107/MAX('Historique ajusté'!I$6:I107)-1)</f>
        <v/>
      </c>
      <c r="AC107" s="34">
        <f>IF('Historique ajusté'!J107="","",'Historique ajusté'!J107/MAX('Historique ajusté'!J$6:J107)-1)</f>
        <v/>
      </c>
      <c r="AD107" s="34">
        <f>IF('Historique ajusté'!K107="","",'Historique ajusté'!K107/MAX('Historique ajusté'!K$6:K107)-1)</f>
        <v/>
      </c>
      <c r="AE107" s="34">
        <f>IF('Historique ajusté'!L107="","",'Historique ajusté'!L107/MAX('Historique ajusté'!L$6:L107)-1)</f>
        <v/>
      </c>
      <c r="AF107" s="34">
        <f>IF('Historique ajusté'!M107="","",'Historique ajusté'!M107/MAX('Historique ajusté'!M$6:M107)-1)</f>
        <v/>
      </c>
      <c r="AG107" s="34">
        <f>IF('Historique ajusté'!N107="","",'Historique ajusté'!N107/MAX('Historique ajusté'!N$6:N107)-1)</f>
        <v/>
      </c>
      <c r="AH107" s="34">
        <f>IF('Historique ajusté'!O107="","",'Historique ajusté'!O107/MAX('Historique ajusté'!O$6:O107)-1)</f>
        <v/>
      </c>
      <c r="AI107" s="34">
        <f>IF('Historique ajusté'!P107="","",'Historique ajusté'!P107/MAX('Historique ajusté'!P$6:P107)-1)</f>
        <v/>
      </c>
      <c r="AJ107" s="34">
        <f>IF(Composites!L107="","",Composites!L107/MAX(Composites!L$6:L107)-1)</f>
        <v/>
      </c>
      <c r="AK107" s="34">
        <f>IF(Composites!M107="","",Composites!M107/MAX(Composites!M$6:M107)-1)</f>
        <v/>
      </c>
      <c r="AL107" s="34">
        <f>IF(Composites!N107="","",Composites!N107/MAX(Composites!N$6:N107)-1)</f>
        <v/>
      </c>
      <c r="AM107" s="34">
        <f>IF(Composites!O107="","",Composites!O107/MAX(Composites!O$6:O107)-1)</f>
        <v/>
      </c>
      <c r="AN107" s="34">
        <f>IF(Composites!P107="","",Composites!P107/MAX(Composites!P$6:P107)-1)</f>
        <v/>
      </c>
    </row>
    <row r="108">
      <c r="B108" s="32">
        <f>'Historique ajusté'!B108</f>
        <v/>
      </c>
      <c r="C108" s="34">
        <f>IF(OR('Historique ajusté'!C108="",ROW()-Fenetre&lt;6),"",IF(INDEX('Historique ajusté'!C:C,ROW()-Fenetre)="","",'Historique ajusté'!C108/INDEX('Historique ajusté'!C:C,ROW()-Fenetre)-1))</f>
        <v/>
      </c>
      <c r="D108" s="34">
        <f>IF(OR('Historique ajusté'!D108="",ROW()-Fenetre&lt;6),"",IF(INDEX('Historique ajusté'!D:D,ROW()-Fenetre)="","",'Historique ajusté'!D108/INDEX('Historique ajusté'!D:D,ROW()-Fenetre)-1))</f>
        <v/>
      </c>
      <c r="E108" s="34">
        <f>IF(OR('Historique ajusté'!E108="",ROW()-Fenetre&lt;6),"",IF(INDEX('Historique ajusté'!E:E,ROW()-Fenetre)="","",'Historique ajusté'!E108/INDEX('Historique ajusté'!E:E,ROW()-Fenetre)-1))</f>
        <v/>
      </c>
      <c r="F108" s="34">
        <f>IF(OR('Historique ajusté'!F108="",ROW()-Fenetre&lt;6),"",IF(INDEX('Historique ajusté'!F:F,ROW()-Fenetre)="","",'Historique ajusté'!F108/INDEX('Historique ajusté'!F:F,ROW()-Fenetre)-1))</f>
        <v/>
      </c>
      <c r="G108" s="34">
        <f>IF(OR('Historique ajusté'!G108="",ROW()-Fenetre&lt;6),"",IF(INDEX('Historique ajusté'!G:G,ROW()-Fenetre)="","",'Historique ajusté'!G108/INDEX('Historique ajusté'!G:G,ROW()-Fenetre)-1))</f>
        <v/>
      </c>
      <c r="H108" s="34">
        <f>IF(OR('Historique ajusté'!H108="",ROW()-Fenetre&lt;6),"",IF(INDEX('Historique ajusté'!H:H,ROW()-Fenetre)="","",'Historique ajusté'!H108/INDEX('Historique ajusté'!H:H,ROW()-Fenetre)-1))</f>
        <v/>
      </c>
      <c r="I108" s="34">
        <f>IF(OR('Historique ajusté'!I108="",ROW()-Fenetre&lt;6),"",IF(INDEX('Historique ajusté'!I:I,ROW()-Fenetre)="","",'Historique ajusté'!I108/INDEX('Historique ajusté'!I:I,ROW()-Fenetre)-1))</f>
        <v/>
      </c>
      <c r="J108" s="34">
        <f>IF(OR('Historique ajusté'!J108="",ROW()-Fenetre&lt;6),"",IF(INDEX('Historique ajusté'!J:J,ROW()-Fenetre)="","",'Historique ajusté'!J108/INDEX('Historique ajusté'!J:J,ROW()-Fenetre)-1))</f>
        <v/>
      </c>
      <c r="K108" s="34">
        <f>IF(OR('Historique ajusté'!K108="",ROW()-Fenetre&lt;6),"",IF(INDEX('Historique ajusté'!K:K,ROW()-Fenetre)="","",'Historique ajusté'!K108/INDEX('Historique ajusté'!K:K,ROW()-Fenetre)-1))</f>
        <v/>
      </c>
      <c r="L108" s="34">
        <f>IF(OR('Historique ajusté'!L108="",ROW()-Fenetre&lt;6),"",IF(INDEX('Historique ajusté'!L:L,ROW()-Fenetre)="","",'Historique ajusté'!L108/INDEX('Historique ajusté'!L:L,ROW()-Fenetre)-1))</f>
        <v/>
      </c>
      <c r="M108" s="34">
        <f>IF(OR('Historique ajusté'!M108="",ROW()-Fenetre&lt;6),"",IF(INDEX('Historique ajusté'!M:M,ROW()-Fenetre)="","",'Historique ajusté'!M108/INDEX('Historique ajusté'!M:M,ROW()-Fenetre)-1))</f>
        <v/>
      </c>
      <c r="N108" s="34">
        <f>IF(OR('Historique ajusté'!N108="",ROW()-Fenetre&lt;6),"",IF(INDEX('Historique ajusté'!N:N,ROW()-Fenetre)="","",'Historique ajusté'!N108/INDEX('Historique ajusté'!N:N,ROW()-Fenetre)-1))</f>
        <v/>
      </c>
      <c r="O108" s="34">
        <f>IF(OR('Historique ajusté'!O108="",ROW()-Fenetre&lt;6),"",IF(INDEX('Historique ajusté'!O:O,ROW()-Fenetre)="","",'Historique ajusté'!O108/INDEX('Historique ajusté'!O:O,ROW()-Fenetre)-1))</f>
        <v/>
      </c>
      <c r="P108" s="34">
        <f>IF(OR('Historique ajusté'!P108="",ROW()-Fenetre&lt;6),"",IF(INDEX('Historique ajusté'!P:P,ROW()-Fenetre)="","",'Historique ajusté'!P108/INDEX('Historique ajusté'!P:P,ROW()-Fenetre)-1))</f>
        <v/>
      </c>
      <c r="Q108" s="34">
        <f>IF(OR(Composites!L108="",ROW()-Fenetre&lt;6),"",IF(INDEX(Composites!L:L,ROW()-Fenetre)="","",Composites!L108/INDEX(Composites!L:L,ROW()-Fenetre)-1))</f>
        <v/>
      </c>
      <c r="R108" s="34">
        <f>IF(OR(Composites!M108="",ROW()-Fenetre&lt;6),"",IF(INDEX(Composites!M:M,ROW()-Fenetre)="","",Composites!M108/INDEX(Composites!M:M,ROW()-Fenetre)-1))</f>
        <v/>
      </c>
      <c r="S108" s="34">
        <f>IF(OR(Composites!N108="",ROW()-Fenetre&lt;6),"",IF(INDEX(Composites!N:N,ROW()-Fenetre)="","",Composites!N108/INDEX(Composites!N:N,ROW()-Fenetre)-1))</f>
        <v/>
      </c>
      <c r="T108" s="34">
        <f>IF(OR(Composites!O108="",ROW()-Fenetre&lt;6),"",IF(INDEX(Composites!O:O,ROW()-Fenetre)="","",Composites!O108/INDEX(Composites!O:O,ROW()-Fenetre)-1))</f>
        <v/>
      </c>
      <c r="U108" s="34">
        <f>IF(OR(Composites!P108="",ROW()-Fenetre&lt;6),"",IF(INDEX(Composites!P:P,ROW()-Fenetre)="","",Composites!P108/INDEX(Composites!P:P,ROW()-Fenetre)-1))</f>
        <v/>
      </c>
      <c r="V108" s="34">
        <f>IF('Historique ajusté'!C108="","",'Historique ajusté'!C108/MAX('Historique ajusté'!C$6:C108)-1)</f>
        <v/>
      </c>
      <c r="W108" s="34">
        <f>IF('Historique ajusté'!D108="","",'Historique ajusté'!D108/MAX('Historique ajusté'!D$6:D108)-1)</f>
        <v/>
      </c>
      <c r="X108" s="34">
        <f>IF('Historique ajusté'!E108="","",'Historique ajusté'!E108/MAX('Historique ajusté'!E$6:E108)-1)</f>
        <v/>
      </c>
      <c r="Y108" s="34">
        <f>IF('Historique ajusté'!F108="","",'Historique ajusté'!F108/MAX('Historique ajusté'!F$6:F108)-1)</f>
        <v/>
      </c>
      <c r="Z108" s="34">
        <f>IF('Historique ajusté'!G108="","",'Historique ajusté'!G108/MAX('Historique ajusté'!G$6:G108)-1)</f>
        <v/>
      </c>
      <c r="AA108" s="34">
        <f>IF('Historique ajusté'!H108="","",'Historique ajusté'!H108/MAX('Historique ajusté'!H$6:H108)-1)</f>
        <v/>
      </c>
      <c r="AB108" s="34">
        <f>IF('Historique ajusté'!I108="","",'Historique ajusté'!I108/MAX('Historique ajusté'!I$6:I108)-1)</f>
        <v/>
      </c>
      <c r="AC108" s="34">
        <f>IF('Historique ajusté'!J108="","",'Historique ajusté'!J108/MAX('Historique ajusté'!J$6:J108)-1)</f>
        <v/>
      </c>
      <c r="AD108" s="34">
        <f>IF('Historique ajusté'!K108="","",'Historique ajusté'!K108/MAX('Historique ajusté'!K$6:K108)-1)</f>
        <v/>
      </c>
      <c r="AE108" s="34">
        <f>IF('Historique ajusté'!L108="","",'Historique ajusté'!L108/MAX('Historique ajusté'!L$6:L108)-1)</f>
        <v/>
      </c>
      <c r="AF108" s="34">
        <f>IF('Historique ajusté'!M108="","",'Historique ajusté'!M108/MAX('Historique ajusté'!M$6:M108)-1)</f>
        <v/>
      </c>
      <c r="AG108" s="34">
        <f>IF('Historique ajusté'!N108="","",'Historique ajusté'!N108/MAX('Historique ajusté'!N$6:N108)-1)</f>
        <v/>
      </c>
      <c r="AH108" s="34">
        <f>IF('Historique ajusté'!O108="","",'Historique ajusté'!O108/MAX('Historique ajusté'!O$6:O108)-1)</f>
        <v/>
      </c>
      <c r="AI108" s="34">
        <f>IF('Historique ajusté'!P108="","",'Historique ajusté'!P108/MAX('Historique ajusté'!P$6:P108)-1)</f>
        <v/>
      </c>
      <c r="AJ108" s="34">
        <f>IF(Composites!L108="","",Composites!L108/MAX(Composites!L$6:L108)-1)</f>
        <v/>
      </c>
      <c r="AK108" s="34">
        <f>IF(Composites!M108="","",Composites!M108/MAX(Composites!M$6:M108)-1)</f>
        <v/>
      </c>
      <c r="AL108" s="34">
        <f>IF(Composites!N108="","",Composites!N108/MAX(Composites!N$6:N108)-1)</f>
        <v/>
      </c>
      <c r="AM108" s="34">
        <f>IF(Composites!O108="","",Composites!O108/MAX(Composites!O$6:O108)-1)</f>
        <v/>
      </c>
      <c r="AN108" s="34">
        <f>IF(Composites!P108="","",Composites!P108/MAX(Composites!P$6:P108)-1)</f>
        <v/>
      </c>
    </row>
    <row r="109">
      <c r="B109" s="32">
        <f>'Historique ajusté'!B109</f>
        <v/>
      </c>
      <c r="C109" s="34">
        <f>IF(OR('Historique ajusté'!C109="",ROW()-Fenetre&lt;6),"",IF(INDEX('Historique ajusté'!C:C,ROW()-Fenetre)="","",'Historique ajusté'!C109/INDEX('Historique ajusté'!C:C,ROW()-Fenetre)-1))</f>
        <v/>
      </c>
      <c r="D109" s="34">
        <f>IF(OR('Historique ajusté'!D109="",ROW()-Fenetre&lt;6),"",IF(INDEX('Historique ajusté'!D:D,ROW()-Fenetre)="","",'Historique ajusté'!D109/INDEX('Historique ajusté'!D:D,ROW()-Fenetre)-1))</f>
        <v/>
      </c>
      <c r="E109" s="34">
        <f>IF(OR('Historique ajusté'!E109="",ROW()-Fenetre&lt;6),"",IF(INDEX('Historique ajusté'!E:E,ROW()-Fenetre)="","",'Historique ajusté'!E109/INDEX('Historique ajusté'!E:E,ROW()-Fenetre)-1))</f>
        <v/>
      </c>
      <c r="F109" s="34">
        <f>IF(OR('Historique ajusté'!F109="",ROW()-Fenetre&lt;6),"",IF(INDEX('Historique ajusté'!F:F,ROW()-Fenetre)="","",'Historique ajusté'!F109/INDEX('Historique ajusté'!F:F,ROW()-Fenetre)-1))</f>
        <v/>
      </c>
      <c r="G109" s="34">
        <f>IF(OR('Historique ajusté'!G109="",ROW()-Fenetre&lt;6),"",IF(INDEX('Historique ajusté'!G:G,ROW()-Fenetre)="","",'Historique ajusté'!G109/INDEX('Historique ajusté'!G:G,ROW()-Fenetre)-1))</f>
        <v/>
      </c>
      <c r="H109" s="34">
        <f>IF(OR('Historique ajusté'!H109="",ROW()-Fenetre&lt;6),"",IF(INDEX('Historique ajusté'!H:H,ROW()-Fenetre)="","",'Historique ajusté'!H109/INDEX('Historique ajusté'!H:H,ROW()-Fenetre)-1))</f>
        <v/>
      </c>
      <c r="I109" s="34">
        <f>IF(OR('Historique ajusté'!I109="",ROW()-Fenetre&lt;6),"",IF(INDEX('Historique ajusté'!I:I,ROW()-Fenetre)="","",'Historique ajusté'!I109/INDEX('Historique ajusté'!I:I,ROW()-Fenetre)-1))</f>
        <v/>
      </c>
      <c r="J109" s="34">
        <f>IF(OR('Historique ajusté'!J109="",ROW()-Fenetre&lt;6),"",IF(INDEX('Historique ajusté'!J:J,ROW()-Fenetre)="","",'Historique ajusté'!J109/INDEX('Historique ajusté'!J:J,ROW()-Fenetre)-1))</f>
        <v/>
      </c>
      <c r="K109" s="34">
        <f>IF(OR('Historique ajusté'!K109="",ROW()-Fenetre&lt;6),"",IF(INDEX('Historique ajusté'!K:K,ROW()-Fenetre)="","",'Historique ajusté'!K109/INDEX('Historique ajusté'!K:K,ROW()-Fenetre)-1))</f>
        <v/>
      </c>
      <c r="L109" s="34">
        <f>IF(OR('Historique ajusté'!L109="",ROW()-Fenetre&lt;6),"",IF(INDEX('Historique ajusté'!L:L,ROW()-Fenetre)="","",'Historique ajusté'!L109/INDEX('Historique ajusté'!L:L,ROW()-Fenetre)-1))</f>
        <v/>
      </c>
      <c r="M109" s="34">
        <f>IF(OR('Historique ajusté'!M109="",ROW()-Fenetre&lt;6),"",IF(INDEX('Historique ajusté'!M:M,ROW()-Fenetre)="","",'Historique ajusté'!M109/INDEX('Historique ajusté'!M:M,ROW()-Fenetre)-1))</f>
        <v/>
      </c>
      <c r="N109" s="34">
        <f>IF(OR('Historique ajusté'!N109="",ROW()-Fenetre&lt;6),"",IF(INDEX('Historique ajusté'!N:N,ROW()-Fenetre)="","",'Historique ajusté'!N109/INDEX('Historique ajusté'!N:N,ROW()-Fenetre)-1))</f>
        <v/>
      </c>
      <c r="O109" s="34">
        <f>IF(OR('Historique ajusté'!O109="",ROW()-Fenetre&lt;6),"",IF(INDEX('Historique ajusté'!O:O,ROW()-Fenetre)="","",'Historique ajusté'!O109/INDEX('Historique ajusté'!O:O,ROW()-Fenetre)-1))</f>
        <v/>
      </c>
      <c r="P109" s="34">
        <f>IF(OR('Historique ajusté'!P109="",ROW()-Fenetre&lt;6),"",IF(INDEX('Historique ajusté'!P:P,ROW()-Fenetre)="","",'Historique ajusté'!P109/INDEX('Historique ajusté'!P:P,ROW()-Fenetre)-1))</f>
        <v/>
      </c>
      <c r="Q109" s="34">
        <f>IF(OR(Composites!L109="",ROW()-Fenetre&lt;6),"",IF(INDEX(Composites!L:L,ROW()-Fenetre)="","",Composites!L109/INDEX(Composites!L:L,ROW()-Fenetre)-1))</f>
        <v/>
      </c>
      <c r="R109" s="34">
        <f>IF(OR(Composites!M109="",ROW()-Fenetre&lt;6),"",IF(INDEX(Composites!M:M,ROW()-Fenetre)="","",Composites!M109/INDEX(Composites!M:M,ROW()-Fenetre)-1))</f>
        <v/>
      </c>
      <c r="S109" s="34">
        <f>IF(OR(Composites!N109="",ROW()-Fenetre&lt;6),"",IF(INDEX(Composites!N:N,ROW()-Fenetre)="","",Composites!N109/INDEX(Composites!N:N,ROW()-Fenetre)-1))</f>
        <v/>
      </c>
      <c r="T109" s="34">
        <f>IF(OR(Composites!O109="",ROW()-Fenetre&lt;6),"",IF(INDEX(Composites!O:O,ROW()-Fenetre)="","",Composites!O109/INDEX(Composites!O:O,ROW()-Fenetre)-1))</f>
        <v/>
      </c>
      <c r="U109" s="34">
        <f>IF(OR(Composites!P109="",ROW()-Fenetre&lt;6),"",IF(INDEX(Composites!P:P,ROW()-Fenetre)="","",Composites!P109/INDEX(Composites!P:P,ROW()-Fenetre)-1))</f>
        <v/>
      </c>
      <c r="V109" s="34">
        <f>IF('Historique ajusté'!C109="","",'Historique ajusté'!C109/MAX('Historique ajusté'!C$6:C109)-1)</f>
        <v/>
      </c>
      <c r="W109" s="34">
        <f>IF('Historique ajusté'!D109="","",'Historique ajusté'!D109/MAX('Historique ajusté'!D$6:D109)-1)</f>
        <v/>
      </c>
      <c r="X109" s="34">
        <f>IF('Historique ajusté'!E109="","",'Historique ajusté'!E109/MAX('Historique ajusté'!E$6:E109)-1)</f>
        <v/>
      </c>
      <c r="Y109" s="34">
        <f>IF('Historique ajusté'!F109="","",'Historique ajusté'!F109/MAX('Historique ajusté'!F$6:F109)-1)</f>
        <v/>
      </c>
      <c r="Z109" s="34">
        <f>IF('Historique ajusté'!G109="","",'Historique ajusté'!G109/MAX('Historique ajusté'!G$6:G109)-1)</f>
        <v/>
      </c>
      <c r="AA109" s="34">
        <f>IF('Historique ajusté'!H109="","",'Historique ajusté'!H109/MAX('Historique ajusté'!H$6:H109)-1)</f>
        <v/>
      </c>
      <c r="AB109" s="34">
        <f>IF('Historique ajusté'!I109="","",'Historique ajusté'!I109/MAX('Historique ajusté'!I$6:I109)-1)</f>
        <v/>
      </c>
      <c r="AC109" s="34">
        <f>IF('Historique ajusté'!J109="","",'Historique ajusté'!J109/MAX('Historique ajusté'!J$6:J109)-1)</f>
        <v/>
      </c>
      <c r="AD109" s="34">
        <f>IF('Historique ajusté'!K109="","",'Historique ajusté'!K109/MAX('Historique ajusté'!K$6:K109)-1)</f>
        <v/>
      </c>
      <c r="AE109" s="34">
        <f>IF('Historique ajusté'!L109="","",'Historique ajusté'!L109/MAX('Historique ajusté'!L$6:L109)-1)</f>
        <v/>
      </c>
      <c r="AF109" s="34">
        <f>IF('Historique ajusté'!M109="","",'Historique ajusté'!M109/MAX('Historique ajusté'!M$6:M109)-1)</f>
        <v/>
      </c>
      <c r="AG109" s="34">
        <f>IF('Historique ajusté'!N109="","",'Historique ajusté'!N109/MAX('Historique ajusté'!N$6:N109)-1)</f>
        <v/>
      </c>
      <c r="AH109" s="34">
        <f>IF('Historique ajusté'!O109="","",'Historique ajusté'!O109/MAX('Historique ajusté'!O$6:O109)-1)</f>
        <v/>
      </c>
      <c r="AI109" s="34">
        <f>IF('Historique ajusté'!P109="","",'Historique ajusté'!P109/MAX('Historique ajusté'!P$6:P109)-1)</f>
        <v/>
      </c>
      <c r="AJ109" s="34">
        <f>IF(Composites!L109="","",Composites!L109/MAX(Composites!L$6:L109)-1)</f>
        <v/>
      </c>
      <c r="AK109" s="34">
        <f>IF(Composites!M109="","",Composites!M109/MAX(Composites!M$6:M109)-1)</f>
        <v/>
      </c>
      <c r="AL109" s="34">
        <f>IF(Composites!N109="","",Composites!N109/MAX(Composites!N$6:N109)-1)</f>
        <v/>
      </c>
      <c r="AM109" s="34">
        <f>IF(Composites!O109="","",Composites!O109/MAX(Composites!O$6:O109)-1)</f>
        <v/>
      </c>
      <c r="AN109" s="34">
        <f>IF(Composites!P109="","",Composites!P109/MAX(Composites!P$6:P109)-1)</f>
        <v/>
      </c>
    </row>
    <row r="110">
      <c r="B110" s="32">
        <f>'Historique ajusté'!B110</f>
        <v/>
      </c>
      <c r="C110" s="34">
        <f>IF(OR('Historique ajusté'!C110="",ROW()-Fenetre&lt;6),"",IF(INDEX('Historique ajusté'!C:C,ROW()-Fenetre)="","",'Historique ajusté'!C110/INDEX('Historique ajusté'!C:C,ROW()-Fenetre)-1))</f>
        <v/>
      </c>
      <c r="D110" s="34">
        <f>IF(OR('Historique ajusté'!D110="",ROW()-Fenetre&lt;6),"",IF(INDEX('Historique ajusté'!D:D,ROW()-Fenetre)="","",'Historique ajusté'!D110/INDEX('Historique ajusté'!D:D,ROW()-Fenetre)-1))</f>
        <v/>
      </c>
      <c r="E110" s="34">
        <f>IF(OR('Historique ajusté'!E110="",ROW()-Fenetre&lt;6),"",IF(INDEX('Historique ajusté'!E:E,ROW()-Fenetre)="","",'Historique ajusté'!E110/INDEX('Historique ajusté'!E:E,ROW()-Fenetre)-1))</f>
        <v/>
      </c>
      <c r="F110" s="34">
        <f>IF(OR('Historique ajusté'!F110="",ROW()-Fenetre&lt;6),"",IF(INDEX('Historique ajusté'!F:F,ROW()-Fenetre)="","",'Historique ajusté'!F110/INDEX('Historique ajusté'!F:F,ROW()-Fenetre)-1))</f>
        <v/>
      </c>
      <c r="G110" s="34">
        <f>IF(OR('Historique ajusté'!G110="",ROW()-Fenetre&lt;6),"",IF(INDEX('Historique ajusté'!G:G,ROW()-Fenetre)="","",'Historique ajusté'!G110/INDEX('Historique ajusté'!G:G,ROW()-Fenetre)-1))</f>
        <v/>
      </c>
      <c r="H110" s="34">
        <f>IF(OR('Historique ajusté'!H110="",ROW()-Fenetre&lt;6),"",IF(INDEX('Historique ajusté'!H:H,ROW()-Fenetre)="","",'Historique ajusté'!H110/INDEX('Historique ajusté'!H:H,ROW()-Fenetre)-1))</f>
        <v/>
      </c>
      <c r="I110" s="34">
        <f>IF(OR('Historique ajusté'!I110="",ROW()-Fenetre&lt;6),"",IF(INDEX('Historique ajusté'!I:I,ROW()-Fenetre)="","",'Historique ajusté'!I110/INDEX('Historique ajusté'!I:I,ROW()-Fenetre)-1))</f>
        <v/>
      </c>
      <c r="J110" s="34">
        <f>IF(OR('Historique ajusté'!J110="",ROW()-Fenetre&lt;6),"",IF(INDEX('Historique ajusté'!J:J,ROW()-Fenetre)="","",'Historique ajusté'!J110/INDEX('Historique ajusté'!J:J,ROW()-Fenetre)-1))</f>
        <v/>
      </c>
      <c r="K110" s="34">
        <f>IF(OR('Historique ajusté'!K110="",ROW()-Fenetre&lt;6),"",IF(INDEX('Historique ajusté'!K:K,ROW()-Fenetre)="","",'Historique ajusté'!K110/INDEX('Historique ajusté'!K:K,ROW()-Fenetre)-1))</f>
        <v/>
      </c>
      <c r="L110" s="34">
        <f>IF(OR('Historique ajusté'!L110="",ROW()-Fenetre&lt;6),"",IF(INDEX('Historique ajusté'!L:L,ROW()-Fenetre)="","",'Historique ajusté'!L110/INDEX('Historique ajusté'!L:L,ROW()-Fenetre)-1))</f>
        <v/>
      </c>
      <c r="M110" s="34">
        <f>IF(OR('Historique ajusté'!M110="",ROW()-Fenetre&lt;6),"",IF(INDEX('Historique ajusté'!M:M,ROW()-Fenetre)="","",'Historique ajusté'!M110/INDEX('Historique ajusté'!M:M,ROW()-Fenetre)-1))</f>
        <v/>
      </c>
      <c r="N110" s="34">
        <f>IF(OR('Historique ajusté'!N110="",ROW()-Fenetre&lt;6),"",IF(INDEX('Historique ajusté'!N:N,ROW()-Fenetre)="","",'Historique ajusté'!N110/INDEX('Historique ajusté'!N:N,ROW()-Fenetre)-1))</f>
        <v/>
      </c>
      <c r="O110" s="34">
        <f>IF(OR('Historique ajusté'!O110="",ROW()-Fenetre&lt;6),"",IF(INDEX('Historique ajusté'!O:O,ROW()-Fenetre)="","",'Historique ajusté'!O110/INDEX('Historique ajusté'!O:O,ROW()-Fenetre)-1))</f>
        <v/>
      </c>
      <c r="P110" s="34">
        <f>IF(OR('Historique ajusté'!P110="",ROW()-Fenetre&lt;6),"",IF(INDEX('Historique ajusté'!P:P,ROW()-Fenetre)="","",'Historique ajusté'!P110/INDEX('Historique ajusté'!P:P,ROW()-Fenetre)-1))</f>
        <v/>
      </c>
      <c r="Q110" s="34">
        <f>IF(OR(Composites!L110="",ROW()-Fenetre&lt;6),"",IF(INDEX(Composites!L:L,ROW()-Fenetre)="","",Composites!L110/INDEX(Composites!L:L,ROW()-Fenetre)-1))</f>
        <v/>
      </c>
      <c r="R110" s="34">
        <f>IF(OR(Composites!M110="",ROW()-Fenetre&lt;6),"",IF(INDEX(Composites!M:M,ROW()-Fenetre)="","",Composites!M110/INDEX(Composites!M:M,ROW()-Fenetre)-1))</f>
        <v/>
      </c>
      <c r="S110" s="34">
        <f>IF(OR(Composites!N110="",ROW()-Fenetre&lt;6),"",IF(INDEX(Composites!N:N,ROW()-Fenetre)="","",Composites!N110/INDEX(Composites!N:N,ROW()-Fenetre)-1))</f>
        <v/>
      </c>
      <c r="T110" s="34">
        <f>IF(OR(Composites!O110="",ROW()-Fenetre&lt;6),"",IF(INDEX(Composites!O:O,ROW()-Fenetre)="","",Composites!O110/INDEX(Composites!O:O,ROW()-Fenetre)-1))</f>
        <v/>
      </c>
      <c r="U110" s="34">
        <f>IF(OR(Composites!P110="",ROW()-Fenetre&lt;6),"",IF(INDEX(Composites!P:P,ROW()-Fenetre)="","",Composites!P110/INDEX(Composites!P:P,ROW()-Fenetre)-1))</f>
        <v/>
      </c>
      <c r="V110" s="34">
        <f>IF('Historique ajusté'!C110="","",'Historique ajusté'!C110/MAX('Historique ajusté'!C$6:C110)-1)</f>
        <v/>
      </c>
      <c r="W110" s="34">
        <f>IF('Historique ajusté'!D110="","",'Historique ajusté'!D110/MAX('Historique ajusté'!D$6:D110)-1)</f>
        <v/>
      </c>
      <c r="X110" s="34">
        <f>IF('Historique ajusté'!E110="","",'Historique ajusté'!E110/MAX('Historique ajusté'!E$6:E110)-1)</f>
        <v/>
      </c>
      <c r="Y110" s="34">
        <f>IF('Historique ajusté'!F110="","",'Historique ajusté'!F110/MAX('Historique ajusté'!F$6:F110)-1)</f>
        <v/>
      </c>
      <c r="Z110" s="34">
        <f>IF('Historique ajusté'!G110="","",'Historique ajusté'!G110/MAX('Historique ajusté'!G$6:G110)-1)</f>
        <v/>
      </c>
      <c r="AA110" s="34">
        <f>IF('Historique ajusté'!H110="","",'Historique ajusté'!H110/MAX('Historique ajusté'!H$6:H110)-1)</f>
        <v/>
      </c>
      <c r="AB110" s="34">
        <f>IF('Historique ajusté'!I110="","",'Historique ajusté'!I110/MAX('Historique ajusté'!I$6:I110)-1)</f>
        <v/>
      </c>
      <c r="AC110" s="34">
        <f>IF('Historique ajusté'!J110="","",'Historique ajusté'!J110/MAX('Historique ajusté'!J$6:J110)-1)</f>
        <v/>
      </c>
      <c r="AD110" s="34">
        <f>IF('Historique ajusté'!K110="","",'Historique ajusté'!K110/MAX('Historique ajusté'!K$6:K110)-1)</f>
        <v/>
      </c>
      <c r="AE110" s="34">
        <f>IF('Historique ajusté'!L110="","",'Historique ajusté'!L110/MAX('Historique ajusté'!L$6:L110)-1)</f>
        <v/>
      </c>
      <c r="AF110" s="34">
        <f>IF('Historique ajusté'!M110="","",'Historique ajusté'!M110/MAX('Historique ajusté'!M$6:M110)-1)</f>
        <v/>
      </c>
      <c r="AG110" s="34">
        <f>IF('Historique ajusté'!N110="","",'Historique ajusté'!N110/MAX('Historique ajusté'!N$6:N110)-1)</f>
        <v/>
      </c>
      <c r="AH110" s="34">
        <f>IF('Historique ajusté'!O110="","",'Historique ajusté'!O110/MAX('Historique ajusté'!O$6:O110)-1)</f>
        <v/>
      </c>
      <c r="AI110" s="34">
        <f>IF('Historique ajusté'!P110="","",'Historique ajusté'!P110/MAX('Historique ajusté'!P$6:P110)-1)</f>
        <v/>
      </c>
      <c r="AJ110" s="34">
        <f>IF(Composites!L110="","",Composites!L110/MAX(Composites!L$6:L110)-1)</f>
        <v/>
      </c>
      <c r="AK110" s="34">
        <f>IF(Composites!M110="","",Composites!M110/MAX(Composites!M$6:M110)-1)</f>
        <v/>
      </c>
      <c r="AL110" s="34">
        <f>IF(Composites!N110="","",Composites!N110/MAX(Composites!N$6:N110)-1)</f>
        <v/>
      </c>
      <c r="AM110" s="34">
        <f>IF(Composites!O110="","",Composites!O110/MAX(Composites!O$6:O110)-1)</f>
        <v/>
      </c>
      <c r="AN110" s="34">
        <f>IF(Composites!P110="","",Composites!P110/MAX(Composites!P$6:P110)-1)</f>
        <v/>
      </c>
    </row>
    <row r="111">
      <c r="B111" s="32">
        <f>'Historique ajusté'!B111</f>
        <v/>
      </c>
      <c r="C111" s="34">
        <f>IF(OR('Historique ajusté'!C111="",ROW()-Fenetre&lt;6),"",IF(INDEX('Historique ajusté'!C:C,ROW()-Fenetre)="","",'Historique ajusté'!C111/INDEX('Historique ajusté'!C:C,ROW()-Fenetre)-1))</f>
        <v/>
      </c>
      <c r="D111" s="34">
        <f>IF(OR('Historique ajusté'!D111="",ROW()-Fenetre&lt;6),"",IF(INDEX('Historique ajusté'!D:D,ROW()-Fenetre)="","",'Historique ajusté'!D111/INDEX('Historique ajusté'!D:D,ROW()-Fenetre)-1))</f>
        <v/>
      </c>
      <c r="E111" s="34">
        <f>IF(OR('Historique ajusté'!E111="",ROW()-Fenetre&lt;6),"",IF(INDEX('Historique ajusté'!E:E,ROW()-Fenetre)="","",'Historique ajusté'!E111/INDEX('Historique ajusté'!E:E,ROW()-Fenetre)-1))</f>
        <v/>
      </c>
      <c r="F111" s="34">
        <f>IF(OR('Historique ajusté'!F111="",ROW()-Fenetre&lt;6),"",IF(INDEX('Historique ajusté'!F:F,ROW()-Fenetre)="","",'Historique ajusté'!F111/INDEX('Historique ajusté'!F:F,ROW()-Fenetre)-1))</f>
        <v/>
      </c>
      <c r="G111" s="34">
        <f>IF(OR('Historique ajusté'!G111="",ROW()-Fenetre&lt;6),"",IF(INDEX('Historique ajusté'!G:G,ROW()-Fenetre)="","",'Historique ajusté'!G111/INDEX('Historique ajusté'!G:G,ROW()-Fenetre)-1))</f>
        <v/>
      </c>
      <c r="H111" s="34">
        <f>IF(OR('Historique ajusté'!H111="",ROW()-Fenetre&lt;6),"",IF(INDEX('Historique ajusté'!H:H,ROW()-Fenetre)="","",'Historique ajusté'!H111/INDEX('Historique ajusté'!H:H,ROW()-Fenetre)-1))</f>
        <v/>
      </c>
      <c r="I111" s="34">
        <f>IF(OR('Historique ajusté'!I111="",ROW()-Fenetre&lt;6),"",IF(INDEX('Historique ajusté'!I:I,ROW()-Fenetre)="","",'Historique ajusté'!I111/INDEX('Historique ajusté'!I:I,ROW()-Fenetre)-1))</f>
        <v/>
      </c>
      <c r="J111" s="34">
        <f>IF(OR('Historique ajusté'!J111="",ROW()-Fenetre&lt;6),"",IF(INDEX('Historique ajusté'!J:J,ROW()-Fenetre)="","",'Historique ajusté'!J111/INDEX('Historique ajusté'!J:J,ROW()-Fenetre)-1))</f>
        <v/>
      </c>
      <c r="K111" s="34">
        <f>IF(OR('Historique ajusté'!K111="",ROW()-Fenetre&lt;6),"",IF(INDEX('Historique ajusté'!K:K,ROW()-Fenetre)="","",'Historique ajusté'!K111/INDEX('Historique ajusté'!K:K,ROW()-Fenetre)-1))</f>
        <v/>
      </c>
      <c r="L111" s="34">
        <f>IF(OR('Historique ajusté'!L111="",ROW()-Fenetre&lt;6),"",IF(INDEX('Historique ajusté'!L:L,ROW()-Fenetre)="","",'Historique ajusté'!L111/INDEX('Historique ajusté'!L:L,ROW()-Fenetre)-1))</f>
        <v/>
      </c>
      <c r="M111" s="34">
        <f>IF(OR('Historique ajusté'!M111="",ROW()-Fenetre&lt;6),"",IF(INDEX('Historique ajusté'!M:M,ROW()-Fenetre)="","",'Historique ajusté'!M111/INDEX('Historique ajusté'!M:M,ROW()-Fenetre)-1))</f>
        <v/>
      </c>
      <c r="N111" s="34">
        <f>IF(OR('Historique ajusté'!N111="",ROW()-Fenetre&lt;6),"",IF(INDEX('Historique ajusté'!N:N,ROW()-Fenetre)="","",'Historique ajusté'!N111/INDEX('Historique ajusté'!N:N,ROW()-Fenetre)-1))</f>
        <v/>
      </c>
      <c r="O111" s="34">
        <f>IF(OR('Historique ajusté'!O111="",ROW()-Fenetre&lt;6),"",IF(INDEX('Historique ajusté'!O:O,ROW()-Fenetre)="","",'Historique ajusté'!O111/INDEX('Historique ajusté'!O:O,ROW()-Fenetre)-1))</f>
        <v/>
      </c>
      <c r="P111" s="34">
        <f>IF(OR('Historique ajusté'!P111="",ROW()-Fenetre&lt;6),"",IF(INDEX('Historique ajusté'!P:P,ROW()-Fenetre)="","",'Historique ajusté'!P111/INDEX('Historique ajusté'!P:P,ROW()-Fenetre)-1))</f>
        <v/>
      </c>
      <c r="Q111" s="34">
        <f>IF(OR(Composites!L111="",ROW()-Fenetre&lt;6),"",IF(INDEX(Composites!L:L,ROW()-Fenetre)="","",Composites!L111/INDEX(Composites!L:L,ROW()-Fenetre)-1))</f>
        <v/>
      </c>
      <c r="R111" s="34">
        <f>IF(OR(Composites!M111="",ROW()-Fenetre&lt;6),"",IF(INDEX(Composites!M:M,ROW()-Fenetre)="","",Composites!M111/INDEX(Composites!M:M,ROW()-Fenetre)-1))</f>
        <v/>
      </c>
      <c r="S111" s="34">
        <f>IF(OR(Composites!N111="",ROW()-Fenetre&lt;6),"",IF(INDEX(Composites!N:N,ROW()-Fenetre)="","",Composites!N111/INDEX(Composites!N:N,ROW()-Fenetre)-1))</f>
        <v/>
      </c>
      <c r="T111" s="34">
        <f>IF(OR(Composites!O111="",ROW()-Fenetre&lt;6),"",IF(INDEX(Composites!O:O,ROW()-Fenetre)="","",Composites!O111/INDEX(Composites!O:O,ROW()-Fenetre)-1))</f>
        <v/>
      </c>
      <c r="U111" s="34">
        <f>IF(OR(Composites!P111="",ROW()-Fenetre&lt;6),"",IF(INDEX(Composites!P:P,ROW()-Fenetre)="","",Composites!P111/INDEX(Composites!P:P,ROW()-Fenetre)-1))</f>
        <v/>
      </c>
      <c r="V111" s="34">
        <f>IF('Historique ajusté'!C111="","",'Historique ajusté'!C111/MAX('Historique ajusté'!C$6:C111)-1)</f>
        <v/>
      </c>
      <c r="W111" s="34">
        <f>IF('Historique ajusté'!D111="","",'Historique ajusté'!D111/MAX('Historique ajusté'!D$6:D111)-1)</f>
        <v/>
      </c>
      <c r="X111" s="34">
        <f>IF('Historique ajusté'!E111="","",'Historique ajusté'!E111/MAX('Historique ajusté'!E$6:E111)-1)</f>
        <v/>
      </c>
      <c r="Y111" s="34">
        <f>IF('Historique ajusté'!F111="","",'Historique ajusté'!F111/MAX('Historique ajusté'!F$6:F111)-1)</f>
        <v/>
      </c>
      <c r="Z111" s="34">
        <f>IF('Historique ajusté'!G111="","",'Historique ajusté'!G111/MAX('Historique ajusté'!G$6:G111)-1)</f>
        <v/>
      </c>
      <c r="AA111" s="34">
        <f>IF('Historique ajusté'!H111="","",'Historique ajusté'!H111/MAX('Historique ajusté'!H$6:H111)-1)</f>
        <v/>
      </c>
      <c r="AB111" s="34">
        <f>IF('Historique ajusté'!I111="","",'Historique ajusté'!I111/MAX('Historique ajusté'!I$6:I111)-1)</f>
        <v/>
      </c>
      <c r="AC111" s="34">
        <f>IF('Historique ajusté'!J111="","",'Historique ajusté'!J111/MAX('Historique ajusté'!J$6:J111)-1)</f>
        <v/>
      </c>
      <c r="AD111" s="34">
        <f>IF('Historique ajusté'!K111="","",'Historique ajusté'!K111/MAX('Historique ajusté'!K$6:K111)-1)</f>
        <v/>
      </c>
      <c r="AE111" s="34">
        <f>IF('Historique ajusté'!L111="","",'Historique ajusté'!L111/MAX('Historique ajusté'!L$6:L111)-1)</f>
        <v/>
      </c>
      <c r="AF111" s="34">
        <f>IF('Historique ajusté'!M111="","",'Historique ajusté'!M111/MAX('Historique ajusté'!M$6:M111)-1)</f>
        <v/>
      </c>
      <c r="AG111" s="34">
        <f>IF('Historique ajusté'!N111="","",'Historique ajusté'!N111/MAX('Historique ajusté'!N$6:N111)-1)</f>
        <v/>
      </c>
      <c r="AH111" s="34">
        <f>IF('Historique ajusté'!O111="","",'Historique ajusté'!O111/MAX('Historique ajusté'!O$6:O111)-1)</f>
        <v/>
      </c>
      <c r="AI111" s="34">
        <f>IF('Historique ajusté'!P111="","",'Historique ajusté'!P111/MAX('Historique ajusté'!P$6:P111)-1)</f>
        <v/>
      </c>
      <c r="AJ111" s="34">
        <f>IF(Composites!L111="","",Composites!L111/MAX(Composites!L$6:L111)-1)</f>
        <v/>
      </c>
      <c r="AK111" s="34">
        <f>IF(Composites!M111="","",Composites!M111/MAX(Composites!M$6:M111)-1)</f>
        <v/>
      </c>
      <c r="AL111" s="34">
        <f>IF(Composites!N111="","",Composites!N111/MAX(Composites!N$6:N111)-1)</f>
        <v/>
      </c>
      <c r="AM111" s="34">
        <f>IF(Composites!O111="","",Composites!O111/MAX(Composites!O$6:O111)-1)</f>
        <v/>
      </c>
      <c r="AN111" s="34">
        <f>IF(Composites!P111="","",Composites!P111/MAX(Composites!P$6:P111)-1)</f>
        <v/>
      </c>
    </row>
    <row r="112">
      <c r="B112" s="32">
        <f>'Historique ajusté'!B112</f>
        <v/>
      </c>
      <c r="C112" s="34">
        <f>IF(OR('Historique ajusté'!C112="",ROW()-Fenetre&lt;6),"",IF(INDEX('Historique ajusté'!C:C,ROW()-Fenetre)="","",'Historique ajusté'!C112/INDEX('Historique ajusté'!C:C,ROW()-Fenetre)-1))</f>
        <v/>
      </c>
      <c r="D112" s="34">
        <f>IF(OR('Historique ajusté'!D112="",ROW()-Fenetre&lt;6),"",IF(INDEX('Historique ajusté'!D:D,ROW()-Fenetre)="","",'Historique ajusté'!D112/INDEX('Historique ajusté'!D:D,ROW()-Fenetre)-1))</f>
        <v/>
      </c>
      <c r="E112" s="34">
        <f>IF(OR('Historique ajusté'!E112="",ROW()-Fenetre&lt;6),"",IF(INDEX('Historique ajusté'!E:E,ROW()-Fenetre)="","",'Historique ajusté'!E112/INDEX('Historique ajusté'!E:E,ROW()-Fenetre)-1))</f>
        <v/>
      </c>
      <c r="F112" s="34">
        <f>IF(OR('Historique ajusté'!F112="",ROW()-Fenetre&lt;6),"",IF(INDEX('Historique ajusté'!F:F,ROW()-Fenetre)="","",'Historique ajusté'!F112/INDEX('Historique ajusté'!F:F,ROW()-Fenetre)-1))</f>
        <v/>
      </c>
      <c r="G112" s="34">
        <f>IF(OR('Historique ajusté'!G112="",ROW()-Fenetre&lt;6),"",IF(INDEX('Historique ajusté'!G:G,ROW()-Fenetre)="","",'Historique ajusté'!G112/INDEX('Historique ajusté'!G:G,ROW()-Fenetre)-1))</f>
        <v/>
      </c>
      <c r="H112" s="34">
        <f>IF(OR('Historique ajusté'!H112="",ROW()-Fenetre&lt;6),"",IF(INDEX('Historique ajusté'!H:H,ROW()-Fenetre)="","",'Historique ajusté'!H112/INDEX('Historique ajusté'!H:H,ROW()-Fenetre)-1))</f>
        <v/>
      </c>
      <c r="I112" s="34">
        <f>IF(OR('Historique ajusté'!I112="",ROW()-Fenetre&lt;6),"",IF(INDEX('Historique ajusté'!I:I,ROW()-Fenetre)="","",'Historique ajusté'!I112/INDEX('Historique ajusté'!I:I,ROW()-Fenetre)-1))</f>
        <v/>
      </c>
      <c r="J112" s="34">
        <f>IF(OR('Historique ajusté'!J112="",ROW()-Fenetre&lt;6),"",IF(INDEX('Historique ajusté'!J:J,ROW()-Fenetre)="","",'Historique ajusté'!J112/INDEX('Historique ajusté'!J:J,ROW()-Fenetre)-1))</f>
        <v/>
      </c>
      <c r="K112" s="34">
        <f>IF(OR('Historique ajusté'!K112="",ROW()-Fenetre&lt;6),"",IF(INDEX('Historique ajusté'!K:K,ROW()-Fenetre)="","",'Historique ajusté'!K112/INDEX('Historique ajusté'!K:K,ROW()-Fenetre)-1))</f>
        <v/>
      </c>
      <c r="L112" s="34">
        <f>IF(OR('Historique ajusté'!L112="",ROW()-Fenetre&lt;6),"",IF(INDEX('Historique ajusté'!L:L,ROW()-Fenetre)="","",'Historique ajusté'!L112/INDEX('Historique ajusté'!L:L,ROW()-Fenetre)-1))</f>
        <v/>
      </c>
      <c r="M112" s="34">
        <f>IF(OR('Historique ajusté'!M112="",ROW()-Fenetre&lt;6),"",IF(INDEX('Historique ajusté'!M:M,ROW()-Fenetre)="","",'Historique ajusté'!M112/INDEX('Historique ajusté'!M:M,ROW()-Fenetre)-1))</f>
        <v/>
      </c>
      <c r="N112" s="34">
        <f>IF(OR('Historique ajusté'!N112="",ROW()-Fenetre&lt;6),"",IF(INDEX('Historique ajusté'!N:N,ROW()-Fenetre)="","",'Historique ajusté'!N112/INDEX('Historique ajusté'!N:N,ROW()-Fenetre)-1))</f>
        <v/>
      </c>
      <c r="O112" s="34">
        <f>IF(OR('Historique ajusté'!O112="",ROW()-Fenetre&lt;6),"",IF(INDEX('Historique ajusté'!O:O,ROW()-Fenetre)="","",'Historique ajusté'!O112/INDEX('Historique ajusté'!O:O,ROW()-Fenetre)-1))</f>
        <v/>
      </c>
      <c r="P112" s="34">
        <f>IF(OR('Historique ajusté'!P112="",ROW()-Fenetre&lt;6),"",IF(INDEX('Historique ajusté'!P:P,ROW()-Fenetre)="","",'Historique ajusté'!P112/INDEX('Historique ajusté'!P:P,ROW()-Fenetre)-1))</f>
        <v/>
      </c>
      <c r="Q112" s="34">
        <f>IF(OR(Composites!L112="",ROW()-Fenetre&lt;6),"",IF(INDEX(Composites!L:L,ROW()-Fenetre)="","",Composites!L112/INDEX(Composites!L:L,ROW()-Fenetre)-1))</f>
        <v/>
      </c>
      <c r="R112" s="34">
        <f>IF(OR(Composites!M112="",ROW()-Fenetre&lt;6),"",IF(INDEX(Composites!M:M,ROW()-Fenetre)="","",Composites!M112/INDEX(Composites!M:M,ROW()-Fenetre)-1))</f>
        <v/>
      </c>
      <c r="S112" s="34">
        <f>IF(OR(Composites!N112="",ROW()-Fenetre&lt;6),"",IF(INDEX(Composites!N:N,ROW()-Fenetre)="","",Composites!N112/INDEX(Composites!N:N,ROW()-Fenetre)-1))</f>
        <v/>
      </c>
      <c r="T112" s="34">
        <f>IF(OR(Composites!O112="",ROW()-Fenetre&lt;6),"",IF(INDEX(Composites!O:O,ROW()-Fenetre)="","",Composites!O112/INDEX(Composites!O:O,ROW()-Fenetre)-1))</f>
        <v/>
      </c>
      <c r="U112" s="34">
        <f>IF(OR(Composites!P112="",ROW()-Fenetre&lt;6),"",IF(INDEX(Composites!P:P,ROW()-Fenetre)="","",Composites!P112/INDEX(Composites!P:P,ROW()-Fenetre)-1))</f>
        <v/>
      </c>
      <c r="V112" s="34">
        <f>IF('Historique ajusté'!C112="","",'Historique ajusté'!C112/MAX('Historique ajusté'!C$6:C112)-1)</f>
        <v/>
      </c>
      <c r="W112" s="34">
        <f>IF('Historique ajusté'!D112="","",'Historique ajusté'!D112/MAX('Historique ajusté'!D$6:D112)-1)</f>
        <v/>
      </c>
      <c r="X112" s="34">
        <f>IF('Historique ajusté'!E112="","",'Historique ajusté'!E112/MAX('Historique ajusté'!E$6:E112)-1)</f>
        <v/>
      </c>
      <c r="Y112" s="34">
        <f>IF('Historique ajusté'!F112="","",'Historique ajusté'!F112/MAX('Historique ajusté'!F$6:F112)-1)</f>
        <v/>
      </c>
      <c r="Z112" s="34">
        <f>IF('Historique ajusté'!G112="","",'Historique ajusté'!G112/MAX('Historique ajusté'!G$6:G112)-1)</f>
        <v/>
      </c>
      <c r="AA112" s="34">
        <f>IF('Historique ajusté'!H112="","",'Historique ajusté'!H112/MAX('Historique ajusté'!H$6:H112)-1)</f>
        <v/>
      </c>
      <c r="AB112" s="34">
        <f>IF('Historique ajusté'!I112="","",'Historique ajusté'!I112/MAX('Historique ajusté'!I$6:I112)-1)</f>
        <v/>
      </c>
      <c r="AC112" s="34">
        <f>IF('Historique ajusté'!J112="","",'Historique ajusté'!J112/MAX('Historique ajusté'!J$6:J112)-1)</f>
        <v/>
      </c>
      <c r="AD112" s="34">
        <f>IF('Historique ajusté'!K112="","",'Historique ajusté'!K112/MAX('Historique ajusté'!K$6:K112)-1)</f>
        <v/>
      </c>
      <c r="AE112" s="34">
        <f>IF('Historique ajusté'!L112="","",'Historique ajusté'!L112/MAX('Historique ajusté'!L$6:L112)-1)</f>
        <v/>
      </c>
      <c r="AF112" s="34">
        <f>IF('Historique ajusté'!M112="","",'Historique ajusté'!M112/MAX('Historique ajusté'!M$6:M112)-1)</f>
        <v/>
      </c>
      <c r="AG112" s="34">
        <f>IF('Historique ajusté'!N112="","",'Historique ajusté'!N112/MAX('Historique ajusté'!N$6:N112)-1)</f>
        <v/>
      </c>
      <c r="AH112" s="34">
        <f>IF('Historique ajusté'!O112="","",'Historique ajusté'!O112/MAX('Historique ajusté'!O$6:O112)-1)</f>
        <v/>
      </c>
      <c r="AI112" s="34">
        <f>IF('Historique ajusté'!P112="","",'Historique ajusté'!P112/MAX('Historique ajusté'!P$6:P112)-1)</f>
        <v/>
      </c>
      <c r="AJ112" s="34">
        <f>IF(Composites!L112="","",Composites!L112/MAX(Composites!L$6:L112)-1)</f>
        <v/>
      </c>
      <c r="AK112" s="34">
        <f>IF(Composites!M112="","",Composites!M112/MAX(Composites!M$6:M112)-1)</f>
        <v/>
      </c>
      <c r="AL112" s="34">
        <f>IF(Composites!N112="","",Composites!N112/MAX(Composites!N$6:N112)-1)</f>
        <v/>
      </c>
      <c r="AM112" s="34">
        <f>IF(Composites!O112="","",Composites!O112/MAX(Composites!O$6:O112)-1)</f>
        <v/>
      </c>
      <c r="AN112" s="34">
        <f>IF(Composites!P112="","",Composites!P112/MAX(Composites!P$6:P112)-1)</f>
        <v/>
      </c>
    </row>
    <row r="113">
      <c r="B113" s="32">
        <f>'Historique ajusté'!B113</f>
        <v/>
      </c>
      <c r="C113" s="34">
        <f>IF(OR('Historique ajusté'!C113="",ROW()-Fenetre&lt;6),"",IF(INDEX('Historique ajusté'!C:C,ROW()-Fenetre)="","",'Historique ajusté'!C113/INDEX('Historique ajusté'!C:C,ROW()-Fenetre)-1))</f>
        <v/>
      </c>
      <c r="D113" s="34">
        <f>IF(OR('Historique ajusté'!D113="",ROW()-Fenetre&lt;6),"",IF(INDEX('Historique ajusté'!D:D,ROW()-Fenetre)="","",'Historique ajusté'!D113/INDEX('Historique ajusté'!D:D,ROW()-Fenetre)-1))</f>
        <v/>
      </c>
      <c r="E113" s="34">
        <f>IF(OR('Historique ajusté'!E113="",ROW()-Fenetre&lt;6),"",IF(INDEX('Historique ajusté'!E:E,ROW()-Fenetre)="","",'Historique ajusté'!E113/INDEX('Historique ajusté'!E:E,ROW()-Fenetre)-1))</f>
        <v/>
      </c>
      <c r="F113" s="34">
        <f>IF(OR('Historique ajusté'!F113="",ROW()-Fenetre&lt;6),"",IF(INDEX('Historique ajusté'!F:F,ROW()-Fenetre)="","",'Historique ajusté'!F113/INDEX('Historique ajusté'!F:F,ROW()-Fenetre)-1))</f>
        <v/>
      </c>
      <c r="G113" s="34">
        <f>IF(OR('Historique ajusté'!G113="",ROW()-Fenetre&lt;6),"",IF(INDEX('Historique ajusté'!G:G,ROW()-Fenetre)="","",'Historique ajusté'!G113/INDEX('Historique ajusté'!G:G,ROW()-Fenetre)-1))</f>
        <v/>
      </c>
      <c r="H113" s="34">
        <f>IF(OR('Historique ajusté'!H113="",ROW()-Fenetre&lt;6),"",IF(INDEX('Historique ajusté'!H:H,ROW()-Fenetre)="","",'Historique ajusté'!H113/INDEX('Historique ajusté'!H:H,ROW()-Fenetre)-1))</f>
        <v/>
      </c>
      <c r="I113" s="34">
        <f>IF(OR('Historique ajusté'!I113="",ROW()-Fenetre&lt;6),"",IF(INDEX('Historique ajusté'!I:I,ROW()-Fenetre)="","",'Historique ajusté'!I113/INDEX('Historique ajusté'!I:I,ROW()-Fenetre)-1))</f>
        <v/>
      </c>
      <c r="J113" s="34">
        <f>IF(OR('Historique ajusté'!J113="",ROW()-Fenetre&lt;6),"",IF(INDEX('Historique ajusté'!J:J,ROW()-Fenetre)="","",'Historique ajusté'!J113/INDEX('Historique ajusté'!J:J,ROW()-Fenetre)-1))</f>
        <v/>
      </c>
      <c r="K113" s="34">
        <f>IF(OR('Historique ajusté'!K113="",ROW()-Fenetre&lt;6),"",IF(INDEX('Historique ajusté'!K:K,ROW()-Fenetre)="","",'Historique ajusté'!K113/INDEX('Historique ajusté'!K:K,ROW()-Fenetre)-1))</f>
        <v/>
      </c>
      <c r="L113" s="34">
        <f>IF(OR('Historique ajusté'!L113="",ROW()-Fenetre&lt;6),"",IF(INDEX('Historique ajusté'!L:L,ROW()-Fenetre)="","",'Historique ajusté'!L113/INDEX('Historique ajusté'!L:L,ROW()-Fenetre)-1))</f>
        <v/>
      </c>
      <c r="M113" s="34">
        <f>IF(OR('Historique ajusté'!M113="",ROW()-Fenetre&lt;6),"",IF(INDEX('Historique ajusté'!M:M,ROW()-Fenetre)="","",'Historique ajusté'!M113/INDEX('Historique ajusté'!M:M,ROW()-Fenetre)-1))</f>
        <v/>
      </c>
      <c r="N113" s="34">
        <f>IF(OR('Historique ajusté'!N113="",ROW()-Fenetre&lt;6),"",IF(INDEX('Historique ajusté'!N:N,ROW()-Fenetre)="","",'Historique ajusté'!N113/INDEX('Historique ajusté'!N:N,ROW()-Fenetre)-1))</f>
        <v/>
      </c>
      <c r="O113" s="34">
        <f>IF(OR('Historique ajusté'!O113="",ROW()-Fenetre&lt;6),"",IF(INDEX('Historique ajusté'!O:O,ROW()-Fenetre)="","",'Historique ajusté'!O113/INDEX('Historique ajusté'!O:O,ROW()-Fenetre)-1))</f>
        <v/>
      </c>
      <c r="P113" s="34">
        <f>IF(OR('Historique ajusté'!P113="",ROW()-Fenetre&lt;6),"",IF(INDEX('Historique ajusté'!P:P,ROW()-Fenetre)="","",'Historique ajusté'!P113/INDEX('Historique ajusté'!P:P,ROW()-Fenetre)-1))</f>
        <v/>
      </c>
      <c r="Q113" s="34">
        <f>IF(OR(Composites!L113="",ROW()-Fenetre&lt;6),"",IF(INDEX(Composites!L:L,ROW()-Fenetre)="","",Composites!L113/INDEX(Composites!L:L,ROW()-Fenetre)-1))</f>
        <v/>
      </c>
      <c r="R113" s="34">
        <f>IF(OR(Composites!M113="",ROW()-Fenetre&lt;6),"",IF(INDEX(Composites!M:M,ROW()-Fenetre)="","",Composites!M113/INDEX(Composites!M:M,ROW()-Fenetre)-1))</f>
        <v/>
      </c>
      <c r="S113" s="34">
        <f>IF(OR(Composites!N113="",ROW()-Fenetre&lt;6),"",IF(INDEX(Composites!N:N,ROW()-Fenetre)="","",Composites!N113/INDEX(Composites!N:N,ROW()-Fenetre)-1))</f>
        <v/>
      </c>
      <c r="T113" s="34">
        <f>IF(OR(Composites!O113="",ROW()-Fenetre&lt;6),"",IF(INDEX(Composites!O:O,ROW()-Fenetre)="","",Composites!O113/INDEX(Composites!O:O,ROW()-Fenetre)-1))</f>
        <v/>
      </c>
      <c r="U113" s="34">
        <f>IF(OR(Composites!P113="",ROW()-Fenetre&lt;6),"",IF(INDEX(Composites!P:P,ROW()-Fenetre)="","",Composites!P113/INDEX(Composites!P:P,ROW()-Fenetre)-1))</f>
        <v/>
      </c>
      <c r="V113" s="34">
        <f>IF('Historique ajusté'!C113="","",'Historique ajusté'!C113/MAX('Historique ajusté'!C$6:C113)-1)</f>
        <v/>
      </c>
      <c r="W113" s="34">
        <f>IF('Historique ajusté'!D113="","",'Historique ajusté'!D113/MAX('Historique ajusté'!D$6:D113)-1)</f>
        <v/>
      </c>
      <c r="X113" s="34">
        <f>IF('Historique ajusté'!E113="","",'Historique ajusté'!E113/MAX('Historique ajusté'!E$6:E113)-1)</f>
        <v/>
      </c>
      <c r="Y113" s="34">
        <f>IF('Historique ajusté'!F113="","",'Historique ajusté'!F113/MAX('Historique ajusté'!F$6:F113)-1)</f>
        <v/>
      </c>
      <c r="Z113" s="34">
        <f>IF('Historique ajusté'!G113="","",'Historique ajusté'!G113/MAX('Historique ajusté'!G$6:G113)-1)</f>
        <v/>
      </c>
      <c r="AA113" s="34">
        <f>IF('Historique ajusté'!H113="","",'Historique ajusté'!H113/MAX('Historique ajusté'!H$6:H113)-1)</f>
        <v/>
      </c>
      <c r="AB113" s="34">
        <f>IF('Historique ajusté'!I113="","",'Historique ajusté'!I113/MAX('Historique ajusté'!I$6:I113)-1)</f>
        <v/>
      </c>
      <c r="AC113" s="34">
        <f>IF('Historique ajusté'!J113="","",'Historique ajusté'!J113/MAX('Historique ajusté'!J$6:J113)-1)</f>
        <v/>
      </c>
      <c r="AD113" s="34">
        <f>IF('Historique ajusté'!K113="","",'Historique ajusté'!K113/MAX('Historique ajusté'!K$6:K113)-1)</f>
        <v/>
      </c>
      <c r="AE113" s="34">
        <f>IF('Historique ajusté'!L113="","",'Historique ajusté'!L113/MAX('Historique ajusté'!L$6:L113)-1)</f>
        <v/>
      </c>
      <c r="AF113" s="34">
        <f>IF('Historique ajusté'!M113="","",'Historique ajusté'!M113/MAX('Historique ajusté'!M$6:M113)-1)</f>
        <v/>
      </c>
      <c r="AG113" s="34">
        <f>IF('Historique ajusté'!N113="","",'Historique ajusté'!N113/MAX('Historique ajusté'!N$6:N113)-1)</f>
        <v/>
      </c>
      <c r="AH113" s="34">
        <f>IF('Historique ajusté'!O113="","",'Historique ajusté'!O113/MAX('Historique ajusté'!O$6:O113)-1)</f>
        <v/>
      </c>
      <c r="AI113" s="34">
        <f>IF('Historique ajusté'!P113="","",'Historique ajusté'!P113/MAX('Historique ajusté'!P$6:P113)-1)</f>
        <v/>
      </c>
      <c r="AJ113" s="34">
        <f>IF(Composites!L113="","",Composites!L113/MAX(Composites!L$6:L113)-1)</f>
        <v/>
      </c>
      <c r="AK113" s="34">
        <f>IF(Composites!M113="","",Composites!M113/MAX(Composites!M$6:M113)-1)</f>
        <v/>
      </c>
      <c r="AL113" s="34">
        <f>IF(Composites!N113="","",Composites!N113/MAX(Composites!N$6:N113)-1)</f>
        <v/>
      </c>
      <c r="AM113" s="34">
        <f>IF(Composites!O113="","",Composites!O113/MAX(Composites!O$6:O113)-1)</f>
        <v/>
      </c>
      <c r="AN113" s="34">
        <f>IF(Composites!P113="","",Composites!P113/MAX(Composites!P$6:P113)-1)</f>
        <v/>
      </c>
    </row>
    <row r="114">
      <c r="B114" s="32">
        <f>'Historique ajusté'!B114</f>
        <v/>
      </c>
      <c r="C114" s="34">
        <f>IF(OR('Historique ajusté'!C114="",ROW()-Fenetre&lt;6),"",IF(INDEX('Historique ajusté'!C:C,ROW()-Fenetre)="","",'Historique ajusté'!C114/INDEX('Historique ajusté'!C:C,ROW()-Fenetre)-1))</f>
        <v/>
      </c>
      <c r="D114" s="34">
        <f>IF(OR('Historique ajusté'!D114="",ROW()-Fenetre&lt;6),"",IF(INDEX('Historique ajusté'!D:D,ROW()-Fenetre)="","",'Historique ajusté'!D114/INDEX('Historique ajusté'!D:D,ROW()-Fenetre)-1))</f>
        <v/>
      </c>
      <c r="E114" s="34">
        <f>IF(OR('Historique ajusté'!E114="",ROW()-Fenetre&lt;6),"",IF(INDEX('Historique ajusté'!E:E,ROW()-Fenetre)="","",'Historique ajusté'!E114/INDEX('Historique ajusté'!E:E,ROW()-Fenetre)-1))</f>
        <v/>
      </c>
      <c r="F114" s="34">
        <f>IF(OR('Historique ajusté'!F114="",ROW()-Fenetre&lt;6),"",IF(INDEX('Historique ajusté'!F:F,ROW()-Fenetre)="","",'Historique ajusté'!F114/INDEX('Historique ajusté'!F:F,ROW()-Fenetre)-1))</f>
        <v/>
      </c>
      <c r="G114" s="34">
        <f>IF(OR('Historique ajusté'!G114="",ROW()-Fenetre&lt;6),"",IF(INDEX('Historique ajusté'!G:G,ROW()-Fenetre)="","",'Historique ajusté'!G114/INDEX('Historique ajusté'!G:G,ROW()-Fenetre)-1))</f>
        <v/>
      </c>
      <c r="H114" s="34">
        <f>IF(OR('Historique ajusté'!H114="",ROW()-Fenetre&lt;6),"",IF(INDEX('Historique ajusté'!H:H,ROW()-Fenetre)="","",'Historique ajusté'!H114/INDEX('Historique ajusté'!H:H,ROW()-Fenetre)-1))</f>
        <v/>
      </c>
      <c r="I114" s="34">
        <f>IF(OR('Historique ajusté'!I114="",ROW()-Fenetre&lt;6),"",IF(INDEX('Historique ajusté'!I:I,ROW()-Fenetre)="","",'Historique ajusté'!I114/INDEX('Historique ajusté'!I:I,ROW()-Fenetre)-1))</f>
        <v/>
      </c>
      <c r="J114" s="34">
        <f>IF(OR('Historique ajusté'!J114="",ROW()-Fenetre&lt;6),"",IF(INDEX('Historique ajusté'!J:J,ROW()-Fenetre)="","",'Historique ajusté'!J114/INDEX('Historique ajusté'!J:J,ROW()-Fenetre)-1))</f>
        <v/>
      </c>
      <c r="K114" s="34">
        <f>IF(OR('Historique ajusté'!K114="",ROW()-Fenetre&lt;6),"",IF(INDEX('Historique ajusté'!K:K,ROW()-Fenetre)="","",'Historique ajusté'!K114/INDEX('Historique ajusté'!K:K,ROW()-Fenetre)-1))</f>
        <v/>
      </c>
      <c r="L114" s="34">
        <f>IF(OR('Historique ajusté'!L114="",ROW()-Fenetre&lt;6),"",IF(INDEX('Historique ajusté'!L:L,ROW()-Fenetre)="","",'Historique ajusté'!L114/INDEX('Historique ajusté'!L:L,ROW()-Fenetre)-1))</f>
        <v/>
      </c>
      <c r="M114" s="34">
        <f>IF(OR('Historique ajusté'!M114="",ROW()-Fenetre&lt;6),"",IF(INDEX('Historique ajusté'!M:M,ROW()-Fenetre)="","",'Historique ajusté'!M114/INDEX('Historique ajusté'!M:M,ROW()-Fenetre)-1))</f>
        <v/>
      </c>
      <c r="N114" s="34">
        <f>IF(OR('Historique ajusté'!N114="",ROW()-Fenetre&lt;6),"",IF(INDEX('Historique ajusté'!N:N,ROW()-Fenetre)="","",'Historique ajusté'!N114/INDEX('Historique ajusté'!N:N,ROW()-Fenetre)-1))</f>
        <v/>
      </c>
      <c r="O114" s="34">
        <f>IF(OR('Historique ajusté'!O114="",ROW()-Fenetre&lt;6),"",IF(INDEX('Historique ajusté'!O:O,ROW()-Fenetre)="","",'Historique ajusté'!O114/INDEX('Historique ajusté'!O:O,ROW()-Fenetre)-1))</f>
        <v/>
      </c>
      <c r="P114" s="34">
        <f>IF(OR('Historique ajusté'!P114="",ROW()-Fenetre&lt;6),"",IF(INDEX('Historique ajusté'!P:P,ROW()-Fenetre)="","",'Historique ajusté'!P114/INDEX('Historique ajusté'!P:P,ROW()-Fenetre)-1))</f>
        <v/>
      </c>
      <c r="Q114" s="34">
        <f>IF(OR(Composites!L114="",ROW()-Fenetre&lt;6),"",IF(INDEX(Composites!L:L,ROW()-Fenetre)="","",Composites!L114/INDEX(Composites!L:L,ROW()-Fenetre)-1))</f>
        <v/>
      </c>
      <c r="R114" s="34">
        <f>IF(OR(Composites!M114="",ROW()-Fenetre&lt;6),"",IF(INDEX(Composites!M:M,ROW()-Fenetre)="","",Composites!M114/INDEX(Composites!M:M,ROW()-Fenetre)-1))</f>
        <v/>
      </c>
      <c r="S114" s="34">
        <f>IF(OR(Composites!N114="",ROW()-Fenetre&lt;6),"",IF(INDEX(Composites!N:N,ROW()-Fenetre)="","",Composites!N114/INDEX(Composites!N:N,ROW()-Fenetre)-1))</f>
        <v/>
      </c>
      <c r="T114" s="34">
        <f>IF(OR(Composites!O114="",ROW()-Fenetre&lt;6),"",IF(INDEX(Composites!O:O,ROW()-Fenetre)="","",Composites!O114/INDEX(Composites!O:O,ROW()-Fenetre)-1))</f>
        <v/>
      </c>
      <c r="U114" s="34">
        <f>IF(OR(Composites!P114="",ROW()-Fenetre&lt;6),"",IF(INDEX(Composites!P:P,ROW()-Fenetre)="","",Composites!P114/INDEX(Composites!P:P,ROW()-Fenetre)-1))</f>
        <v/>
      </c>
      <c r="V114" s="34">
        <f>IF('Historique ajusté'!C114="","",'Historique ajusté'!C114/MAX('Historique ajusté'!C$6:C114)-1)</f>
        <v/>
      </c>
      <c r="W114" s="34">
        <f>IF('Historique ajusté'!D114="","",'Historique ajusté'!D114/MAX('Historique ajusté'!D$6:D114)-1)</f>
        <v/>
      </c>
      <c r="X114" s="34">
        <f>IF('Historique ajusté'!E114="","",'Historique ajusté'!E114/MAX('Historique ajusté'!E$6:E114)-1)</f>
        <v/>
      </c>
      <c r="Y114" s="34">
        <f>IF('Historique ajusté'!F114="","",'Historique ajusté'!F114/MAX('Historique ajusté'!F$6:F114)-1)</f>
        <v/>
      </c>
      <c r="Z114" s="34">
        <f>IF('Historique ajusté'!G114="","",'Historique ajusté'!G114/MAX('Historique ajusté'!G$6:G114)-1)</f>
        <v/>
      </c>
      <c r="AA114" s="34">
        <f>IF('Historique ajusté'!H114="","",'Historique ajusté'!H114/MAX('Historique ajusté'!H$6:H114)-1)</f>
        <v/>
      </c>
      <c r="AB114" s="34">
        <f>IF('Historique ajusté'!I114="","",'Historique ajusté'!I114/MAX('Historique ajusté'!I$6:I114)-1)</f>
        <v/>
      </c>
      <c r="AC114" s="34">
        <f>IF('Historique ajusté'!J114="","",'Historique ajusté'!J114/MAX('Historique ajusté'!J$6:J114)-1)</f>
        <v/>
      </c>
      <c r="AD114" s="34">
        <f>IF('Historique ajusté'!K114="","",'Historique ajusté'!K114/MAX('Historique ajusté'!K$6:K114)-1)</f>
        <v/>
      </c>
      <c r="AE114" s="34">
        <f>IF('Historique ajusté'!L114="","",'Historique ajusté'!L114/MAX('Historique ajusté'!L$6:L114)-1)</f>
        <v/>
      </c>
      <c r="AF114" s="34">
        <f>IF('Historique ajusté'!M114="","",'Historique ajusté'!M114/MAX('Historique ajusté'!M$6:M114)-1)</f>
        <v/>
      </c>
      <c r="AG114" s="34">
        <f>IF('Historique ajusté'!N114="","",'Historique ajusté'!N114/MAX('Historique ajusté'!N$6:N114)-1)</f>
        <v/>
      </c>
      <c r="AH114" s="34">
        <f>IF('Historique ajusté'!O114="","",'Historique ajusté'!O114/MAX('Historique ajusté'!O$6:O114)-1)</f>
        <v/>
      </c>
      <c r="AI114" s="34">
        <f>IF('Historique ajusté'!P114="","",'Historique ajusté'!P114/MAX('Historique ajusté'!P$6:P114)-1)</f>
        <v/>
      </c>
      <c r="AJ114" s="34">
        <f>IF(Composites!L114="","",Composites!L114/MAX(Composites!L$6:L114)-1)</f>
        <v/>
      </c>
      <c r="AK114" s="34">
        <f>IF(Composites!M114="","",Composites!M114/MAX(Composites!M$6:M114)-1)</f>
        <v/>
      </c>
      <c r="AL114" s="34">
        <f>IF(Composites!N114="","",Composites!N114/MAX(Composites!N$6:N114)-1)</f>
        <v/>
      </c>
      <c r="AM114" s="34">
        <f>IF(Composites!O114="","",Composites!O114/MAX(Composites!O$6:O114)-1)</f>
        <v/>
      </c>
      <c r="AN114" s="34">
        <f>IF(Composites!P114="","",Composites!P114/MAX(Composites!P$6:P114)-1)</f>
        <v/>
      </c>
    </row>
    <row r="115">
      <c r="B115" s="32">
        <f>'Historique ajusté'!B115</f>
        <v/>
      </c>
      <c r="C115" s="34">
        <f>IF(OR('Historique ajusté'!C115="",ROW()-Fenetre&lt;6),"",IF(INDEX('Historique ajusté'!C:C,ROW()-Fenetre)="","",'Historique ajusté'!C115/INDEX('Historique ajusté'!C:C,ROW()-Fenetre)-1))</f>
        <v/>
      </c>
      <c r="D115" s="34">
        <f>IF(OR('Historique ajusté'!D115="",ROW()-Fenetre&lt;6),"",IF(INDEX('Historique ajusté'!D:D,ROW()-Fenetre)="","",'Historique ajusté'!D115/INDEX('Historique ajusté'!D:D,ROW()-Fenetre)-1))</f>
        <v/>
      </c>
      <c r="E115" s="34">
        <f>IF(OR('Historique ajusté'!E115="",ROW()-Fenetre&lt;6),"",IF(INDEX('Historique ajusté'!E:E,ROW()-Fenetre)="","",'Historique ajusté'!E115/INDEX('Historique ajusté'!E:E,ROW()-Fenetre)-1))</f>
        <v/>
      </c>
      <c r="F115" s="34">
        <f>IF(OR('Historique ajusté'!F115="",ROW()-Fenetre&lt;6),"",IF(INDEX('Historique ajusté'!F:F,ROW()-Fenetre)="","",'Historique ajusté'!F115/INDEX('Historique ajusté'!F:F,ROW()-Fenetre)-1))</f>
        <v/>
      </c>
      <c r="G115" s="34">
        <f>IF(OR('Historique ajusté'!G115="",ROW()-Fenetre&lt;6),"",IF(INDEX('Historique ajusté'!G:G,ROW()-Fenetre)="","",'Historique ajusté'!G115/INDEX('Historique ajusté'!G:G,ROW()-Fenetre)-1))</f>
        <v/>
      </c>
      <c r="H115" s="34">
        <f>IF(OR('Historique ajusté'!H115="",ROW()-Fenetre&lt;6),"",IF(INDEX('Historique ajusté'!H:H,ROW()-Fenetre)="","",'Historique ajusté'!H115/INDEX('Historique ajusté'!H:H,ROW()-Fenetre)-1))</f>
        <v/>
      </c>
      <c r="I115" s="34">
        <f>IF(OR('Historique ajusté'!I115="",ROW()-Fenetre&lt;6),"",IF(INDEX('Historique ajusté'!I:I,ROW()-Fenetre)="","",'Historique ajusté'!I115/INDEX('Historique ajusté'!I:I,ROW()-Fenetre)-1))</f>
        <v/>
      </c>
      <c r="J115" s="34">
        <f>IF(OR('Historique ajusté'!J115="",ROW()-Fenetre&lt;6),"",IF(INDEX('Historique ajusté'!J:J,ROW()-Fenetre)="","",'Historique ajusté'!J115/INDEX('Historique ajusté'!J:J,ROW()-Fenetre)-1))</f>
        <v/>
      </c>
      <c r="K115" s="34">
        <f>IF(OR('Historique ajusté'!K115="",ROW()-Fenetre&lt;6),"",IF(INDEX('Historique ajusté'!K:K,ROW()-Fenetre)="","",'Historique ajusté'!K115/INDEX('Historique ajusté'!K:K,ROW()-Fenetre)-1))</f>
        <v/>
      </c>
      <c r="L115" s="34">
        <f>IF(OR('Historique ajusté'!L115="",ROW()-Fenetre&lt;6),"",IF(INDEX('Historique ajusté'!L:L,ROW()-Fenetre)="","",'Historique ajusté'!L115/INDEX('Historique ajusté'!L:L,ROW()-Fenetre)-1))</f>
        <v/>
      </c>
      <c r="M115" s="34">
        <f>IF(OR('Historique ajusté'!M115="",ROW()-Fenetre&lt;6),"",IF(INDEX('Historique ajusté'!M:M,ROW()-Fenetre)="","",'Historique ajusté'!M115/INDEX('Historique ajusté'!M:M,ROW()-Fenetre)-1))</f>
        <v/>
      </c>
      <c r="N115" s="34">
        <f>IF(OR('Historique ajusté'!N115="",ROW()-Fenetre&lt;6),"",IF(INDEX('Historique ajusté'!N:N,ROW()-Fenetre)="","",'Historique ajusté'!N115/INDEX('Historique ajusté'!N:N,ROW()-Fenetre)-1))</f>
        <v/>
      </c>
      <c r="O115" s="34">
        <f>IF(OR('Historique ajusté'!O115="",ROW()-Fenetre&lt;6),"",IF(INDEX('Historique ajusté'!O:O,ROW()-Fenetre)="","",'Historique ajusté'!O115/INDEX('Historique ajusté'!O:O,ROW()-Fenetre)-1))</f>
        <v/>
      </c>
      <c r="P115" s="34">
        <f>IF(OR('Historique ajusté'!P115="",ROW()-Fenetre&lt;6),"",IF(INDEX('Historique ajusté'!P:P,ROW()-Fenetre)="","",'Historique ajusté'!P115/INDEX('Historique ajusté'!P:P,ROW()-Fenetre)-1))</f>
        <v/>
      </c>
      <c r="Q115" s="34">
        <f>IF(OR(Composites!L115="",ROW()-Fenetre&lt;6),"",IF(INDEX(Composites!L:L,ROW()-Fenetre)="","",Composites!L115/INDEX(Composites!L:L,ROW()-Fenetre)-1))</f>
        <v/>
      </c>
      <c r="R115" s="34">
        <f>IF(OR(Composites!M115="",ROW()-Fenetre&lt;6),"",IF(INDEX(Composites!M:M,ROW()-Fenetre)="","",Composites!M115/INDEX(Composites!M:M,ROW()-Fenetre)-1))</f>
        <v/>
      </c>
      <c r="S115" s="34">
        <f>IF(OR(Composites!N115="",ROW()-Fenetre&lt;6),"",IF(INDEX(Composites!N:N,ROW()-Fenetre)="","",Composites!N115/INDEX(Composites!N:N,ROW()-Fenetre)-1))</f>
        <v/>
      </c>
      <c r="T115" s="34">
        <f>IF(OR(Composites!O115="",ROW()-Fenetre&lt;6),"",IF(INDEX(Composites!O:O,ROW()-Fenetre)="","",Composites!O115/INDEX(Composites!O:O,ROW()-Fenetre)-1))</f>
        <v/>
      </c>
      <c r="U115" s="34">
        <f>IF(OR(Composites!P115="",ROW()-Fenetre&lt;6),"",IF(INDEX(Composites!P:P,ROW()-Fenetre)="","",Composites!P115/INDEX(Composites!P:P,ROW()-Fenetre)-1))</f>
        <v/>
      </c>
      <c r="V115" s="34">
        <f>IF('Historique ajusté'!C115="","",'Historique ajusté'!C115/MAX('Historique ajusté'!C$6:C115)-1)</f>
        <v/>
      </c>
      <c r="W115" s="34">
        <f>IF('Historique ajusté'!D115="","",'Historique ajusté'!D115/MAX('Historique ajusté'!D$6:D115)-1)</f>
        <v/>
      </c>
      <c r="X115" s="34">
        <f>IF('Historique ajusté'!E115="","",'Historique ajusté'!E115/MAX('Historique ajusté'!E$6:E115)-1)</f>
        <v/>
      </c>
      <c r="Y115" s="34">
        <f>IF('Historique ajusté'!F115="","",'Historique ajusté'!F115/MAX('Historique ajusté'!F$6:F115)-1)</f>
        <v/>
      </c>
      <c r="Z115" s="34">
        <f>IF('Historique ajusté'!G115="","",'Historique ajusté'!G115/MAX('Historique ajusté'!G$6:G115)-1)</f>
        <v/>
      </c>
      <c r="AA115" s="34">
        <f>IF('Historique ajusté'!H115="","",'Historique ajusté'!H115/MAX('Historique ajusté'!H$6:H115)-1)</f>
        <v/>
      </c>
      <c r="AB115" s="34">
        <f>IF('Historique ajusté'!I115="","",'Historique ajusté'!I115/MAX('Historique ajusté'!I$6:I115)-1)</f>
        <v/>
      </c>
      <c r="AC115" s="34">
        <f>IF('Historique ajusté'!J115="","",'Historique ajusté'!J115/MAX('Historique ajusté'!J$6:J115)-1)</f>
        <v/>
      </c>
      <c r="AD115" s="34">
        <f>IF('Historique ajusté'!K115="","",'Historique ajusté'!K115/MAX('Historique ajusté'!K$6:K115)-1)</f>
        <v/>
      </c>
      <c r="AE115" s="34">
        <f>IF('Historique ajusté'!L115="","",'Historique ajusté'!L115/MAX('Historique ajusté'!L$6:L115)-1)</f>
        <v/>
      </c>
      <c r="AF115" s="34">
        <f>IF('Historique ajusté'!M115="","",'Historique ajusté'!M115/MAX('Historique ajusté'!M$6:M115)-1)</f>
        <v/>
      </c>
      <c r="AG115" s="34">
        <f>IF('Historique ajusté'!N115="","",'Historique ajusté'!N115/MAX('Historique ajusté'!N$6:N115)-1)</f>
        <v/>
      </c>
      <c r="AH115" s="34">
        <f>IF('Historique ajusté'!O115="","",'Historique ajusté'!O115/MAX('Historique ajusté'!O$6:O115)-1)</f>
        <v/>
      </c>
      <c r="AI115" s="34">
        <f>IF('Historique ajusté'!P115="","",'Historique ajusté'!P115/MAX('Historique ajusté'!P$6:P115)-1)</f>
        <v/>
      </c>
      <c r="AJ115" s="34">
        <f>IF(Composites!L115="","",Composites!L115/MAX(Composites!L$6:L115)-1)</f>
        <v/>
      </c>
      <c r="AK115" s="34">
        <f>IF(Composites!M115="","",Composites!M115/MAX(Composites!M$6:M115)-1)</f>
        <v/>
      </c>
      <c r="AL115" s="34">
        <f>IF(Composites!N115="","",Composites!N115/MAX(Composites!N$6:N115)-1)</f>
        <v/>
      </c>
      <c r="AM115" s="34">
        <f>IF(Composites!O115="","",Composites!O115/MAX(Composites!O$6:O115)-1)</f>
        <v/>
      </c>
      <c r="AN115" s="34">
        <f>IF(Composites!P115="","",Composites!P115/MAX(Composites!P$6:P115)-1)</f>
        <v/>
      </c>
    </row>
    <row r="116">
      <c r="B116" s="32">
        <f>'Historique ajusté'!B116</f>
        <v/>
      </c>
      <c r="C116" s="34">
        <f>IF(OR('Historique ajusté'!C116="",ROW()-Fenetre&lt;6),"",IF(INDEX('Historique ajusté'!C:C,ROW()-Fenetre)="","",'Historique ajusté'!C116/INDEX('Historique ajusté'!C:C,ROW()-Fenetre)-1))</f>
        <v/>
      </c>
      <c r="D116" s="34">
        <f>IF(OR('Historique ajusté'!D116="",ROW()-Fenetre&lt;6),"",IF(INDEX('Historique ajusté'!D:D,ROW()-Fenetre)="","",'Historique ajusté'!D116/INDEX('Historique ajusté'!D:D,ROW()-Fenetre)-1))</f>
        <v/>
      </c>
      <c r="E116" s="34">
        <f>IF(OR('Historique ajusté'!E116="",ROW()-Fenetre&lt;6),"",IF(INDEX('Historique ajusté'!E:E,ROW()-Fenetre)="","",'Historique ajusté'!E116/INDEX('Historique ajusté'!E:E,ROW()-Fenetre)-1))</f>
        <v/>
      </c>
      <c r="F116" s="34">
        <f>IF(OR('Historique ajusté'!F116="",ROW()-Fenetre&lt;6),"",IF(INDEX('Historique ajusté'!F:F,ROW()-Fenetre)="","",'Historique ajusté'!F116/INDEX('Historique ajusté'!F:F,ROW()-Fenetre)-1))</f>
        <v/>
      </c>
      <c r="G116" s="34">
        <f>IF(OR('Historique ajusté'!G116="",ROW()-Fenetre&lt;6),"",IF(INDEX('Historique ajusté'!G:G,ROW()-Fenetre)="","",'Historique ajusté'!G116/INDEX('Historique ajusté'!G:G,ROW()-Fenetre)-1))</f>
        <v/>
      </c>
      <c r="H116" s="34">
        <f>IF(OR('Historique ajusté'!H116="",ROW()-Fenetre&lt;6),"",IF(INDEX('Historique ajusté'!H:H,ROW()-Fenetre)="","",'Historique ajusté'!H116/INDEX('Historique ajusté'!H:H,ROW()-Fenetre)-1))</f>
        <v/>
      </c>
      <c r="I116" s="34">
        <f>IF(OR('Historique ajusté'!I116="",ROW()-Fenetre&lt;6),"",IF(INDEX('Historique ajusté'!I:I,ROW()-Fenetre)="","",'Historique ajusté'!I116/INDEX('Historique ajusté'!I:I,ROW()-Fenetre)-1))</f>
        <v/>
      </c>
      <c r="J116" s="34">
        <f>IF(OR('Historique ajusté'!J116="",ROW()-Fenetre&lt;6),"",IF(INDEX('Historique ajusté'!J:J,ROW()-Fenetre)="","",'Historique ajusté'!J116/INDEX('Historique ajusté'!J:J,ROW()-Fenetre)-1))</f>
        <v/>
      </c>
      <c r="K116" s="34">
        <f>IF(OR('Historique ajusté'!K116="",ROW()-Fenetre&lt;6),"",IF(INDEX('Historique ajusté'!K:K,ROW()-Fenetre)="","",'Historique ajusté'!K116/INDEX('Historique ajusté'!K:K,ROW()-Fenetre)-1))</f>
        <v/>
      </c>
      <c r="L116" s="34">
        <f>IF(OR('Historique ajusté'!L116="",ROW()-Fenetre&lt;6),"",IF(INDEX('Historique ajusté'!L:L,ROW()-Fenetre)="","",'Historique ajusté'!L116/INDEX('Historique ajusté'!L:L,ROW()-Fenetre)-1))</f>
        <v/>
      </c>
      <c r="M116" s="34">
        <f>IF(OR('Historique ajusté'!M116="",ROW()-Fenetre&lt;6),"",IF(INDEX('Historique ajusté'!M:M,ROW()-Fenetre)="","",'Historique ajusté'!M116/INDEX('Historique ajusté'!M:M,ROW()-Fenetre)-1))</f>
        <v/>
      </c>
      <c r="N116" s="34">
        <f>IF(OR('Historique ajusté'!N116="",ROW()-Fenetre&lt;6),"",IF(INDEX('Historique ajusté'!N:N,ROW()-Fenetre)="","",'Historique ajusté'!N116/INDEX('Historique ajusté'!N:N,ROW()-Fenetre)-1))</f>
        <v/>
      </c>
      <c r="O116" s="34">
        <f>IF(OR('Historique ajusté'!O116="",ROW()-Fenetre&lt;6),"",IF(INDEX('Historique ajusté'!O:O,ROW()-Fenetre)="","",'Historique ajusté'!O116/INDEX('Historique ajusté'!O:O,ROW()-Fenetre)-1))</f>
        <v/>
      </c>
      <c r="P116" s="34">
        <f>IF(OR('Historique ajusté'!P116="",ROW()-Fenetre&lt;6),"",IF(INDEX('Historique ajusté'!P:P,ROW()-Fenetre)="","",'Historique ajusté'!P116/INDEX('Historique ajusté'!P:P,ROW()-Fenetre)-1))</f>
        <v/>
      </c>
      <c r="Q116" s="34">
        <f>IF(OR(Composites!L116="",ROW()-Fenetre&lt;6),"",IF(INDEX(Composites!L:L,ROW()-Fenetre)="","",Composites!L116/INDEX(Composites!L:L,ROW()-Fenetre)-1))</f>
        <v/>
      </c>
      <c r="R116" s="34">
        <f>IF(OR(Composites!M116="",ROW()-Fenetre&lt;6),"",IF(INDEX(Composites!M:M,ROW()-Fenetre)="","",Composites!M116/INDEX(Composites!M:M,ROW()-Fenetre)-1))</f>
        <v/>
      </c>
      <c r="S116" s="34">
        <f>IF(OR(Composites!N116="",ROW()-Fenetre&lt;6),"",IF(INDEX(Composites!N:N,ROW()-Fenetre)="","",Composites!N116/INDEX(Composites!N:N,ROW()-Fenetre)-1))</f>
        <v/>
      </c>
      <c r="T116" s="34">
        <f>IF(OR(Composites!O116="",ROW()-Fenetre&lt;6),"",IF(INDEX(Composites!O:O,ROW()-Fenetre)="","",Composites!O116/INDEX(Composites!O:O,ROW()-Fenetre)-1))</f>
        <v/>
      </c>
      <c r="U116" s="34">
        <f>IF(OR(Composites!P116="",ROW()-Fenetre&lt;6),"",IF(INDEX(Composites!P:P,ROW()-Fenetre)="","",Composites!P116/INDEX(Composites!P:P,ROW()-Fenetre)-1))</f>
        <v/>
      </c>
      <c r="V116" s="34">
        <f>IF('Historique ajusté'!C116="","",'Historique ajusté'!C116/MAX('Historique ajusté'!C$6:C116)-1)</f>
        <v/>
      </c>
      <c r="W116" s="34">
        <f>IF('Historique ajusté'!D116="","",'Historique ajusté'!D116/MAX('Historique ajusté'!D$6:D116)-1)</f>
        <v/>
      </c>
      <c r="X116" s="34">
        <f>IF('Historique ajusté'!E116="","",'Historique ajusté'!E116/MAX('Historique ajusté'!E$6:E116)-1)</f>
        <v/>
      </c>
      <c r="Y116" s="34">
        <f>IF('Historique ajusté'!F116="","",'Historique ajusté'!F116/MAX('Historique ajusté'!F$6:F116)-1)</f>
        <v/>
      </c>
      <c r="Z116" s="34">
        <f>IF('Historique ajusté'!G116="","",'Historique ajusté'!G116/MAX('Historique ajusté'!G$6:G116)-1)</f>
        <v/>
      </c>
      <c r="AA116" s="34">
        <f>IF('Historique ajusté'!H116="","",'Historique ajusté'!H116/MAX('Historique ajusté'!H$6:H116)-1)</f>
        <v/>
      </c>
      <c r="AB116" s="34">
        <f>IF('Historique ajusté'!I116="","",'Historique ajusté'!I116/MAX('Historique ajusté'!I$6:I116)-1)</f>
        <v/>
      </c>
      <c r="AC116" s="34">
        <f>IF('Historique ajusté'!J116="","",'Historique ajusté'!J116/MAX('Historique ajusté'!J$6:J116)-1)</f>
        <v/>
      </c>
      <c r="AD116" s="34">
        <f>IF('Historique ajusté'!K116="","",'Historique ajusté'!K116/MAX('Historique ajusté'!K$6:K116)-1)</f>
        <v/>
      </c>
      <c r="AE116" s="34">
        <f>IF('Historique ajusté'!L116="","",'Historique ajusté'!L116/MAX('Historique ajusté'!L$6:L116)-1)</f>
        <v/>
      </c>
      <c r="AF116" s="34">
        <f>IF('Historique ajusté'!M116="","",'Historique ajusté'!M116/MAX('Historique ajusté'!M$6:M116)-1)</f>
        <v/>
      </c>
      <c r="AG116" s="34">
        <f>IF('Historique ajusté'!N116="","",'Historique ajusté'!N116/MAX('Historique ajusté'!N$6:N116)-1)</f>
        <v/>
      </c>
      <c r="AH116" s="34">
        <f>IF('Historique ajusté'!O116="","",'Historique ajusté'!O116/MAX('Historique ajusté'!O$6:O116)-1)</f>
        <v/>
      </c>
      <c r="AI116" s="34">
        <f>IF('Historique ajusté'!P116="","",'Historique ajusté'!P116/MAX('Historique ajusté'!P$6:P116)-1)</f>
        <v/>
      </c>
      <c r="AJ116" s="34">
        <f>IF(Composites!L116="","",Composites!L116/MAX(Composites!L$6:L116)-1)</f>
        <v/>
      </c>
      <c r="AK116" s="34">
        <f>IF(Composites!M116="","",Composites!M116/MAX(Composites!M$6:M116)-1)</f>
        <v/>
      </c>
      <c r="AL116" s="34">
        <f>IF(Composites!N116="","",Composites!N116/MAX(Composites!N$6:N116)-1)</f>
        <v/>
      </c>
      <c r="AM116" s="34">
        <f>IF(Composites!O116="","",Composites!O116/MAX(Composites!O$6:O116)-1)</f>
        <v/>
      </c>
      <c r="AN116" s="34">
        <f>IF(Composites!P116="","",Composites!P116/MAX(Composites!P$6:P116)-1)</f>
        <v/>
      </c>
    </row>
    <row r="117">
      <c r="B117" s="32">
        <f>'Historique ajusté'!B117</f>
        <v/>
      </c>
      <c r="C117" s="34">
        <f>IF(OR('Historique ajusté'!C117="",ROW()-Fenetre&lt;6),"",IF(INDEX('Historique ajusté'!C:C,ROW()-Fenetre)="","",'Historique ajusté'!C117/INDEX('Historique ajusté'!C:C,ROW()-Fenetre)-1))</f>
        <v/>
      </c>
      <c r="D117" s="34">
        <f>IF(OR('Historique ajusté'!D117="",ROW()-Fenetre&lt;6),"",IF(INDEX('Historique ajusté'!D:D,ROW()-Fenetre)="","",'Historique ajusté'!D117/INDEX('Historique ajusté'!D:D,ROW()-Fenetre)-1))</f>
        <v/>
      </c>
      <c r="E117" s="34">
        <f>IF(OR('Historique ajusté'!E117="",ROW()-Fenetre&lt;6),"",IF(INDEX('Historique ajusté'!E:E,ROW()-Fenetre)="","",'Historique ajusté'!E117/INDEX('Historique ajusté'!E:E,ROW()-Fenetre)-1))</f>
        <v/>
      </c>
      <c r="F117" s="34">
        <f>IF(OR('Historique ajusté'!F117="",ROW()-Fenetre&lt;6),"",IF(INDEX('Historique ajusté'!F:F,ROW()-Fenetre)="","",'Historique ajusté'!F117/INDEX('Historique ajusté'!F:F,ROW()-Fenetre)-1))</f>
        <v/>
      </c>
      <c r="G117" s="34">
        <f>IF(OR('Historique ajusté'!G117="",ROW()-Fenetre&lt;6),"",IF(INDEX('Historique ajusté'!G:G,ROW()-Fenetre)="","",'Historique ajusté'!G117/INDEX('Historique ajusté'!G:G,ROW()-Fenetre)-1))</f>
        <v/>
      </c>
      <c r="H117" s="34">
        <f>IF(OR('Historique ajusté'!H117="",ROW()-Fenetre&lt;6),"",IF(INDEX('Historique ajusté'!H:H,ROW()-Fenetre)="","",'Historique ajusté'!H117/INDEX('Historique ajusté'!H:H,ROW()-Fenetre)-1))</f>
        <v/>
      </c>
      <c r="I117" s="34">
        <f>IF(OR('Historique ajusté'!I117="",ROW()-Fenetre&lt;6),"",IF(INDEX('Historique ajusté'!I:I,ROW()-Fenetre)="","",'Historique ajusté'!I117/INDEX('Historique ajusté'!I:I,ROW()-Fenetre)-1))</f>
        <v/>
      </c>
      <c r="J117" s="34">
        <f>IF(OR('Historique ajusté'!J117="",ROW()-Fenetre&lt;6),"",IF(INDEX('Historique ajusté'!J:J,ROW()-Fenetre)="","",'Historique ajusté'!J117/INDEX('Historique ajusté'!J:J,ROW()-Fenetre)-1))</f>
        <v/>
      </c>
      <c r="K117" s="34">
        <f>IF(OR('Historique ajusté'!K117="",ROW()-Fenetre&lt;6),"",IF(INDEX('Historique ajusté'!K:K,ROW()-Fenetre)="","",'Historique ajusté'!K117/INDEX('Historique ajusté'!K:K,ROW()-Fenetre)-1))</f>
        <v/>
      </c>
      <c r="L117" s="34">
        <f>IF(OR('Historique ajusté'!L117="",ROW()-Fenetre&lt;6),"",IF(INDEX('Historique ajusté'!L:L,ROW()-Fenetre)="","",'Historique ajusté'!L117/INDEX('Historique ajusté'!L:L,ROW()-Fenetre)-1))</f>
        <v/>
      </c>
      <c r="M117" s="34">
        <f>IF(OR('Historique ajusté'!M117="",ROW()-Fenetre&lt;6),"",IF(INDEX('Historique ajusté'!M:M,ROW()-Fenetre)="","",'Historique ajusté'!M117/INDEX('Historique ajusté'!M:M,ROW()-Fenetre)-1))</f>
        <v/>
      </c>
      <c r="N117" s="34">
        <f>IF(OR('Historique ajusté'!N117="",ROW()-Fenetre&lt;6),"",IF(INDEX('Historique ajusté'!N:N,ROW()-Fenetre)="","",'Historique ajusté'!N117/INDEX('Historique ajusté'!N:N,ROW()-Fenetre)-1))</f>
        <v/>
      </c>
      <c r="O117" s="34">
        <f>IF(OR('Historique ajusté'!O117="",ROW()-Fenetre&lt;6),"",IF(INDEX('Historique ajusté'!O:O,ROW()-Fenetre)="","",'Historique ajusté'!O117/INDEX('Historique ajusté'!O:O,ROW()-Fenetre)-1))</f>
        <v/>
      </c>
      <c r="P117" s="34">
        <f>IF(OR('Historique ajusté'!P117="",ROW()-Fenetre&lt;6),"",IF(INDEX('Historique ajusté'!P:P,ROW()-Fenetre)="","",'Historique ajusté'!P117/INDEX('Historique ajusté'!P:P,ROW()-Fenetre)-1))</f>
        <v/>
      </c>
      <c r="Q117" s="34">
        <f>IF(OR(Composites!L117="",ROW()-Fenetre&lt;6),"",IF(INDEX(Composites!L:L,ROW()-Fenetre)="","",Composites!L117/INDEX(Composites!L:L,ROW()-Fenetre)-1))</f>
        <v/>
      </c>
      <c r="R117" s="34">
        <f>IF(OR(Composites!M117="",ROW()-Fenetre&lt;6),"",IF(INDEX(Composites!M:M,ROW()-Fenetre)="","",Composites!M117/INDEX(Composites!M:M,ROW()-Fenetre)-1))</f>
        <v/>
      </c>
      <c r="S117" s="34">
        <f>IF(OR(Composites!N117="",ROW()-Fenetre&lt;6),"",IF(INDEX(Composites!N:N,ROW()-Fenetre)="","",Composites!N117/INDEX(Composites!N:N,ROW()-Fenetre)-1))</f>
        <v/>
      </c>
      <c r="T117" s="34">
        <f>IF(OR(Composites!O117="",ROW()-Fenetre&lt;6),"",IF(INDEX(Composites!O:O,ROW()-Fenetre)="","",Composites!O117/INDEX(Composites!O:O,ROW()-Fenetre)-1))</f>
        <v/>
      </c>
      <c r="U117" s="34">
        <f>IF(OR(Composites!P117="",ROW()-Fenetre&lt;6),"",IF(INDEX(Composites!P:P,ROW()-Fenetre)="","",Composites!P117/INDEX(Composites!P:P,ROW()-Fenetre)-1))</f>
        <v/>
      </c>
      <c r="V117" s="34">
        <f>IF('Historique ajusté'!C117="","",'Historique ajusté'!C117/MAX('Historique ajusté'!C$6:C117)-1)</f>
        <v/>
      </c>
      <c r="W117" s="34">
        <f>IF('Historique ajusté'!D117="","",'Historique ajusté'!D117/MAX('Historique ajusté'!D$6:D117)-1)</f>
        <v/>
      </c>
      <c r="X117" s="34">
        <f>IF('Historique ajusté'!E117="","",'Historique ajusté'!E117/MAX('Historique ajusté'!E$6:E117)-1)</f>
        <v/>
      </c>
      <c r="Y117" s="34">
        <f>IF('Historique ajusté'!F117="","",'Historique ajusté'!F117/MAX('Historique ajusté'!F$6:F117)-1)</f>
        <v/>
      </c>
      <c r="Z117" s="34">
        <f>IF('Historique ajusté'!G117="","",'Historique ajusté'!G117/MAX('Historique ajusté'!G$6:G117)-1)</f>
        <v/>
      </c>
      <c r="AA117" s="34">
        <f>IF('Historique ajusté'!H117="","",'Historique ajusté'!H117/MAX('Historique ajusté'!H$6:H117)-1)</f>
        <v/>
      </c>
      <c r="AB117" s="34">
        <f>IF('Historique ajusté'!I117="","",'Historique ajusté'!I117/MAX('Historique ajusté'!I$6:I117)-1)</f>
        <v/>
      </c>
      <c r="AC117" s="34">
        <f>IF('Historique ajusté'!J117="","",'Historique ajusté'!J117/MAX('Historique ajusté'!J$6:J117)-1)</f>
        <v/>
      </c>
      <c r="AD117" s="34">
        <f>IF('Historique ajusté'!K117="","",'Historique ajusté'!K117/MAX('Historique ajusté'!K$6:K117)-1)</f>
        <v/>
      </c>
      <c r="AE117" s="34">
        <f>IF('Historique ajusté'!L117="","",'Historique ajusté'!L117/MAX('Historique ajusté'!L$6:L117)-1)</f>
        <v/>
      </c>
      <c r="AF117" s="34">
        <f>IF('Historique ajusté'!M117="","",'Historique ajusté'!M117/MAX('Historique ajusté'!M$6:M117)-1)</f>
        <v/>
      </c>
      <c r="AG117" s="34">
        <f>IF('Historique ajusté'!N117="","",'Historique ajusté'!N117/MAX('Historique ajusté'!N$6:N117)-1)</f>
        <v/>
      </c>
      <c r="AH117" s="34">
        <f>IF('Historique ajusté'!O117="","",'Historique ajusté'!O117/MAX('Historique ajusté'!O$6:O117)-1)</f>
        <v/>
      </c>
      <c r="AI117" s="34">
        <f>IF('Historique ajusté'!P117="","",'Historique ajusté'!P117/MAX('Historique ajusté'!P$6:P117)-1)</f>
        <v/>
      </c>
      <c r="AJ117" s="34">
        <f>IF(Composites!L117="","",Composites!L117/MAX(Composites!L$6:L117)-1)</f>
        <v/>
      </c>
      <c r="AK117" s="34">
        <f>IF(Composites!M117="","",Composites!M117/MAX(Composites!M$6:M117)-1)</f>
        <v/>
      </c>
      <c r="AL117" s="34">
        <f>IF(Composites!N117="","",Composites!N117/MAX(Composites!N$6:N117)-1)</f>
        <v/>
      </c>
      <c r="AM117" s="34">
        <f>IF(Composites!O117="","",Composites!O117/MAX(Composites!O$6:O117)-1)</f>
        <v/>
      </c>
      <c r="AN117" s="34">
        <f>IF(Composites!P117="","",Composites!P117/MAX(Composites!P$6:P117)-1)</f>
        <v/>
      </c>
    </row>
    <row r="118">
      <c r="B118" s="32">
        <f>'Historique ajusté'!B118</f>
        <v/>
      </c>
      <c r="C118" s="34">
        <f>IF(OR('Historique ajusté'!C118="",ROW()-Fenetre&lt;6),"",IF(INDEX('Historique ajusté'!C:C,ROW()-Fenetre)="","",'Historique ajusté'!C118/INDEX('Historique ajusté'!C:C,ROW()-Fenetre)-1))</f>
        <v/>
      </c>
      <c r="D118" s="34">
        <f>IF(OR('Historique ajusté'!D118="",ROW()-Fenetre&lt;6),"",IF(INDEX('Historique ajusté'!D:D,ROW()-Fenetre)="","",'Historique ajusté'!D118/INDEX('Historique ajusté'!D:D,ROW()-Fenetre)-1))</f>
        <v/>
      </c>
      <c r="E118" s="34">
        <f>IF(OR('Historique ajusté'!E118="",ROW()-Fenetre&lt;6),"",IF(INDEX('Historique ajusté'!E:E,ROW()-Fenetre)="","",'Historique ajusté'!E118/INDEX('Historique ajusté'!E:E,ROW()-Fenetre)-1))</f>
        <v/>
      </c>
      <c r="F118" s="34">
        <f>IF(OR('Historique ajusté'!F118="",ROW()-Fenetre&lt;6),"",IF(INDEX('Historique ajusté'!F:F,ROW()-Fenetre)="","",'Historique ajusté'!F118/INDEX('Historique ajusté'!F:F,ROW()-Fenetre)-1))</f>
        <v/>
      </c>
      <c r="G118" s="34">
        <f>IF(OR('Historique ajusté'!G118="",ROW()-Fenetre&lt;6),"",IF(INDEX('Historique ajusté'!G:G,ROW()-Fenetre)="","",'Historique ajusté'!G118/INDEX('Historique ajusté'!G:G,ROW()-Fenetre)-1))</f>
        <v/>
      </c>
      <c r="H118" s="34">
        <f>IF(OR('Historique ajusté'!H118="",ROW()-Fenetre&lt;6),"",IF(INDEX('Historique ajusté'!H:H,ROW()-Fenetre)="","",'Historique ajusté'!H118/INDEX('Historique ajusté'!H:H,ROW()-Fenetre)-1))</f>
        <v/>
      </c>
      <c r="I118" s="34">
        <f>IF(OR('Historique ajusté'!I118="",ROW()-Fenetre&lt;6),"",IF(INDEX('Historique ajusté'!I:I,ROW()-Fenetre)="","",'Historique ajusté'!I118/INDEX('Historique ajusté'!I:I,ROW()-Fenetre)-1))</f>
        <v/>
      </c>
      <c r="J118" s="34">
        <f>IF(OR('Historique ajusté'!J118="",ROW()-Fenetre&lt;6),"",IF(INDEX('Historique ajusté'!J:J,ROW()-Fenetre)="","",'Historique ajusté'!J118/INDEX('Historique ajusté'!J:J,ROW()-Fenetre)-1))</f>
        <v/>
      </c>
      <c r="K118" s="34">
        <f>IF(OR('Historique ajusté'!K118="",ROW()-Fenetre&lt;6),"",IF(INDEX('Historique ajusté'!K:K,ROW()-Fenetre)="","",'Historique ajusté'!K118/INDEX('Historique ajusté'!K:K,ROW()-Fenetre)-1))</f>
        <v/>
      </c>
      <c r="L118" s="34">
        <f>IF(OR('Historique ajusté'!L118="",ROW()-Fenetre&lt;6),"",IF(INDEX('Historique ajusté'!L:L,ROW()-Fenetre)="","",'Historique ajusté'!L118/INDEX('Historique ajusté'!L:L,ROW()-Fenetre)-1))</f>
        <v/>
      </c>
      <c r="M118" s="34">
        <f>IF(OR('Historique ajusté'!M118="",ROW()-Fenetre&lt;6),"",IF(INDEX('Historique ajusté'!M:M,ROW()-Fenetre)="","",'Historique ajusté'!M118/INDEX('Historique ajusté'!M:M,ROW()-Fenetre)-1))</f>
        <v/>
      </c>
      <c r="N118" s="34">
        <f>IF(OR('Historique ajusté'!N118="",ROW()-Fenetre&lt;6),"",IF(INDEX('Historique ajusté'!N:N,ROW()-Fenetre)="","",'Historique ajusté'!N118/INDEX('Historique ajusté'!N:N,ROW()-Fenetre)-1))</f>
        <v/>
      </c>
      <c r="O118" s="34">
        <f>IF(OR('Historique ajusté'!O118="",ROW()-Fenetre&lt;6),"",IF(INDEX('Historique ajusté'!O:O,ROW()-Fenetre)="","",'Historique ajusté'!O118/INDEX('Historique ajusté'!O:O,ROW()-Fenetre)-1))</f>
        <v/>
      </c>
      <c r="P118" s="34">
        <f>IF(OR('Historique ajusté'!P118="",ROW()-Fenetre&lt;6),"",IF(INDEX('Historique ajusté'!P:P,ROW()-Fenetre)="","",'Historique ajusté'!P118/INDEX('Historique ajusté'!P:P,ROW()-Fenetre)-1))</f>
        <v/>
      </c>
      <c r="Q118" s="34">
        <f>IF(OR(Composites!L118="",ROW()-Fenetre&lt;6),"",IF(INDEX(Composites!L:L,ROW()-Fenetre)="","",Composites!L118/INDEX(Composites!L:L,ROW()-Fenetre)-1))</f>
        <v/>
      </c>
      <c r="R118" s="34">
        <f>IF(OR(Composites!M118="",ROW()-Fenetre&lt;6),"",IF(INDEX(Composites!M:M,ROW()-Fenetre)="","",Composites!M118/INDEX(Composites!M:M,ROW()-Fenetre)-1))</f>
        <v/>
      </c>
      <c r="S118" s="34">
        <f>IF(OR(Composites!N118="",ROW()-Fenetre&lt;6),"",IF(INDEX(Composites!N:N,ROW()-Fenetre)="","",Composites!N118/INDEX(Composites!N:N,ROW()-Fenetre)-1))</f>
        <v/>
      </c>
      <c r="T118" s="34">
        <f>IF(OR(Composites!O118="",ROW()-Fenetre&lt;6),"",IF(INDEX(Composites!O:O,ROW()-Fenetre)="","",Composites!O118/INDEX(Composites!O:O,ROW()-Fenetre)-1))</f>
        <v/>
      </c>
      <c r="U118" s="34">
        <f>IF(OR(Composites!P118="",ROW()-Fenetre&lt;6),"",IF(INDEX(Composites!P:P,ROW()-Fenetre)="","",Composites!P118/INDEX(Composites!P:P,ROW()-Fenetre)-1))</f>
        <v/>
      </c>
      <c r="V118" s="34">
        <f>IF('Historique ajusté'!C118="","",'Historique ajusté'!C118/MAX('Historique ajusté'!C$6:C118)-1)</f>
        <v/>
      </c>
      <c r="W118" s="34">
        <f>IF('Historique ajusté'!D118="","",'Historique ajusté'!D118/MAX('Historique ajusté'!D$6:D118)-1)</f>
        <v/>
      </c>
      <c r="X118" s="34">
        <f>IF('Historique ajusté'!E118="","",'Historique ajusté'!E118/MAX('Historique ajusté'!E$6:E118)-1)</f>
        <v/>
      </c>
      <c r="Y118" s="34">
        <f>IF('Historique ajusté'!F118="","",'Historique ajusté'!F118/MAX('Historique ajusté'!F$6:F118)-1)</f>
        <v/>
      </c>
      <c r="Z118" s="34">
        <f>IF('Historique ajusté'!G118="","",'Historique ajusté'!G118/MAX('Historique ajusté'!G$6:G118)-1)</f>
        <v/>
      </c>
      <c r="AA118" s="34">
        <f>IF('Historique ajusté'!H118="","",'Historique ajusté'!H118/MAX('Historique ajusté'!H$6:H118)-1)</f>
        <v/>
      </c>
      <c r="AB118" s="34">
        <f>IF('Historique ajusté'!I118="","",'Historique ajusté'!I118/MAX('Historique ajusté'!I$6:I118)-1)</f>
        <v/>
      </c>
      <c r="AC118" s="34">
        <f>IF('Historique ajusté'!J118="","",'Historique ajusté'!J118/MAX('Historique ajusté'!J$6:J118)-1)</f>
        <v/>
      </c>
      <c r="AD118" s="34">
        <f>IF('Historique ajusté'!K118="","",'Historique ajusté'!K118/MAX('Historique ajusté'!K$6:K118)-1)</f>
        <v/>
      </c>
      <c r="AE118" s="34">
        <f>IF('Historique ajusté'!L118="","",'Historique ajusté'!L118/MAX('Historique ajusté'!L$6:L118)-1)</f>
        <v/>
      </c>
      <c r="AF118" s="34">
        <f>IF('Historique ajusté'!M118="","",'Historique ajusté'!M118/MAX('Historique ajusté'!M$6:M118)-1)</f>
        <v/>
      </c>
      <c r="AG118" s="34">
        <f>IF('Historique ajusté'!N118="","",'Historique ajusté'!N118/MAX('Historique ajusté'!N$6:N118)-1)</f>
        <v/>
      </c>
      <c r="AH118" s="34">
        <f>IF('Historique ajusté'!O118="","",'Historique ajusté'!O118/MAX('Historique ajusté'!O$6:O118)-1)</f>
        <v/>
      </c>
      <c r="AI118" s="34">
        <f>IF('Historique ajusté'!P118="","",'Historique ajusté'!P118/MAX('Historique ajusté'!P$6:P118)-1)</f>
        <v/>
      </c>
      <c r="AJ118" s="34">
        <f>IF(Composites!L118="","",Composites!L118/MAX(Composites!L$6:L118)-1)</f>
        <v/>
      </c>
      <c r="AK118" s="34">
        <f>IF(Composites!M118="","",Composites!M118/MAX(Composites!M$6:M118)-1)</f>
        <v/>
      </c>
      <c r="AL118" s="34">
        <f>IF(Composites!N118="","",Composites!N118/MAX(Composites!N$6:N118)-1)</f>
        <v/>
      </c>
      <c r="AM118" s="34">
        <f>IF(Composites!O118="","",Composites!O118/MAX(Composites!O$6:O118)-1)</f>
        <v/>
      </c>
      <c r="AN118" s="34">
        <f>IF(Composites!P118="","",Composites!P118/MAX(Composites!P$6:P118)-1)</f>
        <v/>
      </c>
    </row>
    <row r="119">
      <c r="B119" s="32">
        <f>'Historique ajusté'!B119</f>
        <v/>
      </c>
      <c r="C119" s="34">
        <f>IF(OR('Historique ajusté'!C119="",ROW()-Fenetre&lt;6),"",IF(INDEX('Historique ajusté'!C:C,ROW()-Fenetre)="","",'Historique ajusté'!C119/INDEX('Historique ajusté'!C:C,ROW()-Fenetre)-1))</f>
        <v/>
      </c>
      <c r="D119" s="34">
        <f>IF(OR('Historique ajusté'!D119="",ROW()-Fenetre&lt;6),"",IF(INDEX('Historique ajusté'!D:D,ROW()-Fenetre)="","",'Historique ajusté'!D119/INDEX('Historique ajusté'!D:D,ROW()-Fenetre)-1))</f>
        <v/>
      </c>
      <c r="E119" s="34">
        <f>IF(OR('Historique ajusté'!E119="",ROW()-Fenetre&lt;6),"",IF(INDEX('Historique ajusté'!E:E,ROW()-Fenetre)="","",'Historique ajusté'!E119/INDEX('Historique ajusté'!E:E,ROW()-Fenetre)-1))</f>
        <v/>
      </c>
      <c r="F119" s="34">
        <f>IF(OR('Historique ajusté'!F119="",ROW()-Fenetre&lt;6),"",IF(INDEX('Historique ajusté'!F:F,ROW()-Fenetre)="","",'Historique ajusté'!F119/INDEX('Historique ajusté'!F:F,ROW()-Fenetre)-1))</f>
        <v/>
      </c>
      <c r="G119" s="34">
        <f>IF(OR('Historique ajusté'!G119="",ROW()-Fenetre&lt;6),"",IF(INDEX('Historique ajusté'!G:G,ROW()-Fenetre)="","",'Historique ajusté'!G119/INDEX('Historique ajusté'!G:G,ROW()-Fenetre)-1))</f>
        <v/>
      </c>
      <c r="H119" s="34">
        <f>IF(OR('Historique ajusté'!H119="",ROW()-Fenetre&lt;6),"",IF(INDEX('Historique ajusté'!H:H,ROW()-Fenetre)="","",'Historique ajusté'!H119/INDEX('Historique ajusté'!H:H,ROW()-Fenetre)-1))</f>
        <v/>
      </c>
      <c r="I119" s="34">
        <f>IF(OR('Historique ajusté'!I119="",ROW()-Fenetre&lt;6),"",IF(INDEX('Historique ajusté'!I:I,ROW()-Fenetre)="","",'Historique ajusté'!I119/INDEX('Historique ajusté'!I:I,ROW()-Fenetre)-1))</f>
        <v/>
      </c>
      <c r="J119" s="34">
        <f>IF(OR('Historique ajusté'!J119="",ROW()-Fenetre&lt;6),"",IF(INDEX('Historique ajusté'!J:J,ROW()-Fenetre)="","",'Historique ajusté'!J119/INDEX('Historique ajusté'!J:J,ROW()-Fenetre)-1))</f>
        <v/>
      </c>
      <c r="K119" s="34">
        <f>IF(OR('Historique ajusté'!K119="",ROW()-Fenetre&lt;6),"",IF(INDEX('Historique ajusté'!K:K,ROW()-Fenetre)="","",'Historique ajusté'!K119/INDEX('Historique ajusté'!K:K,ROW()-Fenetre)-1))</f>
        <v/>
      </c>
      <c r="L119" s="34">
        <f>IF(OR('Historique ajusté'!L119="",ROW()-Fenetre&lt;6),"",IF(INDEX('Historique ajusté'!L:L,ROW()-Fenetre)="","",'Historique ajusté'!L119/INDEX('Historique ajusté'!L:L,ROW()-Fenetre)-1))</f>
        <v/>
      </c>
      <c r="M119" s="34">
        <f>IF(OR('Historique ajusté'!M119="",ROW()-Fenetre&lt;6),"",IF(INDEX('Historique ajusté'!M:M,ROW()-Fenetre)="","",'Historique ajusté'!M119/INDEX('Historique ajusté'!M:M,ROW()-Fenetre)-1))</f>
        <v/>
      </c>
      <c r="N119" s="34">
        <f>IF(OR('Historique ajusté'!N119="",ROW()-Fenetre&lt;6),"",IF(INDEX('Historique ajusté'!N:N,ROW()-Fenetre)="","",'Historique ajusté'!N119/INDEX('Historique ajusté'!N:N,ROW()-Fenetre)-1))</f>
        <v/>
      </c>
      <c r="O119" s="34">
        <f>IF(OR('Historique ajusté'!O119="",ROW()-Fenetre&lt;6),"",IF(INDEX('Historique ajusté'!O:O,ROW()-Fenetre)="","",'Historique ajusté'!O119/INDEX('Historique ajusté'!O:O,ROW()-Fenetre)-1))</f>
        <v/>
      </c>
      <c r="P119" s="34">
        <f>IF(OR('Historique ajusté'!P119="",ROW()-Fenetre&lt;6),"",IF(INDEX('Historique ajusté'!P:P,ROW()-Fenetre)="","",'Historique ajusté'!P119/INDEX('Historique ajusté'!P:P,ROW()-Fenetre)-1))</f>
        <v/>
      </c>
      <c r="Q119" s="34">
        <f>IF(OR(Composites!L119="",ROW()-Fenetre&lt;6),"",IF(INDEX(Composites!L:L,ROW()-Fenetre)="","",Composites!L119/INDEX(Composites!L:L,ROW()-Fenetre)-1))</f>
        <v/>
      </c>
      <c r="R119" s="34">
        <f>IF(OR(Composites!M119="",ROW()-Fenetre&lt;6),"",IF(INDEX(Composites!M:M,ROW()-Fenetre)="","",Composites!M119/INDEX(Composites!M:M,ROW()-Fenetre)-1))</f>
        <v/>
      </c>
      <c r="S119" s="34">
        <f>IF(OR(Composites!N119="",ROW()-Fenetre&lt;6),"",IF(INDEX(Composites!N:N,ROW()-Fenetre)="","",Composites!N119/INDEX(Composites!N:N,ROW()-Fenetre)-1))</f>
        <v/>
      </c>
      <c r="T119" s="34">
        <f>IF(OR(Composites!O119="",ROW()-Fenetre&lt;6),"",IF(INDEX(Composites!O:O,ROW()-Fenetre)="","",Composites!O119/INDEX(Composites!O:O,ROW()-Fenetre)-1))</f>
        <v/>
      </c>
      <c r="U119" s="34">
        <f>IF(OR(Composites!P119="",ROW()-Fenetre&lt;6),"",IF(INDEX(Composites!P:P,ROW()-Fenetre)="","",Composites!P119/INDEX(Composites!P:P,ROW()-Fenetre)-1))</f>
        <v/>
      </c>
      <c r="V119" s="34">
        <f>IF('Historique ajusté'!C119="","",'Historique ajusté'!C119/MAX('Historique ajusté'!C$6:C119)-1)</f>
        <v/>
      </c>
      <c r="W119" s="34">
        <f>IF('Historique ajusté'!D119="","",'Historique ajusté'!D119/MAX('Historique ajusté'!D$6:D119)-1)</f>
        <v/>
      </c>
      <c r="X119" s="34">
        <f>IF('Historique ajusté'!E119="","",'Historique ajusté'!E119/MAX('Historique ajusté'!E$6:E119)-1)</f>
        <v/>
      </c>
      <c r="Y119" s="34">
        <f>IF('Historique ajusté'!F119="","",'Historique ajusté'!F119/MAX('Historique ajusté'!F$6:F119)-1)</f>
        <v/>
      </c>
      <c r="Z119" s="34">
        <f>IF('Historique ajusté'!G119="","",'Historique ajusté'!G119/MAX('Historique ajusté'!G$6:G119)-1)</f>
        <v/>
      </c>
      <c r="AA119" s="34">
        <f>IF('Historique ajusté'!H119="","",'Historique ajusté'!H119/MAX('Historique ajusté'!H$6:H119)-1)</f>
        <v/>
      </c>
      <c r="AB119" s="34">
        <f>IF('Historique ajusté'!I119="","",'Historique ajusté'!I119/MAX('Historique ajusté'!I$6:I119)-1)</f>
        <v/>
      </c>
      <c r="AC119" s="34">
        <f>IF('Historique ajusté'!J119="","",'Historique ajusté'!J119/MAX('Historique ajusté'!J$6:J119)-1)</f>
        <v/>
      </c>
      <c r="AD119" s="34">
        <f>IF('Historique ajusté'!K119="","",'Historique ajusté'!K119/MAX('Historique ajusté'!K$6:K119)-1)</f>
        <v/>
      </c>
      <c r="AE119" s="34">
        <f>IF('Historique ajusté'!L119="","",'Historique ajusté'!L119/MAX('Historique ajusté'!L$6:L119)-1)</f>
        <v/>
      </c>
      <c r="AF119" s="34">
        <f>IF('Historique ajusté'!M119="","",'Historique ajusté'!M119/MAX('Historique ajusté'!M$6:M119)-1)</f>
        <v/>
      </c>
      <c r="AG119" s="34">
        <f>IF('Historique ajusté'!N119="","",'Historique ajusté'!N119/MAX('Historique ajusté'!N$6:N119)-1)</f>
        <v/>
      </c>
      <c r="AH119" s="34">
        <f>IF('Historique ajusté'!O119="","",'Historique ajusté'!O119/MAX('Historique ajusté'!O$6:O119)-1)</f>
        <v/>
      </c>
      <c r="AI119" s="34">
        <f>IF('Historique ajusté'!P119="","",'Historique ajusté'!P119/MAX('Historique ajusté'!P$6:P119)-1)</f>
        <v/>
      </c>
      <c r="AJ119" s="34">
        <f>IF(Composites!L119="","",Composites!L119/MAX(Composites!L$6:L119)-1)</f>
        <v/>
      </c>
      <c r="AK119" s="34">
        <f>IF(Composites!M119="","",Composites!M119/MAX(Composites!M$6:M119)-1)</f>
        <v/>
      </c>
      <c r="AL119" s="34">
        <f>IF(Composites!N119="","",Composites!N119/MAX(Composites!N$6:N119)-1)</f>
        <v/>
      </c>
      <c r="AM119" s="34">
        <f>IF(Composites!O119="","",Composites!O119/MAX(Composites!O$6:O119)-1)</f>
        <v/>
      </c>
      <c r="AN119" s="34">
        <f>IF(Composites!P119="","",Composites!P119/MAX(Composites!P$6:P119)-1)</f>
        <v/>
      </c>
    </row>
    <row r="120">
      <c r="B120" s="32">
        <f>'Historique ajusté'!B120</f>
        <v/>
      </c>
      <c r="C120" s="34">
        <f>IF(OR('Historique ajusté'!C120="",ROW()-Fenetre&lt;6),"",IF(INDEX('Historique ajusté'!C:C,ROW()-Fenetre)="","",'Historique ajusté'!C120/INDEX('Historique ajusté'!C:C,ROW()-Fenetre)-1))</f>
        <v/>
      </c>
      <c r="D120" s="34">
        <f>IF(OR('Historique ajusté'!D120="",ROW()-Fenetre&lt;6),"",IF(INDEX('Historique ajusté'!D:D,ROW()-Fenetre)="","",'Historique ajusté'!D120/INDEX('Historique ajusté'!D:D,ROW()-Fenetre)-1))</f>
        <v/>
      </c>
      <c r="E120" s="34">
        <f>IF(OR('Historique ajusté'!E120="",ROW()-Fenetre&lt;6),"",IF(INDEX('Historique ajusté'!E:E,ROW()-Fenetre)="","",'Historique ajusté'!E120/INDEX('Historique ajusté'!E:E,ROW()-Fenetre)-1))</f>
        <v/>
      </c>
      <c r="F120" s="34">
        <f>IF(OR('Historique ajusté'!F120="",ROW()-Fenetre&lt;6),"",IF(INDEX('Historique ajusté'!F:F,ROW()-Fenetre)="","",'Historique ajusté'!F120/INDEX('Historique ajusté'!F:F,ROW()-Fenetre)-1))</f>
        <v/>
      </c>
      <c r="G120" s="34">
        <f>IF(OR('Historique ajusté'!G120="",ROW()-Fenetre&lt;6),"",IF(INDEX('Historique ajusté'!G:G,ROW()-Fenetre)="","",'Historique ajusté'!G120/INDEX('Historique ajusté'!G:G,ROW()-Fenetre)-1))</f>
        <v/>
      </c>
      <c r="H120" s="34">
        <f>IF(OR('Historique ajusté'!H120="",ROW()-Fenetre&lt;6),"",IF(INDEX('Historique ajusté'!H:H,ROW()-Fenetre)="","",'Historique ajusté'!H120/INDEX('Historique ajusté'!H:H,ROW()-Fenetre)-1))</f>
        <v/>
      </c>
      <c r="I120" s="34">
        <f>IF(OR('Historique ajusté'!I120="",ROW()-Fenetre&lt;6),"",IF(INDEX('Historique ajusté'!I:I,ROW()-Fenetre)="","",'Historique ajusté'!I120/INDEX('Historique ajusté'!I:I,ROW()-Fenetre)-1))</f>
        <v/>
      </c>
      <c r="J120" s="34">
        <f>IF(OR('Historique ajusté'!J120="",ROW()-Fenetre&lt;6),"",IF(INDEX('Historique ajusté'!J:J,ROW()-Fenetre)="","",'Historique ajusté'!J120/INDEX('Historique ajusté'!J:J,ROW()-Fenetre)-1))</f>
        <v/>
      </c>
      <c r="K120" s="34">
        <f>IF(OR('Historique ajusté'!K120="",ROW()-Fenetre&lt;6),"",IF(INDEX('Historique ajusté'!K:K,ROW()-Fenetre)="","",'Historique ajusté'!K120/INDEX('Historique ajusté'!K:K,ROW()-Fenetre)-1))</f>
        <v/>
      </c>
      <c r="L120" s="34">
        <f>IF(OR('Historique ajusté'!L120="",ROW()-Fenetre&lt;6),"",IF(INDEX('Historique ajusté'!L:L,ROW()-Fenetre)="","",'Historique ajusté'!L120/INDEX('Historique ajusté'!L:L,ROW()-Fenetre)-1))</f>
        <v/>
      </c>
      <c r="M120" s="34">
        <f>IF(OR('Historique ajusté'!M120="",ROW()-Fenetre&lt;6),"",IF(INDEX('Historique ajusté'!M:M,ROW()-Fenetre)="","",'Historique ajusté'!M120/INDEX('Historique ajusté'!M:M,ROW()-Fenetre)-1))</f>
        <v/>
      </c>
      <c r="N120" s="34">
        <f>IF(OR('Historique ajusté'!N120="",ROW()-Fenetre&lt;6),"",IF(INDEX('Historique ajusté'!N:N,ROW()-Fenetre)="","",'Historique ajusté'!N120/INDEX('Historique ajusté'!N:N,ROW()-Fenetre)-1))</f>
        <v/>
      </c>
      <c r="O120" s="34">
        <f>IF(OR('Historique ajusté'!O120="",ROW()-Fenetre&lt;6),"",IF(INDEX('Historique ajusté'!O:O,ROW()-Fenetre)="","",'Historique ajusté'!O120/INDEX('Historique ajusté'!O:O,ROW()-Fenetre)-1))</f>
        <v/>
      </c>
      <c r="P120" s="34">
        <f>IF(OR('Historique ajusté'!P120="",ROW()-Fenetre&lt;6),"",IF(INDEX('Historique ajusté'!P:P,ROW()-Fenetre)="","",'Historique ajusté'!P120/INDEX('Historique ajusté'!P:P,ROW()-Fenetre)-1))</f>
        <v/>
      </c>
      <c r="Q120" s="34">
        <f>IF(OR(Composites!L120="",ROW()-Fenetre&lt;6),"",IF(INDEX(Composites!L:L,ROW()-Fenetre)="","",Composites!L120/INDEX(Composites!L:L,ROW()-Fenetre)-1))</f>
        <v/>
      </c>
      <c r="R120" s="34">
        <f>IF(OR(Composites!M120="",ROW()-Fenetre&lt;6),"",IF(INDEX(Composites!M:M,ROW()-Fenetre)="","",Composites!M120/INDEX(Composites!M:M,ROW()-Fenetre)-1))</f>
        <v/>
      </c>
      <c r="S120" s="34">
        <f>IF(OR(Composites!N120="",ROW()-Fenetre&lt;6),"",IF(INDEX(Composites!N:N,ROW()-Fenetre)="","",Composites!N120/INDEX(Composites!N:N,ROW()-Fenetre)-1))</f>
        <v/>
      </c>
      <c r="T120" s="34">
        <f>IF(OR(Composites!O120="",ROW()-Fenetre&lt;6),"",IF(INDEX(Composites!O:O,ROW()-Fenetre)="","",Composites!O120/INDEX(Composites!O:O,ROW()-Fenetre)-1))</f>
        <v/>
      </c>
      <c r="U120" s="34">
        <f>IF(OR(Composites!P120="",ROW()-Fenetre&lt;6),"",IF(INDEX(Composites!P:P,ROW()-Fenetre)="","",Composites!P120/INDEX(Composites!P:P,ROW()-Fenetre)-1))</f>
        <v/>
      </c>
      <c r="V120" s="34">
        <f>IF('Historique ajusté'!C120="","",'Historique ajusté'!C120/MAX('Historique ajusté'!C$6:C120)-1)</f>
        <v/>
      </c>
      <c r="W120" s="34">
        <f>IF('Historique ajusté'!D120="","",'Historique ajusté'!D120/MAX('Historique ajusté'!D$6:D120)-1)</f>
        <v/>
      </c>
      <c r="X120" s="34">
        <f>IF('Historique ajusté'!E120="","",'Historique ajusté'!E120/MAX('Historique ajusté'!E$6:E120)-1)</f>
        <v/>
      </c>
      <c r="Y120" s="34">
        <f>IF('Historique ajusté'!F120="","",'Historique ajusté'!F120/MAX('Historique ajusté'!F$6:F120)-1)</f>
        <v/>
      </c>
      <c r="Z120" s="34">
        <f>IF('Historique ajusté'!G120="","",'Historique ajusté'!G120/MAX('Historique ajusté'!G$6:G120)-1)</f>
        <v/>
      </c>
      <c r="AA120" s="34">
        <f>IF('Historique ajusté'!H120="","",'Historique ajusté'!H120/MAX('Historique ajusté'!H$6:H120)-1)</f>
        <v/>
      </c>
      <c r="AB120" s="34">
        <f>IF('Historique ajusté'!I120="","",'Historique ajusté'!I120/MAX('Historique ajusté'!I$6:I120)-1)</f>
        <v/>
      </c>
      <c r="AC120" s="34">
        <f>IF('Historique ajusté'!J120="","",'Historique ajusté'!J120/MAX('Historique ajusté'!J$6:J120)-1)</f>
        <v/>
      </c>
      <c r="AD120" s="34">
        <f>IF('Historique ajusté'!K120="","",'Historique ajusté'!K120/MAX('Historique ajusté'!K$6:K120)-1)</f>
        <v/>
      </c>
      <c r="AE120" s="34">
        <f>IF('Historique ajusté'!L120="","",'Historique ajusté'!L120/MAX('Historique ajusté'!L$6:L120)-1)</f>
        <v/>
      </c>
      <c r="AF120" s="34">
        <f>IF('Historique ajusté'!M120="","",'Historique ajusté'!M120/MAX('Historique ajusté'!M$6:M120)-1)</f>
        <v/>
      </c>
      <c r="AG120" s="34">
        <f>IF('Historique ajusté'!N120="","",'Historique ajusté'!N120/MAX('Historique ajusté'!N$6:N120)-1)</f>
        <v/>
      </c>
      <c r="AH120" s="34">
        <f>IF('Historique ajusté'!O120="","",'Historique ajusté'!O120/MAX('Historique ajusté'!O$6:O120)-1)</f>
        <v/>
      </c>
      <c r="AI120" s="34">
        <f>IF('Historique ajusté'!P120="","",'Historique ajusté'!P120/MAX('Historique ajusté'!P$6:P120)-1)</f>
        <v/>
      </c>
      <c r="AJ120" s="34">
        <f>IF(Composites!L120="","",Composites!L120/MAX(Composites!L$6:L120)-1)</f>
        <v/>
      </c>
      <c r="AK120" s="34">
        <f>IF(Composites!M120="","",Composites!M120/MAX(Composites!M$6:M120)-1)</f>
        <v/>
      </c>
      <c r="AL120" s="34">
        <f>IF(Composites!N120="","",Composites!N120/MAX(Composites!N$6:N120)-1)</f>
        <v/>
      </c>
      <c r="AM120" s="34">
        <f>IF(Composites!O120="","",Composites!O120/MAX(Composites!O$6:O120)-1)</f>
        <v/>
      </c>
      <c r="AN120" s="34">
        <f>IF(Composites!P120="","",Composites!P120/MAX(Composites!P$6:P120)-1)</f>
        <v/>
      </c>
    </row>
    <row r="121">
      <c r="B121" s="32">
        <f>'Historique ajusté'!B121</f>
        <v/>
      </c>
      <c r="C121" s="34">
        <f>IF(OR('Historique ajusté'!C121="",ROW()-Fenetre&lt;6),"",IF(INDEX('Historique ajusté'!C:C,ROW()-Fenetre)="","",'Historique ajusté'!C121/INDEX('Historique ajusté'!C:C,ROW()-Fenetre)-1))</f>
        <v/>
      </c>
      <c r="D121" s="34">
        <f>IF(OR('Historique ajusté'!D121="",ROW()-Fenetre&lt;6),"",IF(INDEX('Historique ajusté'!D:D,ROW()-Fenetre)="","",'Historique ajusté'!D121/INDEX('Historique ajusté'!D:D,ROW()-Fenetre)-1))</f>
        <v/>
      </c>
      <c r="E121" s="34">
        <f>IF(OR('Historique ajusté'!E121="",ROW()-Fenetre&lt;6),"",IF(INDEX('Historique ajusté'!E:E,ROW()-Fenetre)="","",'Historique ajusté'!E121/INDEX('Historique ajusté'!E:E,ROW()-Fenetre)-1))</f>
        <v/>
      </c>
      <c r="F121" s="34">
        <f>IF(OR('Historique ajusté'!F121="",ROW()-Fenetre&lt;6),"",IF(INDEX('Historique ajusté'!F:F,ROW()-Fenetre)="","",'Historique ajusté'!F121/INDEX('Historique ajusté'!F:F,ROW()-Fenetre)-1))</f>
        <v/>
      </c>
      <c r="G121" s="34">
        <f>IF(OR('Historique ajusté'!G121="",ROW()-Fenetre&lt;6),"",IF(INDEX('Historique ajusté'!G:G,ROW()-Fenetre)="","",'Historique ajusté'!G121/INDEX('Historique ajusté'!G:G,ROW()-Fenetre)-1))</f>
        <v/>
      </c>
      <c r="H121" s="34">
        <f>IF(OR('Historique ajusté'!H121="",ROW()-Fenetre&lt;6),"",IF(INDEX('Historique ajusté'!H:H,ROW()-Fenetre)="","",'Historique ajusté'!H121/INDEX('Historique ajusté'!H:H,ROW()-Fenetre)-1))</f>
        <v/>
      </c>
      <c r="I121" s="34">
        <f>IF(OR('Historique ajusté'!I121="",ROW()-Fenetre&lt;6),"",IF(INDEX('Historique ajusté'!I:I,ROW()-Fenetre)="","",'Historique ajusté'!I121/INDEX('Historique ajusté'!I:I,ROW()-Fenetre)-1))</f>
        <v/>
      </c>
      <c r="J121" s="34">
        <f>IF(OR('Historique ajusté'!J121="",ROW()-Fenetre&lt;6),"",IF(INDEX('Historique ajusté'!J:J,ROW()-Fenetre)="","",'Historique ajusté'!J121/INDEX('Historique ajusté'!J:J,ROW()-Fenetre)-1))</f>
        <v/>
      </c>
      <c r="K121" s="34">
        <f>IF(OR('Historique ajusté'!K121="",ROW()-Fenetre&lt;6),"",IF(INDEX('Historique ajusté'!K:K,ROW()-Fenetre)="","",'Historique ajusté'!K121/INDEX('Historique ajusté'!K:K,ROW()-Fenetre)-1))</f>
        <v/>
      </c>
      <c r="L121" s="34">
        <f>IF(OR('Historique ajusté'!L121="",ROW()-Fenetre&lt;6),"",IF(INDEX('Historique ajusté'!L:L,ROW()-Fenetre)="","",'Historique ajusté'!L121/INDEX('Historique ajusté'!L:L,ROW()-Fenetre)-1))</f>
        <v/>
      </c>
      <c r="M121" s="34">
        <f>IF(OR('Historique ajusté'!M121="",ROW()-Fenetre&lt;6),"",IF(INDEX('Historique ajusté'!M:M,ROW()-Fenetre)="","",'Historique ajusté'!M121/INDEX('Historique ajusté'!M:M,ROW()-Fenetre)-1))</f>
        <v/>
      </c>
      <c r="N121" s="34">
        <f>IF(OR('Historique ajusté'!N121="",ROW()-Fenetre&lt;6),"",IF(INDEX('Historique ajusté'!N:N,ROW()-Fenetre)="","",'Historique ajusté'!N121/INDEX('Historique ajusté'!N:N,ROW()-Fenetre)-1))</f>
        <v/>
      </c>
      <c r="O121" s="34">
        <f>IF(OR('Historique ajusté'!O121="",ROW()-Fenetre&lt;6),"",IF(INDEX('Historique ajusté'!O:O,ROW()-Fenetre)="","",'Historique ajusté'!O121/INDEX('Historique ajusté'!O:O,ROW()-Fenetre)-1))</f>
        <v/>
      </c>
      <c r="P121" s="34">
        <f>IF(OR('Historique ajusté'!P121="",ROW()-Fenetre&lt;6),"",IF(INDEX('Historique ajusté'!P:P,ROW()-Fenetre)="","",'Historique ajusté'!P121/INDEX('Historique ajusté'!P:P,ROW()-Fenetre)-1))</f>
        <v/>
      </c>
      <c r="Q121" s="34">
        <f>IF(OR(Composites!L121="",ROW()-Fenetre&lt;6),"",IF(INDEX(Composites!L:L,ROW()-Fenetre)="","",Composites!L121/INDEX(Composites!L:L,ROW()-Fenetre)-1))</f>
        <v/>
      </c>
      <c r="R121" s="34">
        <f>IF(OR(Composites!M121="",ROW()-Fenetre&lt;6),"",IF(INDEX(Composites!M:M,ROW()-Fenetre)="","",Composites!M121/INDEX(Composites!M:M,ROW()-Fenetre)-1))</f>
        <v/>
      </c>
      <c r="S121" s="34">
        <f>IF(OR(Composites!N121="",ROW()-Fenetre&lt;6),"",IF(INDEX(Composites!N:N,ROW()-Fenetre)="","",Composites!N121/INDEX(Composites!N:N,ROW()-Fenetre)-1))</f>
        <v/>
      </c>
      <c r="T121" s="34">
        <f>IF(OR(Composites!O121="",ROW()-Fenetre&lt;6),"",IF(INDEX(Composites!O:O,ROW()-Fenetre)="","",Composites!O121/INDEX(Composites!O:O,ROW()-Fenetre)-1))</f>
        <v/>
      </c>
      <c r="U121" s="34">
        <f>IF(OR(Composites!P121="",ROW()-Fenetre&lt;6),"",IF(INDEX(Composites!P:P,ROW()-Fenetre)="","",Composites!P121/INDEX(Composites!P:P,ROW()-Fenetre)-1))</f>
        <v/>
      </c>
      <c r="V121" s="34">
        <f>IF('Historique ajusté'!C121="","",'Historique ajusté'!C121/MAX('Historique ajusté'!C$6:C121)-1)</f>
        <v/>
      </c>
      <c r="W121" s="34">
        <f>IF('Historique ajusté'!D121="","",'Historique ajusté'!D121/MAX('Historique ajusté'!D$6:D121)-1)</f>
        <v/>
      </c>
      <c r="X121" s="34">
        <f>IF('Historique ajusté'!E121="","",'Historique ajusté'!E121/MAX('Historique ajusté'!E$6:E121)-1)</f>
        <v/>
      </c>
      <c r="Y121" s="34">
        <f>IF('Historique ajusté'!F121="","",'Historique ajusté'!F121/MAX('Historique ajusté'!F$6:F121)-1)</f>
        <v/>
      </c>
      <c r="Z121" s="34">
        <f>IF('Historique ajusté'!G121="","",'Historique ajusté'!G121/MAX('Historique ajusté'!G$6:G121)-1)</f>
        <v/>
      </c>
      <c r="AA121" s="34">
        <f>IF('Historique ajusté'!H121="","",'Historique ajusté'!H121/MAX('Historique ajusté'!H$6:H121)-1)</f>
        <v/>
      </c>
      <c r="AB121" s="34">
        <f>IF('Historique ajusté'!I121="","",'Historique ajusté'!I121/MAX('Historique ajusté'!I$6:I121)-1)</f>
        <v/>
      </c>
      <c r="AC121" s="34">
        <f>IF('Historique ajusté'!J121="","",'Historique ajusté'!J121/MAX('Historique ajusté'!J$6:J121)-1)</f>
        <v/>
      </c>
      <c r="AD121" s="34">
        <f>IF('Historique ajusté'!K121="","",'Historique ajusté'!K121/MAX('Historique ajusté'!K$6:K121)-1)</f>
        <v/>
      </c>
      <c r="AE121" s="34">
        <f>IF('Historique ajusté'!L121="","",'Historique ajusté'!L121/MAX('Historique ajusté'!L$6:L121)-1)</f>
        <v/>
      </c>
      <c r="AF121" s="34">
        <f>IF('Historique ajusté'!M121="","",'Historique ajusté'!M121/MAX('Historique ajusté'!M$6:M121)-1)</f>
        <v/>
      </c>
      <c r="AG121" s="34">
        <f>IF('Historique ajusté'!N121="","",'Historique ajusté'!N121/MAX('Historique ajusté'!N$6:N121)-1)</f>
        <v/>
      </c>
      <c r="AH121" s="34">
        <f>IF('Historique ajusté'!O121="","",'Historique ajusté'!O121/MAX('Historique ajusté'!O$6:O121)-1)</f>
        <v/>
      </c>
      <c r="AI121" s="34">
        <f>IF('Historique ajusté'!P121="","",'Historique ajusté'!P121/MAX('Historique ajusté'!P$6:P121)-1)</f>
        <v/>
      </c>
      <c r="AJ121" s="34">
        <f>IF(Composites!L121="","",Composites!L121/MAX(Composites!L$6:L121)-1)</f>
        <v/>
      </c>
      <c r="AK121" s="34">
        <f>IF(Composites!M121="","",Composites!M121/MAX(Composites!M$6:M121)-1)</f>
        <v/>
      </c>
      <c r="AL121" s="34">
        <f>IF(Composites!N121="","",Composites!N121/MAX(Composites!N$6:N121)-1)</f>
        <v/>
      </c>
      <c r="AM121" s="34">
        <f>IF(Composites!O121="","",Composites!O121/MAX(Composites!O$6:O121)-1)</f>
        <v/>
      </c>
      <c r="AN121" s="34">
        <f>IF(Composites!P121="","",Composites!P121/MAX(Composites!P$6:P121)-1)</f>
        <v/>
      </c>
    </row>
    <row r="122">
      <c r="B122" s="32">
        <f>'Historique ajusté'!B122</f>
        <v/>
      </c>
      <c r="C122" s="34">
        <f>IF(OR('Historique ajusté'!C122="",ROW()-Fenetre&lt;6),"",IF(INDEX('Historique ajusté'!C:C,ROW()-Fenetre)="","",'Historique ajusté'!C122/INDEX('Historique ajusté'!C:C,ROW()-Fenetre)-1))</f>
        <v/>
      </c>
      <c r="D122" s="34">
        <f>IF(OR('Historique ajusté'!D122="",ROW()-Fenetre&lt;6),"",IF(INDEX('Historique ajusté'!D:D,ROW()-Fenetre)="","",'Historique ajusté'!D122/INDEX('Historique ajusté'!D:D,ROW()-Fenetre)-1))</f>
        <v/>
      </c>
      <c r="E122" s="34">
        <f>IF(OR('Historique ajusté'!E122="",ROW()-Fenetre&lt;6),"",IF(INDEX('Historique ajusté'!E:E,ROW()-Fenetre)="","",'Historique ajusté'!E122/INDEX('Historique ajusté'!E:E,ROW()-Fenetre)-1))</f>
        <v/>
      </c>
      <c r="F122" s="34">
        <f>IF(OR('Historique ajusté'!F122="",ROW()-Fenetre&lt;6),"",IF(INDEX('Historique ajusté'!F:F,ROW()-Fenetre)="","",'Historique ajusté'!F122/INDEX('Historique ajusté'!F:F,ROW()-Fenetre)-1))</f>
        <v/>
      </c>
      <c r="G122" s="34">
        <f>IF(OR('Historique ajusté'!G122="",ROW()-Fenetre&lt;6),"",IF(INDEX('Historique ajusté'!G:G,ROW()-Fenetre)="","",'Historique ajusté'!G122/INDEX('Historique ajusté'!G:G,ROW()-Fenetre)-1))</f>
        <v/>
      </c>
      <c r="H122" s="34">
        <f>IF(OR('Historique ajusté'!H122="",ROW()-Fenetre&lt;6),"",IF(INDEX('Historique ajusté'!H:H,ROW()-Fenetre)="","",'Historique ajusté'!H122/INDEX('Historique ajusté'!H:H,ROW()-Fenetre)-1))</f>
        <v/>
      </c>
      <c r="I122" s="34">
        <f>IF(OR('Historique ajusté'!I122="",ROW()-Fenetre&lt;6),"",IF(INDEX('Historique ajusté'!I:I,ROW()-Fenetre)="","",'Historique ajusté'!I122/INDEX('Historique ajusté'!I:I,ROW()-Fenetre)-1))</f>
        <v/>
      </c>
      <c r="J122" s="34">
        <f>IF(OR('Historique ajusté'!J122="",ROW()-Fenetre&lt;6),"",IF(INDEX('Historique ajusté'!J:J,ROW()-Fenetre)="","",'Historique ajusté'!J122/INDEX('Historique ajusté'!J:J,ROW()-Fenetre)-1))</f>
        <v/>
      </c>
      <c r="K122" s="34">
        <f>IF(OR('Historique ajusté'!K122="",ROW()-Fenetre&lt;6),"",IF(INDEX('Historique ajusté'!K:K,ROW()-Fenetre)="","",'Historique ajusté'!K122/INDEX('Historique ajusté'!K:K,ROW()-Fenetre)-1))</f>
        <v/>
      </c>
      <c r="L122" s="34">
        <f>IF(OR('Historique ajusté'!L122="",ROW()-Fenetre&lt;6),"",IF(INDEX('Historique ajusté'!L:L,ROW()-Fenetre)="","",'Historique ajusté'!L122/INDEX('Historique ajusté'!L:L,ROW()-Fenetre)-1))</f>
        <v/>
      </c>
      <c r="M122" s="34">
        <f>IF(OR('Historique ajusté'!M122="",ROW()-Fenetre&lt;6),"",IF(INDEX('Historique ajusté'!M:M,ROW()-Fenetre)="","",'Historique ajusté'!M122/INDEX('Historique ajusté'!M:M,ROW()-Fenetre)-1))</f>
        <v/>
      </c>
      <c r="N122" s="34">
        <f>IF(OR('Historique ajusté'!N122="",ROW()-Fenetre&lt;6),"",IF(INDEX('Historique ajusté'!N:N,ROW()-Fenetre)="","",'Historique ajusté'!N122/INDEX('Historique ajusté'!N:N,ROW()-Fenetre)-1))</f>
        <v/>
      </c>
      <c r="O122" s="34">
        <f>IF(OR('Historique ajusté'!O122="",ROW()-Fenetre&lt;6),"",IF(INDEX('Historique ajusté'!O:O,ROW()-Fenetre)="","",'Historique ajusté'!O122/INDEX('Historique ajusté'!O:O,ROW()-Fenetre)-1))</f>
        <v/>
      </c>
      <c r="P122" s="34">
        <f>IF(OR('Historique ajusté'!P122="",ROW()-Fenetre&lt;6),"",IF(INDEX('Historique ajusté'!P:P,ROW()-Fenetre)="","",'Historique ajusté'!P122/INDEX('Historique ajusté'!P:P,ROW()-Fenetre)-1))</f>
        <v/>
      </c>
      <c r="Q122" s="34">
        <f>IF(OR(Composites!L122="",ROW()-Fenetre&lt;6),"",IF(INDEX(Composites!L:L,ROW()-Fenetre)="","",Composites!L122/INDEX(Composites!L:L,ROW()-Fenetre)-1))</f>
        <v/>
      </c>
      <c r="R122" s="34">
        <f>IF(OR(Composites!M122="",ROW()-Fenetre&lt;6),"",IF(INDEX(Composites!M:M,ROW()-Fenetre)="","",Composites!M122/INDEX(Composites!M:M,ROW()-Fenetre)-1))</f>
        <v/>
      </c>
      <c r="S122" s="34">
        <f>IF(OR(Composites!N122="",ROW()-Fenetre&lt;6),"",IF(INDEX(Composites!N:N,ROW()-Fenetre)="","",Composites!N122/INDEX(Composites!N:N,ROW()-Fenetre)-1))</f>
        <v/>
      </c>
      <c r="T122" s="34">
        <f>IF(OR(Composites!O122="",ROW()-Fenetre&lt;6),"",IF(INDEX(Composites!O:O,ROW()-Fenetre)="","",Composites!O122/INDEX(Composites!O:O,ROW()-Fenetre)-1))</f>
        <v/>
      </c>
      <c r="U122" s="34">
        <f>IF(OR(Composites!P122="",ROW()-Fenetre&lt;6),"",IF(INDEX(Composites!P:P,ROW()-Fenetre)="","",Composites!P122/INDEX(Composites!P:P,ROW()-Fenetre)-1))</f>
        <v/>
      </c>
      <c r="V122" s="34">
        <f>IF('Historique ajusté'!C122="","",'Historique ajusté'!C122/MAX('Historique ajusté'!C$6:C122)-1)</f>
        <v/>
      </c>
      <c r="W122" s="34">
        <f>IF('Historique ajusté'!D122="","",'Historique ajusté'!D122/MAX('Historique ajusté'!D$6:D122)-1)</f>
        <v/>
      </c>
      <c r="X122" s="34">
        <f>IF('Historique ajusté'!E122="","",'Historique ajusté'!E122/MAX('Historique ajusté'!E$6:E122)-1)</f>
        <v/>
      </c>
      <c r="Y122" s="34">
        <f>IF('Historique ajusté'!F122="","",'Historique ajusté'!F122/MAX('Historique ajusté'!F$6:F122)-1)</f>
        <v/>
      </c>
      <c r="Z122" s="34">
        <f>IF('Historique ajusté'!G122="","",'Historique ajusté'!G122/MAX('Historique ajusté'!G$6:G122)-1)</f>
        <v/>
      </c>
      <c r="AA122" s="34">
        <f>IF('Historique ajusté'!H122="","",'Historique ajusté'!H122/MAX('Historique ajusté'!H$6:H122)-1)</f>
        <v/>
      </c>
      <c r="AB122" s="34">
        <f>IF('Historique ajusté'!I122="","",'Historique ajusté'!I122/MAX('Historique ajusté'!I$6:I122)-1)</f>
        <v/>
      </c>
      <c r="AC122" s="34">
        <f>IF('Historique ajusté'!J122="","",'Historique ajusté'!J122/MAX('Historique ajusté'!J$6:J122)-1)</f>
        <v/>
      </c>
      <c r="AD122" s="34">
        <f>IF('Historique ajusté'!K122="","",'Historique ajusté'!K122/MAX('Historique ajusté'!K$6:K122)-1)</f>
        <v/>
      </c>
      <c r="AE122" s="34">
        <f>IF('Historique ajusté'!L122="","",'Historique ajusté'!L122/MAX('Historique ajusté'!L$6:L122)-1)</f>
        <v/>
      </c>
      <c r="AF122" s="34">
        <f>IF('Historique ajusté'!M122="","",'Historique ajusté'!M122/MAX('Historique ajusté'!M$6:M122)-1)</f>
        <v/>
      </c>
      <c r="AG122" s="34">
        <f>IF('Historique ajusté'!N122="","",'Historique ajusté'!N122/MAX('Historique ajusté'!N$6:N122)-1)</f>
        <v/>
      </c>
      <c r="AH122" s="34">
        <f>IF('Historique ajusté'!O122="","",'Historique ajusté'!O122/MAX('Historique ajusté'!O$6:O122)-1)</f>
        <v/>
      </c>
      <c r="AI122" s="34">
        <f>IF('Historique ajusté'!P122="","",'Historique ajusté'!P122/MAX('Historique ajusté'!P$6:P122)-1)</f>
        <v/>
      </c>
      <c r="AJ122" s="34">
        <f>IF(Composites!L122="","",Composites!L122/MAX(Composites!L$6:L122)-1)</f>
        <v/>
      </c>
      <c r="AK122" s="34">
        <f>IF(Composites!M122="","",Composites!M122/MAX(Composites!M$6:M122)-1)</f>
        <v/>
      </c>
      <c r="AL122" s="34">
        <f>IF(Composites!N122="","",Composites!N122/MAX(Composites!N$6:N122)-1)</f>
        <v/>
      </c>
      <c r="AM122" s="34">
        <f>IF(Composites!O122="","",Composites!O122/MAX(Composites!O$6:O122)-1)</f>
        <v/>
      </c>
      <c r="AN122" s="34">
        <f>IF(Composites!P122="","",Composites!P122/MAX(Composites!P$6:P122)-1)</f>
        <v/>
      </c>
    </row>
    <row r="123">
      <c r="B123" s="32">
        <f>'Historique ajusté'!B123</f>
        <v/>
      </c>
      <c r="C123" s="34">
        <f>IF(OR('Historique ajusté'!C123="",ROW()-Fenetre&lt;6),"",IF(INDEX('Historique ajusté'!C:C,ROW()-Fenetre)="","",'Historique ajusté'!C123/INDEX('Historique ajusté'!C:C,ROW()-Fenetre)-1))</f>
        <v/>
      </c>
      <c r="D123" s="34">
        <f>IF(OR('Historique ajusté'!D123="",ROW()-Fenetre&lt;6),"",IF(INDEX('Historique ajusté'!D:D,ROW()-Fenetre)="","",'Historique ajusté'!D123/INDEX('Historique ajusté'!D:D,ROW()-Fenetre)-1))</f>
        <v/>
      </c>
      <c r="E123" s="34">
        <f>IF(OR('Historique ajusté'!E123="",ROW()-Fenetre&lt;6),"",IF(INDEX('Historique ajusté'!E:E,ROW()-Fenetre)="","",'Historique ajusté'!E123/INDEX('Historique ajusté'!E:E,ROW()-Fenetre)-1))</f>
        <v/>
      </c>
      <c r="F123" s="34">
        <f>IF(OR('Historique ajusté'!F123="",ROW()-Fenetre&lt;6),"",IF(INDEX('Historique ajusté'!F:F,ROW()-Fenetre)="","",'Historique ajusté'!F123/INDEX('Historique ajusté'!F:F,ROW()-Fenetre)-1))</f>
        <v/>
      </c>
      <c r="G123" s="34">
        <f>IF(OR('Historique ajusté'!G123="",ROW()-Fenetre&lt;6),"",IF(INDEX('Historique ajusté'!G:G,ROW()-Fenetre)="","",'Historique ajusté'!G123/INDEX('Historique ajusté'!G:G,ROW()-Fenetre)-1))</f>
        <v/>
      </c>
      <c r="H123" s="34">
        <f>IF(OR('Historique ajusté'!H123="",ROW()-Fenetre&lt;6),"",IF(INDEX('Historique ajusté'!H:H,ROW()-Fenetre)="","",'Historique ajusté'!H123/INDEX('Historique ajusté'!H:H,ROW()-Fenetre)-1))</f>
        <v/>
      </c>
      <c r="I123" s="34">
        <f>IF(OR('Historique ajusté'!I123="",ROW()-Fenetre&lt;6),"",IF(INDEX('Historique ajusté'!I:I,ROW()-Fenetre)="","",'Historique ajusté'!I123/INDEX('Historique ajusté'!I:I,ROW()-Fenetre)-1))</f>
        <v/>
      </c>
      <c r="J123" s="34">
        <f>IF(OR('Historique ajusté'!J123="",ROW()-Fenetre&lt;6),"",IF(INDEX('Historique ajusté'!J:J,ROW()-Fenetre)="","",'Historique ajusté'!J123/INDEX('Historique ajusté'!J:J,ROW()-Fenetre)-1))</f>
        <v/>
      </c>
      <c r="K123" s="34">
        <f>IF(OR('Historique ajusté'!K123="",ROW()-Fenetre&lt;6),"",IF(INDEX('Historique ajusté'!K:K,ROW()-Fenetre)="","",'Historique ajusté'!K123/INDEX('Historique ajusté'!K:K,ROW()-Fenetre)-1))</f>
        <v/>
      </c>
      <c r="L123" s="34">
        <f>IF(OR('Historique ajusté'!L123="",ROW()-Fenetre&lt;6),"",IF(INDEX('Historique ajusté'!L:L,ROW()-Fenetre)="","",'Historique ajusté'!L123/INDEX('Historique ajusté'!L:L,ROW()-Fenetre)-1))</f>
        <v/>
      </c>
      <c r="M123" s="34">
        <f>IF(OR('Historique ajusté'!M123="",ROW()-Fenetre&lt;6),"",IF(INDEX('Historique ajusté'!M:M,ROW()-Fenetre)="","",'Historique ajusté'!M123/INDEX('Historique ajusté'!M:M,ROW()-Fenetre)-1))</f>
        <v/>
      </c>
      <c r="N123" s="34">
        <f>IF(OR('Historique ajusté'!N123="",ROW()-Fenetre&lt;6),"",IF(INDEX('Historique ajusté'!N:N,ROW()-Fenetre)="","",'Historique ajusté'!N123/INDEX('Historique ajusté'!N:N,ROW()-Fenetre)-1))</f>
        <v/>
      </c>
      <c r="O123" s="34">
        <f>IF(OR('Historique ajusté'!O123="",ROW()-Fenetre&lt;6),"",IF(INDEX('Historique ajusté'!O:O,ROW()-Fenetre)="","",'Historique ajusté'!O123/INDEX('Historique ajusté'!O:O,ROW()-Fenetre)-1))</f>
        <v/>
      </c>
      <c r="P123" s="34">
        <f>IF(OR('Historique ajusté'!P123="",ROW()-Fenetre&lt;6),"",IF(INDEX('Historique ajusté'!P:P,ROW()-Fenetre)="","",'Historique ajusté'!P123/INDEX('Historique ajusté'!P:P,ROW()-Fenetre)-1))</f>
        <v/>
      </c>
      <c r="Q123" s="34">
        <f>IF(OR(Composites!L123="",ROW()-Fenetre&lt;6),"",IF(INDEX(Composites!L:L,ROW()-Fenetre)="","",Composites!L123/INDEX(Composites!L:L,ROW()-Fenetre)-1))</f>
        <v/>
      </c>
      <c r="R123" s="34">
        <f>IF(OR(Composites!M123="",ROW()-Fenetre&lt;6),"",IF(INDEX(Composites!M:M,ROW()-Fenetre)="","",Composites!M123/INDEX(Composites!M:M,ROW()-Fenetre)-1))</f>
        <v/>
      </c>
      <c r="S123" s="34">
        <f>IF(OR(Composites!N123="",ROW()-Fenetre&lt;6),"",IF(INDEX(Composites!N:N,ROW()-Fenetre)="","",Composites!N123/INDEX(Composites!N:N,ROW()-Fenetre)-1))</f>
        <v/>
      </c>
      <c r="T123" s="34">
        <f>IF(OR(Composites!O123="",ROW()-Fenetre&lt;6),"",IF(INDEX(Composites!O:O,ROW()-Fenetre)="","",Composites!O123/INDEX(Composites!O:O,ROW()-Fenetre)-1))</f>
        <v/>
      </c>
      <c r="U123" s="34">
        <f>IF(OR(Composites!P123="",ROW()-Fenetre&lt;6),"",IF(INDEX(Composites!P:P,ROW()-Fenetre)="","",Composites!P123/INDEX(Composites!P:P,ROW()-Fenetre)-1))</f>
        <v/>
      </c>
      <c r="V123" s="34">
        <f>IF('Historique ajusté'!C123="","",'Historique ajusté'!C123/MAX('Historique ajusté'!C$6:C123)-1)</f>
        <v/>
      </c>
      <c r="W123" s="34">
        <f>IF('Historique ajusté'!D123="","",'Historique ajusté'!D123/MAX('Historique ajusté'!D$6:D123)-1)</f>
        <v/>
      </c>
      <c r="X123" s="34">
        <f>IF('Historique ajusté'!E123="","",'Historique ajusté'!E123/MAX('Historique ajusté'!E$6:E123)-1)</f>
        <v/>
      </c>
      <c r="Y123" s="34">
        <f>IF('Historique ajusté'!F123="","",'Historique ajusté'!F123/MAX('Historique ajusté'!F$6:F123)-1)</f>
        <v/>
      </c>
      <c r="Z123" s="34">
        <f>IF('Historique ajusté'!G123="","",'Historique ajusté'!G123/MAX('Historique ajusté'!G$6:G123)-1)</f>
        <v/>
      </c>
      <c r="AA123" s="34">
        <f>IF('Historique ajusté'!H123="","",'Historique ajusté'!H123/MAX('Historique ajusté'!H$6:H123)-1)</f>
        <v/>
      </c>
      <c r="AB123" s="34">
        <f>IF('Historique ajusté'!I123="","",'Historique ajusté'!I123/MAX('Historique ajusté'!I$6:I123)-1)</f>
        <v/>
      </c>
      <c r="AC123" s="34">
        <f>IF('Historique ajusté'!J123="","",'Historique ajusté'!J123/MAX('Historique ajusté'!J$6:J123)-1)</f>
        <v/>
      </c>
      <c r="AD123" s="34">
        <f>IF('Historique ajusté'!K123="","",'Historique ajusté'!K123/MAX('Historique ajusté'!K$6:K123)-1)</f>
        <v/>
      </c>
      <c r="AE123" s="34">
        <f>IF('Historique ajusté'!L123="","",'Historique ajusté'!L123/MAX('Historique ajusté'!L$6:L123)-1)</f>
        <v/>
      </c>
      <c r="AF123" s="34">
        <f>IF('Historique ajusté'!M123="","",'Historique ajusté'!M123/MAX('Historique ajusté'!M$6:M123)-1)</f>
        <v/>
      </c>
      <c r="AG123" s="34">
        <f>IF('Historique ajusté'!N123="","",'Historique ajusté'!N123/MAX('Historique ajusté'!N$6:N123)-1)</f>
        <v/>
      </c>
      <c r="AH123" s="34">
        <f>IF('Historique ajusté'!O123="","",'Historique ajusté'!O123/MAX('Historique ajusté'!O$6:O123)-1)</f>
        <v/>
      </c>
      <c r="AI123" s="34">
        <f>IF('Historique ajusté'!P123="","",'Historique ajusté'!P123/MAX('Historique ajusté'!P$6:P123)-1)</f>
        <v/>
      </c>
      <c r="AJ123" s="34">
        <f>IF(Composites!L123="","",Composites!L123/MAX(Composites!L$6:L123)-1)</f>
        <v/>
      </c>
      <c r="AK123" s="34">
        <f>IF(Composites!M123="","",Composites!M123/MAX(Composites!M$6:M123)-1)</f>
        <v/>
      </c>
      <c r="AL123" s="34">
        <f>IF(Composites!N123="","",Composites!N123/MAX(Composites!N$6:N123)-1)</f>
        <v/>
      </c>
      <c r="AM123" s="34">
        <f>IF(Composites!O123="","",Composites!O123/MAX(Composites!O$6:O123)-1)</f>
        <v/>
      </c>
      <c r="AN123" s="34">
        <f>IF(Composites!P123="","",Composites!P123/MAX(Composites!P$6:P123)-1)</f>
        <v/>
      </c>
    </row>
    <row r="124">
      <c r="B124" s="32">
        <f>'Historique ajusté'!B124</f>
        <v/>
      </c>
      <c r="C124" s="34">
        <f>IF(OR('Historique ajusté'!C124="",ROW()-Fenetre&lt;6),"",IF(INDEX('Historique ajusté'!C:C,ROW()-Fenetre)="","",'Historique ajusté'!C124/INDEX('Historique ajusté'!C:C,ROW()-Fenetre)-1))</f>
        <v/>
      </c>
      <c r="D124" s="34">
        <f>IF(OR('Historique ajusté'!D124="",ROW()-Fenetre&lt;6),"",IF(INDEX('Historique ajusté'!D:D,ROW()-Fenetre)="","",'Historique ajusté'!D124/INDEX('Historique ajusté'!D:D,ROW()-Fenetre)-1))</f>
        <v/>
      </c>
      <c r="E124" s="34">
        <f>IF(OR('Historique ajusté'!E124="",ROW()-Fenetre&lt;6),"",IF(INDEX('Historique ajusté'!E:E,ROW()-Fenetre)="","",'Historique ajusté'!E124/INDEX('Historique ajusté'!E:E,ROW()-Fenetre)-1))</f>
        <v/>
      </c>
      <c r="F124" s="34">
        <f>IF(OR('Historique ajusté'!F124="",ROW()-Fenetre&lt;6),"",IF(INDEX('Historique ajusté'!F:F,ROW()-Fenetre)="","",'Historique ajusté'!F124/INDEX('Historique ajusté'!F:F,ROW()-Fenetre)-1))</f>
        <v/>
      </c>
      <c r="G124" s="34">
        <f>IF(OR('Historique ajusté'!G124="",ROW()-Fenetre&lt;6),"",IF(INDEX('Historique ajusté'!G:G,ROW()-Fenetre)="","",'Historique ajusté'!G124/INDEX('Historique ajusté'!G:G,ROW()-Fenetre)-1))</f>
        <v/>
      </c>
      <c r="H124" s="34">
        <f>IF(OR('Historique ajusté'!H124="",ROW()-Fenetre&lt;6),"",IF(INDEX('Historique ajusté'!H:H,ROW()-Fenetre)="","",'Historique ajusté'!H124/INDEX('Historique ajusté'!H:H,ROW()-Fenetre)-1))</f>
        <v/>
      </c>
      <c r="I124" s="34">
        <f>IF(OR('Historique ajusté'!I124="",ROW()-Fenetre&lt;6),"",IF(INDEX('Historique ajusté'!I:I,ROW()-Fenetre)="","",'Historique ajusté'!I124/INDEX('Historique ajusté'!I:I,ROW()-Fenetre)-1))</f>
        <v/>
      </c>
      <c r="J124" s="34">
        <f>IF(OR('Historique ajusté'!J124="",ROW()-Fenetre&lt;6),"",IF(INDEX('Historique ajusté'!J:J,ROW()-Fenetre)="","",'Historique ajusté'!J124/INDEX('Historique ajusté'!J:J,ROW()-Fenetre)-1))</f>
        <v/>
      </c>
      <c r="K124" s="34">
        <f>IF(OR('Historique ajusté'!K124="",ROW()-Fenetre&lt;6),"",IF(INDEX('Historique ajusté'!K:K,ROW()-Fenetre)="","",'Historique ajusté'!K124/INDEX('Historique ajusté'!K:K,ROW()-Fenetre)-1))</f>
        <v/>
      </c>
      <c r="L124" s="34">
        <f>IF(OR('Historique ajusté'!L124="",ROW()-Fenetre&lt;6),"",IF(INDEX('Historique ajusté'!L:L,ROW()-Fenetre)="","",'Historique ajusté'!L124/INDEX('Historique ajusté'!L:L,ROW()-Fenetre)-1))</f>
        <v/>
      </c>
      <c r="M124" s="34">
        <f>IF(OR('Historique ajusté'!M124="",ROW()-Fenetre&lt;6),"",IF(INDEX('Historique ajusté'!M:M,ROW()-Fenetre)="","",'Historique ajusté'!M124/INDEX('Historique ajusté'!M:M,ROW()-Fenetre)-1))</f>
        <v/>
      </c>
      <c r="N124" s="34">
        <f>IF(OR('Historique ajusté'!N124="",ROW()-Fenetre&lt;6),"",IF(INDEX('Historique ajusté'!N:N,ROW()-Fenetre)="","",'Historique ajusté'!N124/INDEX('Historique ajusté'!N:N,ROW()-Fenetre)-1))</f>
        <v/>
      </c>
      <c r="O124" s="34">
        <f>IF(OR('Historique ajusté'!O124="",ROW()-Fenetre&lt;6),"",IF(INDEX('Historique ajusté'!O:O,ROW()-Fenetre)="","",'Historique ajusté'!O124/INDEX('Historique ajusté'!O:O,ROW()-Fenetre)-1))</f>
        <v/>
      </c>
      <c r="P124" s="34">
        <f>IF(OR('Historique ajusté'!P124="",ROW()-Fenetre&lt;6),"",IF(INDEX('Historique ajusté'!P:P,ROW()-Fenetre)="","",'Historique ajusté'!P124/INDEX('Historique ajusté'!P:P,ROW()-Fenetre)-1))</f>
        <v/>
      </c>
      <c r="Q124" s="34">
        <f>IF(OR(Composites!L124="",ROW()-Fenetre&lt;6),"",IF(INDEX(Composites!L:L,ROW()-Fenetre)="","",Composites!L124/INDEX(Composites!L:L,ROW()-Fenetre)-1))</f>
        <v/>
      </c>
      <c r="R124" s="34">
        <f>IF(OR(Composites!M124="",ROW()-Fenetre&lt;6),"",IF(INDEX(Composites!M:M,ROW()-Fenetre)="","",Composites!M124/INDEX(Composites!M:M,ROW()-Fenetre)-1))</f>
        <v/>
      </c>
      <c r="S124" s="34">
        <f>IF(OR(Composites!N124="",ROW()-Fenetre&lt;6),"",IF(INDEX(Composites!N:N,ROW()-Fenetre)="","",Composites!N124/INDEX(Composites!N:N,ROW()-Fenetre)-1))</f>
        <v/>
      </c>
      <c r="T124" s="34">
        <f>IF(OR(Composites!O124="",ROW()-Fenetre&lt;6),"",IF(INDEX(Composites!O:O,ROW()-Fenetre)="","",Composites!O124/INDEX(Composites!O:O,ROW()-Fenetre)-1))</f>
        <v/>
      </c>
      <c r="U124" s="34">
        <f>IF(OR(Composites!P124="",ROW()-Fenetre&lt;6),"",IF(INDEX(Composites!P:P,ROW()-Fenetre)="","",Composites!P124/INDEX(Composites!P:P,ROW()-Fenetre)-1))</f>
        <v/>
      </c>
      <c r="V124" s="34">
        <f>IF('Historique ajusté'!C124="","",'Historique ajusté'!C124/MAX('Historique ajusté'!C$6:C124)-1)</f>
        <v/>
      </c>
      <c r="W124" s="34">
        <f>IF('Historique ajusté'!D124="","",'Historique ajusté'!D124/MAX('Historique ajusté'!D$6:D124)-1)</f>
        <v/>
      </c>
      <c r="X124" s="34">
        <f>IF('Historique ajusté'!E124="","",'Historique ajusté'!E124/MAX('Historique ajusté'!E$6:E124)-1)</f>
        <v/>
      </c>
      <c r="Y124" s="34">
        <f>IF('Historique ajusté'!F124="","",'Historique ajusté'!F124/MAX('Historique ajusté'!F$6:F124)-1)</f>
        <v/>
      </c>
      <c r="Z124" s="34">
        <f>IF('Historique ajusté'!G124="","",'Historique ajusté'!G124/MAX('Historique ajusté'!G$6:G124)-1)</f>
        <v/>
      </c>
      <c r="AA124" s="34">
        <f>IF('Historique ajusté'!H124="","",'Historique ajusté'!H124/MAX('Historique ajusté'!H$6:H124)-1)</f>
        <v/>
      </c>
      <c r="AB124" s="34">
        <f>IF('Historique ajusté'!I124="","",'Historique ajusté'!I124/MAX('Historique ajusté'!I$6:I124)-1)</f>
        <v/>
      </c>
      <c r="AC124" s="34">
        <f>IF('Historique ajusté'!J124="","",'Historique ajusté'!J124/MAX('Historique ajusté'!J$6:J124)-1)</f>
        <v/>
      </c>
      <c r="AD124" s="34">
        <f>IF('Historique ajusté'!K124="","",'Historique ajusté'!K124/MAX('Historique ajusté'!K$6:K124)-1)</f>
        <v/>
      </c>
      <c r="AE124" s="34">
        <f>IF('Historique ajusté'!L124="","",'Historique ajusté'!L124/MAX('Historique ajusté'!L$6:L124)-1)</f>
        <v/>
      </c>
      <c r="AF124" s="34">
        <f>IF('Historique ajusté'!M124="","",'Historique ajusté'!M124/MAX('Historique ajusté'!M$6:M124)-1)</f>
        <v/>
      </c>
      <c r="AG124" s="34">
        <f>IF('Historique ajusté'!N124="","",'Historique ajusté'!N124/MAX('Historique ajusté'!N$6:N124)-1)</f>
        <v/>
      </c>
      <c r="AH124" s="34">
        <f>IF('Historique ajusté'!O124="","",'Historique ajusté'!O124/MAX('Historique ajusté'!O$6:O124)-1)</f>
        <v/>
      </c>
      <c r="AI124" s="34">
        <f>IF('Historique ajusté'!P124="","",'Historique ajusté'!P124/MAX('Historique ajusté'!P$6:P124)-1)</f>
        <v/>
      </c>
      <c r="AJ124" s="34">
        <f>IF(Composites!L124="","",Composites!L124/MAX(Composites!L$6:L124)-1)</f>
        <v/>
      </c>
      <c r="AK124" s="34">
        <f>IF(Composites!M124="","",Composites!M124/MAX(Composites!M$6:M124)-1)</f>
        <v/>
      </c>
      <c r="AL124" s="34">
        <f>IF(Composites!N124="","",Composites!N124/MAX(Composites!N$6:N124)-1)</f>
        <v/>
      </c>
      <c r="AM124" s="34">
        <f>IF(Composites!O124="","",Composites!O124/MAX(Composites!O$6:O124)-1)</f>
        <v/>
      </c>
      <c r="AN124" s="34">
        <f>IF(Composites!P124="","",Composites!P124/MAX(Composites!P$6:P124)-1)</f>
        <v/>
      </c>
    </row>
    <row r="125">
      <c r="B125" s="32">
        <f>'Historique ajusté'!B125</f>
        <v/>
      </c>
      <c r="C125" s="34">
        <f>IF(OR('Historique ajusté'!C125="",ROW()-Fenetre&lt;6),"",IF(INDEX('Historique ajusté'!C:C,ROW()-Fenetre)="","",'Historique ajusté'!C125/INDEX('Historique ajusté'!C:C,ROW()-Fenetre)-1))</f>
        <v/>
      </c>
      <c r="D125" s="34">
        <f>IF(OR('Historique ajusté'!D125="",ROW()-Fenetre&lt;6),"",IF(INDEX('Historique ajusté'!D:D,ROW()-Fenetre)="","",'Historique ajusté'!D125/INDEX('Historique ajusté'!D:D,ROW()-Fenetre)-1))</f>
        <v/>
      </c>
      <c r="E125" s="34">
        <f>IF(OR('Historique ajusté'!E125="",ROW()-Fenetre&lt;6),"",IF(INDEX('Historique ajusté'!E:E,ROW()-Fenetre)="","",'Historique ajusté'!E125/INDEX('Historique ajusté'!E:E,ROW()-Fenetre)-1))</f>
        <v/>
      </c>
      <c r="F125" s="34">
        <f>IF(OR('Historique ajusté'!F125="",ROW()-Fenetre&lt;6),"",IF(INDEX('Historique ajusté'!F:F,ROW()-Fenetre)="","",'Historique ajusté'!F125/INDEX('Historique ajusté'!F:F,ROW()-Fenetre)-1))</f>
        <v/>
      </c>
      <c r="G125" s="34">
        <f>IF(OR('Historique ajusté'!G125="",ROW()-Fenetre&lt;6),"",IF(INDEX('Historique ajusté'!G:G,ROW()-Fenetre)="","",'Historique ajusté'!G125/INDEX('Historique ajusté'!G:G,ROW()-Fenetre)-1))</f>
        <v/>
      </c>
      <c r="H125" s="34">
        <f>IF(OR('Historique ajusté'!H125="",ROW()-Fenetre&lt;6),"",IF(INDEX('Historique ajusté'!H:H,ROW()-Fenetre)="","",'Historique ajusté'!H125/INDEX('Historique ajusté'!H:H,ROW()-Fenetre)-1))</f>
        <v/>
      </c>
      <c r="I125" s="34">
        <f>IF(OR('Historique ajusté'!I125="",ROW()-Fenetre&lt;6),"",IF(INDEX('Historique ajusté'!I:I,ROW()-Fenetre)="","",'Historique ajusté'!I125/INDEX('Historique ajusté'!I:I,ROW()-Fenetre)-1))</f>
        <v/>
      </c>
      <c r="J125" s="34">
        <f>IF(OR('Historique ajusté'!J125="",ROW()-Fenetre&lt;6),"",IF(INDEX('Historique ajusté'!J:J,ROW()-Fenetre)="","",'Historique ajusté'!J125/INDEX('Historique ajusté'!J:J,ROW()-Fenetre)-1))</f>
        <v/>
      </c>
      <c r="K125" s="34">
        <f>IF(OR('Historique ajusté'!K125="",ROW()-Fenetre&lt;6),"",IF(INDEX('Historique ajusté'!K:K,ROW()-Fenetre)="","",'Historique ajusté'!K125/INDEX('Historique ajusté'!K:K,ROW()-Fenetre)-1))</f>
        <v/>
      </c>
      <c r="L125" s="34">
        <f>IF(OR('Historique ajusté'!L125="",ROW()-Fenetre&lt;6),"",IF(INDEX('Historique ajusté'!L:L,ROW()-Fenetre)="","",'Historique ajusté'!L125/INDEX('Historique ajusté'!L:L,ROW()-Fenetre)-1))</f>
        <v/>
      </c>
      <c r="M125" s="34">
        <f>IF(OR('Historique ajusté'!M125="",ROW()-Fenetre&lt;6),"",IF(INDEX('Historique ajusté'!M:M,ROW()-Fenetre)="","",'Historique ajusté'!M125/INDEX('Historique ajusté'!M:M,ROW()-Fenetre)-1))</f>
        <v/>
      </c>
      <c r="N125" s="34">
        <f>IF(OR('Historique ajusté'!N125="",ROW()-Fenetre&lt;6),"",IF(INDEX('Historique ajusté'!N:N,ROW()-Fenetre)="","",'Historique ajusté'!N125/INDEX('Historique ajusté'!N:N,ROW()-Fenetre)-1))</f>
        <v/>
      </c>
      <c r="O125" s="34">
        <f>IF(OR('Historique ajusté'!O125="",ROW()-Fenetre&lt;6),"",IF(INDEX('Historique ajusté'!O:O,ROW()-Fenetre)="","",'Historique ajusté'!O125/INDEX('Historique ajusté'!O:O,ROW()-Fenetre)-1))</f>
        <v/>
      </c>
      <c r="P125" s="34">
        <f>IF(OR('Historique ajusté'!P125="",ROW()-Fenetre&lt;6),"",IF(INDEX('Historique ajusté'!P:P,ROW()-Fenetre)="","",'Historique ajusté'!P125/INDEX('Historique ajusté'!P:P,ROW()-Fenetre)-1))</f>
        <v/>
      </c>
      <c r="Q125" s="34">
        <f>IF(OR(Composites!L125="",ROW()-Fenetre&lt;6),"",IF(INDEX(Composites!L:L,ROW()-Fenetre)="","",Composites!L125/INDEX(Composites!L:L,ROW()-Fenetre)-1))</f>
        <v/>
      </c>
      <c r="R125" s="34">
        <f>IF(OR(Composites!M125="",ROW()-Fenetre&lt;6),"",IF(INDEX(Composites!M:M,ROW()-Fenetre)="","",Composites!M125/INDEX(Composites!M:M,ROW()-Fenetre)-1))</f>
        <v/>
      </c>
      <c r="S125" s="34">
        <f>IF(OR(Composites!N125="",ROW()-Fenetre&lt;6),"",IF(INDEX(Composites!N:N,ROW()-Fenetre)="","",Composites!N125/INDEX(Composites!N:N,ROW()-Fenetre)-1))</f>
        <v/>
      </c>
      <c r="T125" s="34">
        <f>IF(OR(Composites!O125="",ROW()-Fenetre&lt;6),"",IF(INDEX(Composites!O:O,ROW()-Fenetre)="","",Composites!O125/INDEX(Composites!O:O,ROW()-Fenetre)-1))</f>
        <v/>
      </c>
      <c r="U125" s="34">
        <f>IF(OR(Composites!P125="",ROW()-Fenetre&lt;6),"",IF(INDEX(Composites!P:P,ROW()-Fenetre)="","",Composites!P125/INDEX(Composites!P:P,ROW()-Fenetre)-1))</f>
        <v/>
      </c>
      <c r="V125" s="34">
        <f>IF('Historique ajusté'!C125="","",'Historique ajusté'!C125/MAX('Historique ajusté'!C$6:C125)-1)</f>
        <v/>
      </c>
      <c r="W125" s="34">
        <f>IF('Historique ajusté'!D125="","",'Historique ajusté'!D125/MAX('Historique ajusté'!D$6:D125)-1)</f>
        <v/>
      </c>
      <c r="X125" s="34">
        <f>IF('Historique ajusté'!E125="","",'Historique ajusté'!E125/MAX('Historique ajusté'!E$6:E125)-1)</f>
        <v/>
      </c>
      <c r="Y125" s="34">
        <f>IF('Historique ajusté'!F125="","",'Historique ajusté'!F125/MAX('Historique ajusté'!F$6:F125)-1)</f>
        <v/>
      </c>
      <c r="Z125" s="34">
        <f>IF('Historique ajusté'!G125="","",'Historique ajusté'!G125/MAX('Historique ajusté'!G$6:G125)-1)</f>
        <v/>
      </c>
      <c r="AA125" s="34">
        <f>IF('Historique ajusté'!H125="","",'Historique ajusté'!H125/MAX('Historique ajusté'!H$6:H125)-1)</f>
        <v/>
      </c>
      <c r="AB125" s="34">
        <f>IF('Historique ajusté'!I125="","",'Historique ajusté'!I125/MAX('Historique ajusté'!I$6:I125)-1)</f>
        <v/>
      </c>
      <c r="AC125" s="34">
        <f>IF('Historique ajusté'!J125="","",'Historique ajusté'!J125/MAX('Historique ajusté'!J$6:J125)-1)</f>
        <v/>
      </c>
      <c r="AD125" s="34">
        <f>IF('Historique ajusté'!K125="","",'Historique ajusté'!K125/MAX('Historique ajusté'!K$6:K125)-1)</f>
        <v/>
      </c>
      <c r="AE125" s="34">
        <f>IF('Historique ajusté'!L125="","",'Historique ajusté'!L125/MAX('Historique ajusté'!L$6:L125)-1)</f>
        <v/>
      </c>
      <c r="AF125" s="34">
        <f>IF('Historique ajusté'!M125="","",'Historique ajusté'!M125/MAX('Historique ajusté'!M$6:M125)-1)</f>
        <v/>
      </c>
      <c r="AG125" s="34">
        <f>IF('Historique ajusté'!N125="","",'Historique ajusté'!N125/MAX('Historique ajusté'!N$6:N125)-1)</f>
        <v/>
      </c>
      <c r="AH125" s="34">
        <f>IF('Historique ajusté'!O125="","",'Historique ajusté'!O125/MAX('Historique ajusté'!O$6:O125)-1)</f>
        <v/>
      </c>
      <c r="AI125" s="34">
        <f>IF('Historique ajusté'!P125="","",'Historique ajusté'!P125/MAX('Historique ajusté'!P$6:P125)-1)</f>
        <v/>
      </c>
      <c r="AJ125" s="34">
        <f>IF(Composites!L125="","",Composites!L125/MAX(Composites!L$6:L125)-1)</f>
        <v/>
      </c>
      <c r="AK125" s="34">
        <f>IF(Composites!M125="","",Composites!M125/MAX(Composites!M$6:M125)-1)</f>
        <v/>
      </c>
      <c r="AL125" s="34">
        <f>IF(Composites!N125="","",Composites!N125/MAX(Composites!N$6:N125)-1)</f>
        <v/>
      </c>
      <c r="AM125" s="34">
        <f>IF(Composites!O125="","",Composites!O125/MAX(Composites!O$6:O125)-1)</f>
        <v/>
      </c>
      <c r="AN125" s="34">
        <f>IF(Composites!P125="","",Composites!P125/MAX(Composites!P$6:P125)-1)</f>
        <v/>
      </c>
    </row>
    <row r="126">
      <c r="B126" s="32">
        <f>'Historique ajusté'!B126</f>
        <v/>
      </c>
      <c r="C126" s="34">
        <f>IF(OR('Historique ajusté'!C126="",ROW()-Fenetre&lt;6),"",IF(INDEX('Historique ajusté'!C:C,ROW()-Fenetre)="","",'Historique ajusté'!C126/INDEX('Historique ajusté'!C:C,ROW()-Fenetre)-1))</f>
        <v/>
      </c>
      <c r="D126" s="34">
        <f>IF(OR('Historique ajusté'!D126="",ROW()-Fenetre&lt;6),"",IF(INDEX('Historique ajusté'!D:D,ROW()-Fenetre)="","",'Historique ajusté'!D126/INDEX('Historique ajusté'!D:D,ROW()-Fenetre)-1))</f>
        <v/>
      </c>
      <c r="E126" s="34">
        <f>IF(OR('Historique ajusté'!E126="",ROW()-Fenetre&lt;6),"",IF(INDEX('Historique ajusté'!E:E,ROW()-Fenetre)="","",'Historique ajusté'!E126/INDEX('Historique ajusté'!E:E,ROW()-Fenetre)-1))</f>
        <v/>
      </c>
      <c r="F126" s="34">
        <f>IF(OR('Historique ajusté'!F126="",ROW()-Fenetre&lt;6),"",IF(INDEX('Historique ajusté'!F:F,ROW()-Fenetre)="","",'Historique ajusté'!F126/INDEX('Historique ajusté'!F:F,ROW()-Fenetre)-1))</f>
        <v/>
      </c>
      <c r="G126" s="34">
        <f>IF(OR('Historique ajusté'!G126="",ROW()-Fenetre&lt;6),"",IF(INDEX('Historique ajusté'!G:G,ROW()-Fenetre)="","",'Historique ajusté'!G126/INDEX('Historique ajusté'!G:G,ROW()-Fenetre)-1))</f>
        <v/>
      </c>
      <c r="H126" s="34">
        <f>IF(OR('Historique ajusté'!H126="",ROW()-Fenetre&lt;6),"",IF(INDEX('Historique ajusté'!H:H,ROW()-Fenetre)="","",'Historique ajusté'!H126/INDEX('Historique ajusté'!H:H,ROW()-Fenetre)-1))</f>
        <v/>
      </c>
      <c r="I126" s="34">
        <f>IF(OR('Historique ajusté'!I126="",ROW()-Fenetre&lt;6),"",IF(INDEX('Historique ajusté'!I:I,ROW()-Fenetre)="","",'Historique ajusté'!I126/INDEX('Historique ajusté'!I:I,ROW()-Fenetre)-1))</f>
        <v/>
      </c>
      <c r="J126" s="34">
        <f>IF(OR('Historique ajusté'!J126="",ROW()-Fenetre&lt;6),"",IF(INDEX('Historique ajusté'!J:J,ROW()-Fenetre)="","",'Historique ajusté'!J126/INDEX('Historique ajusté'!J:J,ROW()-Fenetre)-1))</f>
        <v/>
      </c>
      <c r="K126" s="34">
        <f>IF(OR('Historique ajusté'!K126="",ROW()-Fenetre&lt;6),"",IF(INDEX('Historique ajusté'!K:K,ROW()-Fenetre)="","",'Historique ajusté'!K126/INDEX('Historique ajusté'!K:K,ROW()-Fenetre)-1))</f>
        <v/>
      </c>
      <c r="L126" s="34">
        <f>IF(OR('Historique ajusté'!L126="",ROW()-Fenetre&lt;6),"",IF(INDEX('Historique ajusté'!L:L,ROW()-Fenetre)="","",'Historique ajusté'!L126/INDEX('Historique ajusté'!L:L,ROW()-Fenetre)-1))</f>
        <v/>
      </c>
      <c r="M126" s="34">
        <f>IF(OR('Historique ajusté'!M126="",ROW()-Fenetre&lt;6),"",IF(INDEX('Historique ajusté'!M:M,ROW()-Fenetre)="","",'Historique ajusté'!M126/INDEX('Historique ajusté'!M:M,ROW()-Fenetre)-1))</f>
        <v/>
      </c>
      <c r="N126" s="34">
        <f>IF(OR('Historique ajusté'!N126="",ROW()-Fenetre&lt;6),"",IF(INDEX('Historique ajusté'!N:N,ROW()-Fenetre)="","",'Historique ajusté'!N126/INDEX('Historique ajusté'!N:N,ROW()-Fenetre)-1))</f>
        <v/>
      </c>
      <c r="O126" s="34">
        <f>IF(OR('Historique ajusté'!O126="",ROW()-Fenetre&lt;6),"",IF(INDEX('Historique ajusté'!O:O,ROW()-Fenetre)="","",'Historique ajusté'!O126/INDEX('Historique ajusté'!O:O,ROW()-Fenetre)-1))</f>
        <v/>
      </c>
      <c r="P126" s="34">
        <f>IF(OR('Historique ajusté'!P126="",ROW()-Fenetre&lt;6),"",IF(INDEX('Historique ajusté'!P:P,ROW()-Fenetre)="","",'Historique ajusté'!P126/INDEX('Historique ajusté'!P:P,ROW()-Fenetre)-1))</f>
        <v/>
      </c>
      <c r="Q126" s="34">
        <f>IF(OR(Composites!L126="",ROW()-Fenetre&lt;6),"",IF(INDEX(Composites!L:L,ROW()-Fenetre)="","",Composites!L126/INDEX(Composites!L:L,ROW()-Fenetre)-1))</f>
        <v/>
      </c>
      <c r="R126" s="34">
        <f>IF(OR(Composites!M126="",ROW()-Fenetre&lt;6),"",IF(INDEX(Composites!M:M,ROW()-Fenetre)="","",Composites!M126/INDEX(Composites!M:M,ROW()-Fenetre)-1))</f>
        <v/>
      </c>
      <c r="S126" s="34">
        <f>IF(OR(Composites!N126="",ROW()-Fenetre&lt;6),"",IF(INDEX(Composites!N:N,ROW()-Fenetre)="","",Composites!N126/INDEX(Composites!N:N,ROW()-Fenetre)-1))</f>
        <v/>
      </c>
      <c r="T126" s="34">
        <f>IF(OR(Composites!O126="",ROW()-Fenetre&lt;6),"",IF(INDEX(Composites!O:O,ROW()-Fenetre)="","",Composites!O126/INDEX(Composites!O:O,ROW()-Fenetre)-1))</f>
        <v/>
      </c>
      <c r="U126" s="34">
        <f>IF(OR(Composites!P126="",ROW()-Fenetre&lt;6),"",IF(INDEX(Composites!P:P,ROW()-Fenetre)="","",Composites!P126/INDEX(Composites!P:P,ROW()-Fenetre)-1))</f>
        <v/>
      </c>
      <c r="V126" s="34">
        <f>IF('Historique ajusté'!C126="","",'Historique ajusté'!C126/MAX('Historique ajusté'!C$6:C126)-1)</f>
        <v/>
      </c>
      <c r="W126" s="34">
        <f>IF('Historique ajusté'!D126="","",'Historique ajusté'!D126/MAX('Historique ajusté'!D$6:D126)-1)</f>
        <v/>
      </c>
      <c r="X126" s="34">
        <f>IF('Historique ajusté'!E126="","",'Historique ajusté'!E126/MAX('Historique ajusté'!E$6:E126)-1)</f>
        <v/>
      </c>
      <c r="Y126" s="34">
        <f>IF('Historique ajusté'!F126="","",'Historique ajusté'!F126/MAX('Historique ajusté'!F$6:F126)-1)</f>
        <v/>
      </c>
      <c r="Z126" s="34">
        <f>IF('Historique ajusté'!G126="","",'Historique ajusté'!G126/MAX('Historique ajusté'!G$6:G126)-1)</f>
        <v/>
      </c>
      <c r="AA126" s="34">
        <f>IF('Historique ajusté'!H126="","",'Historique ajusté'!H126/MAX('Historique ajusté'!H$6:H126)-1)</f>
        <v/>
      </c>
      <c r="AB126" s="34">
        <f>IF('Historique ajusté'!I126="","",'Historique ajusté'!I126/MAX('Historique ajusté'!I$6:I126)-1)</f>
        <v/>
      </c>
      <c r="AC126" s="34">
        <f>IF('Historique ajusté'!J126="","",'Historique ajusté'!J126/MAX('Historique ajusté'!J$6:J126)-1)</f>
        <v/>
      </c>
      <c r="AD126" s="34">
        <f>IF('Historique ajusté'!K126="","",'Historique ajusté'!K126/MAX('Historique ajusté'!K$6:K126)-1)</f>
        <v/>
      </c>
      <c r="AE126" s="34">
        <f>IF('Historique ajusté'!L126="","",'Historique ajusté'!L126/MAX('Historique ajusté'!L$6:L126)-1)</f>
        <v/>
      </c>
      <c r="AF126" s="34">
        <f>IF('Historique ajusté'!M126="","",'Historique ajusté'!M126/MAX('Historique ajusté'!M$6:M126)-1)</f>
        <v/>
      </c>
      <c r="AG126" s="34">
        <f>IF('Historique ajusté'!N126="","",'Historique ajusté'!N126/MAX('Historique ajusté'!N$6:N126)-1)</f>
        <v/>
      </c>
      <c r="AH126" s="34">
        <f>IF('Historique ajusté'!O126="","",'Historique ajusté'!O126/MAX('Historique ajusté'!O$6:O126)-1)</f>
        <v/>
      </c>
      <c r="AI126" s="34">
        <f>IF('Historique ajusté'!P126="","",'Historique ajusté'!P126/MAX('Historique ajusté'!P$6:P126)-1)</f>
        <v/>
      </c>
      <c r="AJ126" s="34">
        <f>IF(Composites!L126="","",Composites!L126/MAX(Composites!L$6:L126)-1)</f>
        <v/>
      </c>
      <c r="AK126" s="34">
        <f>IF(Composites!M126="","",Composites!M126/MAX(Composites!M$6:M126)-1)</f>
        <v/>
      </c>
      <c r="AL126" s="34">
        <f>IF(Composites!N126="","",Composites!N126/MAX(Composites!N$6:N126)-1)</f>
        <v/>
      </c>
      <c r="AM126" s="34">
        <f>IF(Composites!O126="","",Composites!O126/MAX(Composites!O$6:O126)-1)</f>
        <v/>
      </c>
      <c r="AN126" s="34">
        <f>IF(Composites!P126="","",Composites!P126/MAX(Composites!P$6:P126)-1)</f>
        <v/>
      </c>
    </row>
    <row r="127">
      <c r="B127" s="32">
        <f>'Historique ajusté'!B127</f>
        <v/>
      </c>
      <c r="C127" s="34">
        <f>IF(OR('Historique ajusté'!C127="",ROW()-Fenetre&lt;6),"",IF(INDEX('Historique ajusté'!C:C,ROW()-Fenetre)="","",'Historique ajusté'!C127/INDEX('Historique ajusté'!C:C,ROW()-Fenetre)-1))</f>
        <v/>
      </c>
      <c r="D127" s="34">
        <f>IF(OR('Historique ajusté'!D127="",ROW()-Fenetre&lt;6),"",IF(INDEX('Historique ajusté'!D:D,ROW()-Fenetre)="","",'Historique ajusté'!D127/INDEX('Historique ajusté'!D:D,ROW()-Fenetre)-1))</f>
        <v/>
      </c>
      <c r="E127" s="34">
        <f>IF(OR('Historique ajusté'!E127="",ROW()-Fenetre&lt;6),"",IF(INDEX('Historique ajusté'!E:E,ROW()-Fenetre)="","",'Historique ajusté'!E127/INDEX('Historique ajusté'!E:E,ROW()-Fenetre)-1))</f>
        <v/>
      </c>
      <c r="F127" s="34">
        <f>IF(OR('Historique ajusté'!F127="",ROW()-Fenetre&lt;6),"",IF(INDEX('Historique ajusté'!F:F,ROW()-Fenetre)="","",'Historique ajusté'!F127/INDEX('Historique ajusté'!F:F,ROW()-Fenetre)-1))</f>
        <v/>
      </c>
      <c r="G127" s="34">
        <f>IF(OR('Historique ajusté'!G127="",ROW()-Fenetre&lt;6),"",IF(INDEX('Historique ajusté'!G:G,ROW()-Fenetre)="","",'Historique ajusté'!G127/INDEX('Historique ajusté'!G:G,ROW()-Fenetre)-1))</f>
        <v/>
      </c>
      <c r="H127" s="34">
        <f>IF(OR('Historique ajusté'!H127="",ROW()-Fenetre&lt;6),"",IF(INDEX('Historique ajusté'!H:H,ROW()-Fenetre)="","",'Historique ajusté'!H127/INDEX('Historique ajusté'!H:H,ROW()-Fenetre)-1))</f>
        <v/>
      </c>
      <c r="I127" s="34">
        <f>IF(OR('Historique ajusté'!I127="",ROW()-Fenetre&lt;6),"",IF(INDEX('Historique ajusté'!I:I,ROW()-Fenetre)="","",'Historique ajusté'!I127/INDEX('Historique ajusté'!I:I,ROW()-Fenetre)-1))</f>
        <v/>
      </c>
      <c r="J127" s="34">
        <f>IF(OR('Historique ajusté'!J127="",ROW()-Fenetre&lt;6),"",IF(INDEX('Historique ajusté'!J:J,ROW()-Fenetre)="","",'Historique ajusté'!J127/INDEX('Historique ajusté'!J:J,ROW()-Fenetre)-1))</f>
        <v/>
      </c>
      <c r="K127" s="34">
        <f>IF(OR('Historique ajusté'!K127="",ROW()-Fenetre&lt;6),"",IF(INDEX('Historique ajusté'!K:K,ROW()-Fenetre)="","",'Historique ajusté'!K127/INDEX('Historique ajusté'!K:K,ROW()-Fenetre)-1))</f>
        <v/>
      </c>
      <c r="L127" s="34">
        <f>IF(OR('Historique ajusté'!L127="",ROW()-Fenetre&lt;6),"",IF(INDEX('Historique ajusté'!L:L,ROW()-Fenetre)="","",'Historique ajusté'!L127/INDEX('Historique ajusté'!L:L,ROW()-Fenetre)-1))</f>
        <v/>
      </c>
      <c r="M127" s="34">
        <f>IF(OR('Historique ajusté'!M127="",ROW()-Fenetre&lt;6),"",IF(INDEX('Historique ajusté'!M:M,ROW()-Fenetre)="","",'Historique ajusté'!M127/INDEX('Historique ajusté'!M:M,ROW()-Fenetre)-1))</f>
        <v/>
      </c>
      <c r="N127" s="34">
        <f>IF(OR('Historique ajusté'!N127="",ROW()-Fenetre&lt;6),"",IF(INDEX('Historique ajusté'!N:N,ROW()-Fenetre)="","",'Historique ajusté'!N127/INDEX('Historique ajusté'!N:N,ROW()-Fenetre)-1))</f>
        <v/>
      </c>
      <c r="O127" s="34">
        <f>IF(OR('Historique ajusté'!O127="",ROW()-Fenetre&lt;6),"",IF(INDEX('Historique ajusté'!O:O,ROW()-Fenetre)="","",'Historique ajusté'!O127/INDEX('Historique ajusté'!O:O,ROW()-Fenetre)-1))</f>
        <v/>
      </c>
      <c r="P127" s="34">
        <f>IF(OR('Historique ajusté'!P127="",ROW()-Fenetre&lt;6),"",IF(INDEX('Historique ajusté'!P:P,ROW()-Fenetre)="","",'Historique ajusté'!P127/INDEX('Historique ajusté'!P:P,ROW()-Fenetre)-1))</f>
        <v/>
      </c>
      <c r="Q127" s="34">
        <f>IF(OR(Composites!L127="",ROW()-Fenetre&lt;6),"",IF(INDEX(Composites!L:L,ROW()-Fenetre)="","",Composites!L127/INDEX(Composites!L:L,ROW()-Fenetre)-1))</f>
        <v/>
      </c>
      <c r="R127" s="34">
        <f>IF(OR(Composites!M127="",ROW()-Fenetre&lt;6),"",IF(INDEX(Composites!M:M,ROW()-Fenetre)="","",Composites!M127/INDEX(Composites!M:M,ROW()-Fenetre)-1))</f>
        <v/>
      </c>
      <c r="S127" s="34">
        <f>IF(OR(Composites!N127="",ROW()-Fenetre&lt;6),"",IF(INDEX(Composites!N:N,ROW()-Fenetre)="","",Composites!N127/INDEX(Composites!N:N,ROW()-Fenetre)-1))</f>
        <v/>
      </c>
      <c r="T127" s="34">
        <f>IF(OR(Composites!O127="",ROW()-Fenetre&lt;6),"",IF(INDEX(Composites!O:O,ROW()-Fenetre)="","",Composites!O127/INDEX(Composites!O:O,ROW()-Fenetre)-1))</f>
        <v/>
      </c>
      <c r="U127" s="34">
        <f>IF(OR(Composites!P127="",ROW()-Fenetre&lt;6),"",IF(INDEX(Composites!P:P,ROW()-Fenetre)="","",Composites!P127/INDEX(Composites!P:P,ROW()-Fenetre)-1))</f>
        <v/>
      </c>
      <c r="V127" s="34">
        <f>IF('Historique ajusté'!C127="","",'Historique ajusté'!C127/MAX('Historique ajusté'!C$6:C127)-1)</f>
        <v/>
      </c>
      <c r="W127" s="34">
        <f>IF('Historique ajusté'!D127="","",'Historique ajusté'!D127/MAX('Historique ajusté'!D$6:D127)-1)</f>
        <v/>
      </c>
      <c r="X127" s="34">
        <f>IF('Historique ajusté'!E127="","",'Historique ajusté'!E127/MAX('Historique ajusté'!E$6:E127)-1)</f>
        <v/>
      </c>
      <c r="Y127" s="34">
        <f>IF('Historique ajusté'!F127="","",'Historique ajusté'!F127/MAX('Historique ajusté'!F$6:F127)-1)</f>
        <v/>
      </c>
      <c r="Z127" s="34">
        <f>IF('Historique ajusté'!G127="","",'Historique ajusté'!G127/MAX('Historique ajusté'!G$6:G127)-1)</f>
        <v/>
      </c>
      <c r="AA127" s="34">
        <f>IF('Historique ajusté'!H127="","",'Historique ajusté'!H127/MAX('Historique ajusté'!H$6:H127)-1)</f>
        <v/>
      </c>
      <c r="AB127" s="34">
        <f>IF('Historique ajusté'!I127="","",'Historique ajusté'!I127/MAX('Historique ajusté'!I$6:I127)-1)</f>
        <v/>
      </c>
      <c r="AC127" s="34">
        <f>IF('Historique ajusté'!J127="","",'Historique ajusté'!J127/MAX('Historique ajusté'!J$6:J127)-1)</f>
        <v/>
      </c>
      <c r="AD127" s="34">
        <f>IF('Historique ajusté'!K127="","",'Historique ajusté'!K127/MAX('Historique ajusté'!K$6:K127)-1)</f>
        <v/>
      </c>
      <c r="AE127" s="34">
        <f>IF('Historique ajusté'!L127="","",'Historique ajusté'!L127/MAX('Historique ajusté'!L$6:L127)-1)</f>
        <v/>
      </c>
      <c r="AF127" s="34">
        <f>IF('Historique ajusté'!M127="","",'Historique ajusté'!M127/MAX('Historique ajusté'!M$6:M127)-1)</f>
        <v/>
      </c>
      <c r="AG127" s="34">
        <f>IF('Historique ajusté'!N127="","",'Historique ajusté'!N127/MAX('Historique ajusté'!N$6:N127)-1)</f>
        <v/>
      </c>
      <c r="AH127" s="34">
        <f>IF('Historique ajusté'!O127="","",'Historique ajusté'!O127/MAX('Historique ajusté'!O$6:O127)-1)</f>
        <v/>
      </c>
      <c r="AI127" s="34">
        <f>IF('Historique ajusté'!P127="","",'Historique ajusté'!P127/MAX('Historique ajusté'!P$6:P127)-1)</f>
        <v/>
      </c>
      <c r="AJ127" s="34">
        <f>IF(Composites!L127="","",Composites!L127/MAX(Composites!L$6:L127)-1)</f>
        <v/>
      </c>
      <c r="AK127" s="34">
        <f>IF(Composites!M127="","",Composites!M127/MAX(Composites!M$6:M127)-1)</f>
        <v/>
      </c>
      <c r="AL127" s="34">
        <f>IF(Composites!N127="","",Composites!N127/MAX(Composites!N$6:N127)-1)</f>
        <v/>
      </c>
      <c r="AM127" s="34">
        <f>IF(Composites!O127="","",Composites!O127/MAX(Composites!O$6:O127)-1)</f>
        <v/>
      </c>
      <c r="AN127" s="34">
        <f>IF(Composites!P127="","",Composites!P127/MAX(Composites!P$6:P127)-1)</f>
        <v/>
      </c>
    </row>
    <row r="128">
      <c r="B128" s="32">
        <f>'Historique ajusté'!B128</f>
        <v/>
      </c>
      <c r="C128" s="34">
        <f>IF(OR('Historique ajusté'!C128="",ROW()-Fenetre&lt;6),"",IF(INDEX('Historique ajusté'!C:C,ROW()-Fenetre)="","",'Historique ajusté'!C128/INDEX('Historique ajusté'!C:C,ROW()-Fenetre)-1))</f>
        <v/>
      </c>
      <c r="D128" s="34">
        <f>IF(OR('Historique ajusté'!D128="",ROW()-Fenetre&lt;6),"",IF(INDEX('Historique ajusté'!D:D,ROW()-Fenetre)="","",'Historique ajusté'!D128/INDEX('Historique ajusté'!D:D,ROW()-Fenetre)-1))</f>
        <v/>
      </c>
      <c r="E128" s="34">
        <f>IF(OR('Historique ajusté'!E128="",ROW()-Fenetre&lt;6),"",IF(INDEX('Historique ajusté'!E:E,ROW()-Fenetre)="","",'Historique ajusté'!E128/INDEX('Historique ajusté'!E:E,ROW()-Fenetre)-1))</f>
        <v/>
      </c>
      <c r="F128" s="34">
        <f>IF(OR('Historique ajusté'!F128="",ROW()-Fenetre&lt;6),"",IF(INDEX('Historique ajusté'!F:F,ROW()-Fenetre)="","",'Historique ajusté'!F128/INDEX('Historique ajusté'!F:F,ROW()-Fenetre)-1))</f>
        <v/>
      </c>
      <c r="G128" s="34">
        <f>IF(OR('Historique ajusté'!G128="",ROW()-Fenetre&lt;6),"",IF(INDEX('Historique ajusté'!G:G,ROW()-Fenetre)="","",'Historique ajusté'!G128/INDEX('Historique ajusté'!G:G,ROW()-Fenetre)-1))</f>
        <v/>
      </c>
      <c r="H128" s="34">
        <f>IF(OR('Historique ajusté'!H128="",ROW()-Fenetre&lt;6),"",IF(INDEX('Historique ajusté'!H:H,ROW()-Fenetre)="","",'Historique ajusté'!H128/INDEX('Historique ajusté'!H:H,ROW()-Fenetre)-1))</f>
        <v/>
      </c>
      <c r="I128" s="34">
        <f>IF(OR('Historique ajusté'!I128="",ROW()-Fenetre&lt;6),"",IF(INDEX('Historique ajusté'!I:I,ROW()-Fenetre)="","",'Historique ajusté'!I128/INDEX('Historique ajusté'!I:I,ROW()-Fenetre)-1))</f>
        <v/>
      </c>
      <c r="J128" s="34">
        <f>IF(OR('Historique ajusté'!J128="",ROW()-Fenetre&lt;6),"",IF(INDEX('Historique ajusté'!J:J,ROW()-Fenetre)="","",'Historique ajusté'!J128/INDEX('Historique ajusté'!J:J,ROW()-Fenetre)-1))</f>
        <v/>
      </c>
      <c r="K128" s="34">
        <f>IF(OR('Historique ajusté'!K128="",ROW()-Fenetre&lt;6),"",IF(INDEX('Historique ajusté'!K:K,ROW()-Fenetre)="","",'Historique ajusté'!K128/INDEX('Historique ajusté'!K:K,ROW()-Fenetre)-1))</f>
        <v/>
      </c>
      <c r="L128" s="34">
        <f>IF(OR('Historique ajusté'!L128="",ROW()-Fenetre&lt;6),"",IF(INDEX('Historique ajusté'!L:L,ROW()-Fenetre)="","",'Historique ajusté'!L128/INDEX('Historique ajusté'!L:L,ROW()-Fenetre)-1))</f>
        <v/>
      </c>
      <c r="M128" s="34">
        <f>IF(OR('Historique ajusté'!M128="",ROW()-Fenetre&lt;6),"",IF(INDEX('Historique ajusté'!M:M,ROW()-Fenetre)="","",'Historique ajusté'!M128/INDEX('Historique ajusté'!M:M,ROW()-Fenetre)-1))</f>
        <v/>
      </c>
      <c r="N128" s="34">
        <f>IF(OR('Historique ajusté'!N128="",ROW()-Fenetre&lt;6),"",IF(INDEX('Historique ajusté'!N:N,ROW()-Fenetre)="","",'Historique ajusté'!N128/INDEX('Historique ajusté'!N:N,ROW()-Fenetre)-1))</f>
        <v/>
      </c>
      <c r="O128" s="34">
        <f>IF(OR('Historique ajusté'!O128="",ROW()-Fenetre&lt;6),"",IF(INDEX('Historique ajusté'!O:O,ROW()-Fenetre)="","",'Historique ajusté'!O128/INDEX('Historique ajusté'!O:O,ROW()-Fenetre)-1))</f>
        <v/>
      </c>
      <c r="P128" s="34">
        <f>IF(OR('Historique ajusté'!P128="",ROW()-Fenetre&lt;6),"",IF(INDEX('Historique ajusté'!P:P,ROW()-Fenetre)="","",'Historique ajusté'!P128/INDEX('Historique ajusté'!P:P,ROW()-Fenetre)-1))</f>
        <v/>
      </c>
      <c r="Q128" s="34">
        <f>IF(OR(Composites!L128="",ROW()-Fenetre&lt;6),"",IF(INDEX(Composites!L:L,ROW()-Fenetre)="","",Composites!L128/INDEX(Composites!L:L,ROW()-Fenetre)-1))</f>
        <v/>
      </c>
      <c r="R128" s="34">
        <f>IF(OR(Composites!M128="",ROW()-Fenetre&lt;6),"",IF(INDEX(Composites!M:M,ROW()-Fenetre)="","",Composites!M128/INDEX(Composites!M:M,ROW()-Fenetre)-1))</f>
        <v/>
      </c>
      <c r="S128" s="34">
        <f>IF(OR(Composites!N128="",ROW()-Fenetre&lt;6),"",IF(INDEX(Composites!N:N,ROW()-Fenetre)="","",Composites!N128/INDEX(Composites!N:N,ROW()-Fenetre)-1))</f>
        <v/>
      </c>
      <c r="T128" s="34">
        <f>IF(OR(Composites!O128="",ROW()-Fenetre&lt;6),"",IF(INDEX(Composites!O:O,ROW()-Fenetre)="","",Composites!O128/INDEX(Composites!O:O,ROW()-Fenetre)-1))</f>
        <v/>
      </c>
      <c r="U128" s="34">
        <f>IF(OR(Composites!P128="",ROW()-Fenetre&lt;6),"",IF(INDEX(Composites!P:P,ROW()-Fenetre)="","",Composites!P128/INDEX(Composites!P:P,ROW()-Fenetre)-1))</f>
        <v/>
      </c>
      <c r="V128" s="34">
        <f>IF('Historique ajusté'!C128="","",'Historique ajusté'!C128/MAX('Historique ajusté'!C$6:C128)-1)</f>
        <v/>
      </c>
      <c r="W128" s="34">
        <f>IF('Historique ajusté'!D128="","",'Historique ajusté'!D128/MAX('Historique ajusté'!D$6:D128)-1)</f>
        <v/>
      </c>
      <c r="X128" s="34">
        <f>IF('Historique ajusté'!E128="","",'Historique ajusté'!E128/MAX('Historique ajusté'!E$6:E128)-1)</f>
        <v/>
      </c>
      <c r="Y128" s="34">
        <f>IF('Historique ajusté'!F128="","",'Historique ajusté'!F128/MAX('Historique ajusté'!F$6:F128)-1)</f>
        <v/>
      </c>
      <c r="Z128" s="34">
        <f>IF('Historique ajusté'!G128="","",'Historique ajusté'!G128/MAX('Historique ajusté'!G$6:G128)-1)</f>
        <v/>
      </c>
      <c r="AA128" s="34">
        <f>IF('Historique ajusté'!H128="","",'Historique ajusté'!H128/MAX('Historique ajusté'!H$6:H128)-1)</f>
        <v/>
      </c>
      <c r="AB128" s="34">
        <f>IF('Historique ajusté'!I128="","",'Historique ajusté'!I128/MAX('Historique ajusté'!I$6:I128)-1)</f>
        <v/>
      </c>
      <c r="AC128" s="34">
        <f>IF('Historique ajusté'!J128="","",'Historique ajusté'!J128/MAX('Historique ajusté'!J$6:J128)-1)</f>
        <v/>
      </c>
      <c r="AD128" s="34">
        <f>IF('Historique ajusté'!K128="","",'Historique ajusté'!K128/MAX('Historique ajusté'!K$6:K128)-1)</f>
        <v/>
      </c>
      <c r="AE128" s="34">
        <f>IF('Historique ajusté'!L128="","",'Historique ajusté'!L128/MAX('Historique ajusté'!L$6:L128)-1)</f>
        <v/>
      </c>
      <c r="AF128" s="34">
        <f>IF('Historique ajusté'!M128="","",'Historique ajusté'!M128/MAX('Historique ajusté'!M$6:M128)-1)</f>
        <v/>
      </c>
      <c r="AG128" s="34">
        <f>IF('Historique ajusté'!N128="","",'Historique ajusté'!N128/MAX('Historique ajusté'!N$6:N128)-1)</f>
        <v/>
      </c>
      <c r="AH128" s="34">
        <f>IF('Historique ajusté'!O128="","",'Historique ajusté'!O128/MAX('Historique ajusté'!O$6:O128)-1)</f>
        <v/>
      </c>
      <c r="AI128" s="34">
        <f>IF('Historique ajusté'!P128="","",'Historique ajusté'!P128/MAX('Historique ajusté'!P$6:P128)-1)</f>
        <v/>
      </c>
      <c r="AJ128" s="34">
        <f>IF(Composites!L128="","",Composites!L128/MAX(Composites!L$6:L128)-1)</f>
        <v/>
      </c>
      <c r="AK128" s="34">
        <f>IF(Composites!M128="","",Composites!M128/MAX(Composites!M$6:M128)-1)</f>
        <v/>
      </c>
      <c r="AL128" s="34">
        <f>IF(Composites!N128="","",Composites!N128/MAX(Composites!N$6:N128)-1)</f>
        <v/>
      </c>
      <c r="AM128" s="34">
        <f>IF(Composites!O128="","",Composites!O128/MAX(Composites!O$6:O128)-1)</f>
        <v/>
      </c>
      <c r="AN128" s="34">
        <f>IF(Composites!P128="","",Composites!P128/MAX(Composites!P$6:P128)-1)</f>
        <v/>
      </c>
    </row>
    <row r="129">
      <c r="B129" s="32">
        <f>'Historique ajusté'!B129</f>
        <v/>
      </c>
      <c r="C129" s="34">
        <f>IF(OR('Historique ajusté'!C129="",ROW()-Fenetre&lt;6),"",IF(INDEX('Historique ajusté'!C:C,ROW()-Fenetre)="","",'Historique ajusté'!C129/INDEX('Historique ajusté'!C:C,ROW()-Fenetre)-1))</f>
        <v/>
      </c>
      <c r="D129" s="34">
        <f>IF(OR('Historique ajusté'!D129="",ROW()-Fenetre&lt;6),"",IF(INDEX('Historique ajusté'!D:D,ROW()-Fenetre)="","",'Historique ajusté'!D129/INDEX('Historique ajusté'!D:D,ROW()-Fenetre)-1))</f>
        <v/>
      </c>
      <c r="E129" s="34">
        <f>IF(OR('Historique ajusté'!E129="",ROW()-Fenetre&lt;6),"",IF(INDEX('Historique ajusté'!E:E,ROW()-Fenetre)="","",'Historique ajusté'!E129/INDEX('Historique ajusté'!E:E,ROW()-Fenetre)-1))</f>
        <v/>
      </c>
      <c r="F129" s="34">
        <f>IF(OR('Historique ajusté'!F129="",ROW()-Fenetre&lt;6),"",IF(INDEX('Historique ajusté'!F:F,ROW()-Fenetre)="","",'Historique ajusté'!F129/INDEX('Historique ajusté'!F:F,ROW()-Fenetre)-1))</f>
        <v/>
      </c>
      <c r="G129" s="34">
        <f>IF(OR('Historique ajusté'!G129="",ROW()-Fenetre&lt;6),"",IF(INDEX('Historique ajusté'!G:G,ROW()-Fenetre)="","",'Historique ajusté'!G129/INDEX('Historique ajusté'!G:G,ROW()-Fenetre)-1))</f>
        <v/>
      </c>
      <c r="H129" s="34">
        <f>IF(OR('Historique ajusté'!H129="",ROW()-Fenetre&lt;6),"",IF(INDEX('Historique ajusté'!H:H,ROW()-Fenetre)="","",'Historique ajusté'!H129/INDEX('Historique ajusté'!H:H,ROW()-Fenetre)-1))</f>
        <v/>
      </c>
      <c r="I129" s="34">
        <f>IF(OR('Historique ajusté'!I129="",ROW()-Fenetre&lt;6),"",IF(INDEX('Historique ajusté'!I:I,ROW()-Fenetre)="","",'Historique ajusté'!I129/INDEX('Historique ajusté'!I:I,ROW()-Fenetre)-1))</f>
        <v/>
      </c>
      <c r="J129" s="34">
        <f>IF(OR('Historique ajusté'!J129="",ROW()-Fenetre&lt;6),"",IF(INDEX('Historique ajusté'!J:J,ROW()-Fenetre)="","",'Historique ajusté'!J129/INDEX('Historique ajusté'!J:J,ROW()-Fenetre)-1))</f>
        <v/>
      </c>
      <c r="K129" s="34">
        <f>IF(OR('Historique ajusté'!K129="",ROW()-Fenetre&lt;6),"",IF(INDEX('Historique ajusté'!K:K,ROW()-Fenetre)="","",'Historique ajusté'!K129/INDEX('Historique ajusté'!K:K,ROW()-Fenetre)-1))</f>
        <v/>
      </c>
      <c r="L129" s="34">
        <f>IF(OR('Historique ajusté'!L129="",ROW()-Fenetre&lt;6),"",IF(INDEX('Historique ajusté'!L:L,ROW()-Fenetre)="","",'Historique ajusté'!L129/INDEX('Historique ajusté'!L:L,ROW()-Fenetre)-1))</f>
        <v/>
      </c>
      <c r="M129" s="34">
        <f>IF(OR('Historique ajusté'!M129="",ROW()-Fenetre&lt;6),"",IF(INDEX('Historique ajusté'!M:M,ROW()-Fenetre)="","",'Historique ajusté'!M129/INDEX('Historique ajusté'!M:M,ROW()-Fenetre)-1))</f>
        <v/>
      </c>
      <c r="N129" s="34">
        <f>IF(OR('Historique ajusté'!N129="",ROW()-Fenetre&lt;6),"",IF(INDEX('Historique ajusté'!N:N,ROW()-Fenetre)="","",'Historique ajusté'!N129/INDEX('Historique ajusté'!N:N,ROW()-Fenetre)-1))</f>
        <v/>
      </c>
      <c r="O129" s="34">
        <f>IF(OR('Historique ajusté'!O129="",ROW()-Fenetre&lt;6),"",IF(INDEX('Historique ajusté'!O:O,ROW()-Fenetre)="","",'Historique ajusté'!O129/INDEX('Historique ajusté'!O:O,ROW()-Fenetre)-1))</f>
        <v/>
      </c>
      <c r="P129" s="34">
        <f>IF(OR('Historique ajusté'!P129="",ROW()-Fenetre&lt;6),"",IF(INDEX('Historique ajusté'!P:P,ROW()-Fenetre)="","",'Historique ajusté'!P129/INDEX('Historique ajusté'!P:P,ROW()-Fenetre)-1))</f>
        <v/>
      </c>
      <c r="Q129" s="34">
        <f>IF(OR(Composites!L129="",ROW()-Fenetre&lt;6),"",IF(INDEX(Composites!L:L,ROW()-Fenetre)="","",Composites!L129/INDEX(Composites!L:L,ROW()-Fenetre)-1))</f>
        <v/>
      </c>
      <c r="R129" s="34">
        <f>IF(OR(Composites!M129="",ROW()-Fenetre&lt;6),"",IF(INDEX(Composites!M:M,ROW()-Fenetre)="","",Composites!M129/INDEX(Composites!M:M,ROW()-Fenetre)-1))</f>
        <v/>
      </c>
      <c r="S129" s="34">
        <f>IF(OR(Composites!N129="",ROW()-Fenetre&lt;6),"",IF(INDEX(Composites!N:N,ROW()-Fenetre)="","",Composites!N129/INDEX(Composites!N:N,ROW()-Fenetre)-1))</f>
        <v/>
      </c>
      <c r="T129" s="34">
        <f>IF(OR(Composites!O129="",ROW()-Fenetre&lt;6),"",IF(INDEX(Composites!O:O,ROW()-Fenetre)="","",Composites!O129/INDEX(Composites!O:O,ROW()-Fenetre)-1))</f>
        <v/>
      </c>
      <c r="U129" s="34">
        <f>IF(OR(Composites!P129="",ROW()-Fenetre&lt;6),"",IF(INDEX(Composites!P:P,ROW()-Fenetre)="","",Composites!P129/INDEX(Composites!P:P,ROW()-Fenetre)-1))</f>
        <v/>
      </c>
      <c r="V129" s="34">
        <f>IF('Historique ajusté'!C129="","",'Historique ajusté'!C129/MAX('Historique ajusté'!C$6:C129)-1)</f>
        <v/>
      </c>
      <c r="W129" s="34">
        <f>IF('Historique ajusté'!D129="","",'Historique ajusté'!D129/MAX('Historique ajusté'!D$6:D129)-1)</f>
        <v/>
      </c>
      <c r="X129" s="34">
        <f>IF('Historique ajusté'!E129="","",'Historique ajusté'!E129/MAX('Historique ajusté'!E$6:E129)-1)</f>
        <v/>
      </c>
      <c r="Y129" s="34">
        <f>IF('Historique ajusté'!F129="","",'Historique ajusté'!F129/MAX('Historique ajusté'!F$6:F129)-1)</f>
        <v/>
      </c>
      <c r="Z129" s="34">
        <f>IF('Historique ajusté'!G129="","",'Historique ajusté'!G129/MAX('Historique ajusté'!G$6:G129)-1)</f>
        <v/>
      </c>
      <c r="AA129" s="34">
        <f>IF('Historique ajusté'!H129="","",'Historique ajusté'!H129/MAX('Historique ajusté'!H$6:H129)-1)</f>
        <v/>
      </c>
      <c r="AB129" s="34">
        <f>IF('Historique ajusté'!I129="","",'Historique ajusté'!I129/MAX('Historique ajusté'!I$6:I129)-1)</f>
        <v/>
      </c>
      <c r="AC129" s="34">
        <f>IF('Historique ajusté'!J129="","",'Historique ajusté'!J129/MAX('Historique ajusté'!J$6:J129)-1)</f>
        <v/>
      </c>
      <c r="AD129" s="34">
        <f>IF('Historique ajusté'!K129="","",'Historique ajusté'!K129/MAX('Historique ajusté'!K$6:K129)-1)</f>
        <v/>
      </c>
      <c r="AE129" s="34">
        <f>IF('Historique ajusté'!L129="","",'Historique ajusté'!L129/MAX('Historique ajusté'!L$6:L129)-1)</f>
        <v/>
      </c>
      <c r="AF129" s="34">
        <f>IF('Historique ajusté'!M129="","",'Historique ajusté'!M129/MAX('Historique ajusté'!M$6:M129)-1)</f>
        <v/>
      </c>
      <c r="AG129" s="34">
        <f>IF('Historique ajusté'!N129="","",'Historique ajusté'!N129/MAX('Historique ajusté'!N$6:N129)-1)</f>
        <v/>
      </c>
      <c r="AH129" s="34">
        <f>IF('Historique ajusté'!O129="","",'Historique ajusté'!O129/MAX('Historique ajusté'!O$6:O129)-1)</f>
        <v/>
      </c>
      <c r="AI129" s="34">
        <f>IF('Historique ajusté'!P129="","",'Historique ajusté'!P129/MAX('Historique ajusté'!P$6:P129)-1)</f>
        <v/>
      </c>
      <c r="AJ129" s="34">
        <f>IF(Composites!L129="","",Composites!L129/MAX(Composites!L$6:L129)-1)</f>
        <v/>
      </c>
      <c r="AK129" s="34">
        <f>IF(Composites!M129="","",Composites!M129/MAX(Composites!M$6:M129)-1)</f>
        <v/>
      </c>
      <c r="AL129" s="34">
        <f>IF(Composites!N129="","",Composites!N129/MAX(Composites!N$6:N129)-1)</f>
        <v/>
      </c>
      <c r="AM129" s="34">
        <f>IF(Composites!O129="","",Composites!O129/MAX(Composites!O$6:O129)-1)</f>
        <v/>
      </c>
      <c r="AN129" s="34">
        <f>IF(Composites!P129="","",Composites!P129/MAX(Composites!P$6:P129)-1)</f>
        <v/>
      </c>
    </row>
    <row r="130">
      <c r="B130" s="32">
        <f>'Historique ajusté'!B130</f>
        <v/>
      </c>
      <c r="C130" s="34">
        <f>IF(OR('Historique ajusté'!C130="",ROW()-Fenetre&lt;6),"",IF(INDEX('Historique ajusté'!C:C,ROW()-Fenetre)="","",'Historique ajusté'!C130/INDEX('Historique ajusté'!C:C,ROW()-Fenetre)-1))</f>
        <v/>
      </c>
      <c r="D130" s="34">
        <f>IF(OR('Historique ajusté'!D130="",ROW()-Fenetre&lt;6),"",IF(INDEX('Historique ajusté'!D:D,ROW()-Fenetre)="","",'Historique ajusté'!D130/INDEX('Historique ajusté'!D:D,ROW()-Fenetre)-1))</f>
        <v/>
      </c>
      <c r="E130" s="34">
        <f>IF(OR('Historique ajusté'!E130="",ROW()-Fenetre&lt;6),"",IF(INDEX('Historique ajusté'!E:E,ROW()-Fenetre)="","",'Historique ajusté'!E130/INDEX('Historique ajusté'!E:E,ROW()-Fenetre)-1))</f>
        <v/>
      </c>
      <c r="F130" s="34">
        <f>IF(OR('Historique ajusté'!F130="",ROW()-Fenetre&lt;6),"",IF(INDEX('Historique ajusté'!F:F,ROW()-Fenetre)="","",'Historique ajusté'!F130/INDEX('Historique ajusté'!F:F,ROW()-Fenetre)-1))</f>
        <v/>
      </c>
      <c r="G130" s="34">
        <f>IF(OR('Historique ajusté'!G130="",ROW()-Fenetre&lt;6),"",IF(INDEX('Historique ajusté'!G:G,ROW()-Fenetre)="","",'Historique ajusté'!G130/INDEX('Historique ajusté'!G:G,ROW()-Fenetre)-1))</f>
        <v/>
      </c>
      <c r="H130" s="34">
        <f>IF(OR('Historique ajusté'!H130="",ROW()-Fenetre&lt;6),"",IF(INDEX('Historique ajusté'!H:H,ROW()-Fenetre)="","",'Historique ajusté'!H130/INDEX('Historique ajusté'!H:H,ROW()-Fenetre)-1))</f>
        <v/>
      </c>
      <c r="I130" s="34">
        <f>IF(OR('Historique ajusté'!I130="",ROW()-Fenetre&lt;6),"",IF(INDEX('Historique ajusté'!I:I,ROW()-Fenetre)="","",'Historique ajusté'!I130/INDEX('Historique ajusté'!I:I,ROW()-Fenetre)-1))</f>
        <v/>
      </c>
      <c r="J130" s="34">
        <f>IF(OR('Historique ajusté'!J130="",ROW()-Fenetre&lt;6),"",IF(INDEX('Historique ajusté'!J:J,ROW()-Fenetre)="","",'Historique ajusté'!J130/INDEX('Historique ajusté'!J:J,ROW()-Fenetre)-1))</f>
        <v/>
      </c>
      <c r="K130" s="34">
        <f>IF(OR('Historique ajusté'!K130="",ROW()-Fenetre&lt;6),"",IF(INDEX('Historique ajusté'!K:K,ROW()-Fenetre)="","",'Historique ajusté'!K130/INDEX('Historique ajusté'!K:K,ROW()-Fenetre)-1))</f>
        <v/>
      </c>
      <c r="L130" s="34">
        <f>IF(OR('Historique ajusté'!L130="",ROW()-Fenetre&lt;6),"",IF(INDEX('Historique ajusté'!L:L,ROW()-Fenetre)="","",'Historique ajusté'!L130/INDEX('Historique ajusté'!L:L,ROW()-Fenetre)-1))</f>
        <v/>
      </c>
      <c r="M130" s="34">
        <f>IF(OR('Historique ajusté'!M130="",ROW()-Fenetre&lt;6),"",IF(INDEX('Historique ajusté'!M:M,ROW()-Fenetre)="","",'Historique ajusté'!M130/INDEX('Historique ajusté'!M:M,ROW()-Fenetre)-1))</f>
        <v/>
      </c>
      <c r="N130" s="34">
        <f>IF(OR('Historique ajusté'!N130="",ROW()-Fenetre&lt;6),"",IF(INDEX('Historique ajusté'!N:N,ROW()-Fenetre)="","",'Historique ajusté'!N130/INDEX('Historique ajusté'!N:N,ROW()-Fenetre)-1))</f>
        <v/>
      </c>
      <c r="O130" s="34">
        <f>IF(OR('Historique ajusté'!O130="",ROW()-Fenetre&lt;6),"",IF(INDEX('Historique ajusté'!O:O,ROW()-Fenetre)="","",'Historique ajusté'!O130/INDEX('Historique ajusté'!O:O,ROW()-Fenetre)-1))</f>
        <v/>
      </c>
      <c r="P130" s="34">
        <f>IF(OR('Historique ajusté'!P130="",ROW()-Fenetre&lt;6),"",IF(INDEX('Historique ajusté'!P:P,ROW()-Fenetre)="","",'Historique ajusté'!P130/INDEX('Historique ajusté'!P:P,ROW()-Fenetre)-1))</f>
        <v/>
      </c>
      <c r="Q130" s="34">
        <f>IF(OR(Composites!L130="",ROW()-Fenetre&lt;6),"",IF(INDEX(Composites!L:L,ROW()-Fenetre)="","",Composites!L130/INDEX(Composites!L:L,ROW()-Fenetre)-1))</f>
        <v/>
      </c>
      <c r="R130" s="34">
        <f>IF(OR(Composites!M130="",ROW()-Fenetre&lt;6),"",IF(INDEX(Composites!M:M,ROW()-Fenetre)="","",Composites!M130/INDEX(Composites!M:M,ROW()-Fenetre)-1))</f>
        <v/>
      </c>
      <c r="S130" s="34">
        <f>IF(OR(Composites!N130="",ROW()-Fenetre&lt;6),"",IF(INDEX(Composites!N:N,ROW()-Fenetre)="","",Composites!N130/INDEX(Composites!N:N,ROW()-Fenetre)-1))</f>
        <v/>
      </c>
      <c r="T130" s="34">
        <f>IF(OR(Composites!O130="",ROW()-Fenetre&lt;6),"",IF(INDEX(Composites!O:O,ROW()-Fenetre)="","",Composites!O130/INDEX(Composites!O:O,ROW()-Fenetre)-1))</f>
        <v/>
      </c>
      <c r="U130" s="34">
        <f>IF(OR(Composites!P130="",ROW()-Fenetre&lt;6),"",IF(INDEX(Composites!P:P,ROW()-Fenetre)="","",Composites!P130/INDEX(Composites!P:P,ROW()-Fenetre)-1))</f>
        <v/>
      </c>
      <c r="V130" s="34">
        <f>IF('Historique ajusté'!C130="","",'Historique ajusté'!C130/MAX('Historique ajusté'!C$6:C130)-1)</f>
        <v/>
      </c>
      <c r="W130" s="34">
        <f>IF('Historique ajusté'!D130="","",'Historique ajusté'!D130/MAX('Historique ajusté'!D$6:D130)-1)</f>
        <v/>
      </c>
      <c r="X130" s="34">
        <f>IF('Historique ajusté'!E130="","",'Historique ajusté'!E130/MAX('Historique ajusté'!E$6:E130)-1)</f>
        <v/>
      </c>
      <c r="Y130" s="34">
        <f>IF('Historique ajusté'!F130="","",'Historique ajusté'!F130/MAX('Historique ajusté'!F$6:F130)-1)</f>
        <v/>
      </c>
      <c r="Z130" s="34">
        <f>IF('Historique ajusté'!G130="","",'Historique ajusté'!G130/MAX('Historique ajusté'!G$6:G130)-1)</f>
        <v/>
      </c>
      <c r="AA130" s="34">
        <f>IF('Historique ajusté'!H130="","",'Historique ajusté'!H130/MAX('Historique ajusté'!H$6:H130)-1)</f>
        <v/>
      </c>
      <c r="AB130" s="34">
        <f>IF('Historique ajusté'!I130="","",'Historique ajusté'!I130/MAX('Historique ajusté'!I$6:I130)-1)</f>
        <v/>
      </c>
      <c r="AC130" s="34">
        <f>IF('Historique ajusté'!J130="","",'Historique ajusté'!J130/MAX('Historique ajusté'!J$6:J130)-1)</f>
        <v/>
      </c>
      <c r="AD130" s="34">
        <f>IF('Historique ajusté'!K130="","",'Historique ajusté'!K130/MAX('Historique ajusté'!K$6:K130)-1)</f>
        <v/>
      </c>
      <c r="AE130" s="34">
        <f>IF('Historique ajusté'!L130="","",'Historique ajusté'!L130/MAX('Historique ajusté'!L$6:L130)-1)</f>
        <v/>
      </c>
      <c r="AF130" s="34">
        <f>IF('Historique ajusté'!M130="","",'Historique ajusté'!M130/MAX('Historique ajusté'!M$6:M130)-1)</f>
        <v/>
      </c>
      <c r="AG130" s="34">
        <f>IF('Historique ajusté'!N130="","",'Historique ajusté'!N130/MAX('Historique ajusté'!N$6:N130)-1)</f>
        <v/>
      </c>
      <c r="AH130" s="34">
        <f>IF('Historique ajusté'!O130="","",'Historique ajusté'!O130/MAX('Historique ajusté'!O$6:O130)-1)</f>
        <v/>
      </c>
      <c r="AI130" s="34">
        <f>IF('Historique ajusté'!P130="","",'Historique ajusté'!P130/MAX('Historique ajusté'!P$6:P130)-1)</f>
        <v/>
      </c>
      <c r="AJ130" s="34">
        <f>IF(Composites!L130="","",Composites!L130/MAX(Composites!L$6:L130)-1)</f>
        <v/>
      </c>
      <c r="AK130" s="34">
        <f>IF(Composites!M130="","",Composites!M130/MAX(Composites!M$6:M130)-1)</f>
        <v/>
      </c>
      <c r="AL130" s="34">
        <f>IF(Composites!N130="","",Composites!N130/MAX(Composites!N$6:N130)-1)</f>
        <v/>
      </c>
      <c r="AM130" s="34">
        <f>IF(Composites!O130="","",Composites!O130/MAX(Composites!O$6:O130)-1)</f>
        <v/>
      </c>
      <c r="AN130" s="34">
        <f>IF(Composites!P130="","",Composites!P130/MAX(Composites!P$6:P130)-1)</f>
        <v/>
      </c>
    </row>
    <row r="131">
      <c r="B131" s="32">
        <f>'Historique ajusté'!B131</f>
        <v/>
      </c>
      <c r="C131" s="34">
        <f>IF(OR('Historique ajusté'!C131="",ROW()-Fenetre&lt;6),"",IF(INDEX('Historique ajusté'!C:C,ROW()-Fenetre)="","",'Historique ajusté'!C131/INDEX('Historique ajusté'!C:C,ROW()-Fenetre)-1))</f>
        <v/>
      </c>
      <c r="D131" s="34">
        <f>IF(OR('Historique ajusté'!D131="",ROW()-Fenetre&lt;6),"",IF(INDEX('Historique ajusté'!D:D,ROW()-Fenetre)="","",'Historique ajusté'!D131/INDEX('Historique ajusté'!D:D,ROW()-Fenetre)-1))</f>
        <v/>
      </c>
      <c r="E131" s="34">
        <f>IF(OR('Historique ajusté'!E131="",ROW()-Fenetre&lt;6),"",IF(INDEX('Historique ajusté'!E:E,ROW()-Fenetre)="","",'Historique ajusté'!E131/INDEX('Historique ajusté'!E:E,ROW()-Fenetre)-1))</f>
        <v/>
      </c>
      <c r="F131" s="34">
        <f>IF(OR('Historique ajusté'!F131="",ROW()-Fenetre&lt;6),"",IF(INDEX('Historique ajusté'!F:F,ROW()-Fenetre)="","",'Historique ajusté'!F131/INDEX('Historique ajusté'!F:F,ROW()-Fenetre)-1))</f>
        <v/>
      </c>
      <c r="G131" s="34">
        <f>IF(OR('Historique ajusté'!G131="",ROW()-Fenetre&lt;6),"",IF(INDEX('Historique ajusté'!G:G,ROW()-Fenetre)="","",'Historique ajusté'!G131/INDEX('Historique ajusté'!G:G,ROW()-Fenetre)-1))</f>
        <v/>
      </c>
      <c r="H131" s="34">
        <f>IF(OR('Historique ajusté'!H131="",ROW()-Fenetre&lt;6),"",IF(INDEX('Historique ajusté'!H:H,ROW()-Fenetre)="","",'Historique ajusté'!H131/INDEX('Historique ajusté'!H:H,ROW()-Fenetre)-1))</f>
        <v/>
      </c>
      <c r="I131" s="34">
        <f>IF(OR('Historique ajusté'!I131="",ROW()-Fenetre&lt;6),"",IF(INDEX('Historique ajusté'!I:I,ROW()-Fenetre)="","",'Historique ajusté'!I131/INDEX('Historique ajusté'!I:I,ROW()-Fenetre)-1))</f>
        <v/>
      </c>
      <c r="J131" s="34">
        <f>IF(OR('Historique ajusté'!J131="",ROW()-Fenetre&lt;6),"",IF(INDEX('Historique ajusté'!J:J,ROW()-Fenetre)="","",'Historique ajusté'!J131/INDEX('Historique ajusté'!J:J,ROW()-Fenetre)-1))</f>
        <v/>
      </c>
      <c r="K131" s="34">
        <f>IF(OR('Historique ajusté'!K131="",ROW()-Fenetre&lt;6),"",IF(INDEX('Historique ajusté'!K:K,ROW()-Fenetre)="","",'Historique ajusté'!K131/INDEX('Historique ajusté'!K:K,ROW()-Fenetre)-1))</f>
        <v/>
      </c>
      <c r="L131" s="34">
        <f>IF(OR('Historique ajusté'!L131="",ROW()-Fenetre&lt;6),"",IF(INDEX('Historique ajusté'!L:L,ROW()-Fenetre)="","",'Historique ajusté'!L131/INDEX('Historique ajusté'!L:L,ROW()-Fenetre)-1))</f>
        <v/>
      </c>
      <c r="M131" s="34">
        <f>IF(OR('Historique ajusté'!M131="",ROW()-Fenetre&lt;6),"",IF(INDEX('Historique ajusté'!M:M,ROW()-Fenetre)="","",'Historique ajusté'!M131/INDEX('Historique ajusté'!M:M,ROW()-Fenetre)-1))</f>
        <v/>
      </c>
      <c r="N131" s="34">
        <f>IF(OR('Historique ajusté'!N131="",ROW()-Fenetre&lt;6),"",IF(INDEX('Historique ajusté'!N:N,ROW()-Fenetre)="","",'Historique ajusté'!N131/INDEX('Historique ajusté'!N:N,ROW()-Fenetre)-1))</f>
        <v/>
      </c>
      <c r="O131" s="34">
        <f>IF(OR('Historique ajusté'!O131="",ROW()-Fenetre&lt;6),"",IF(INDEX('Historique ajusté'!O:O,ROW()-Fenetre)="","",'Historique ajusté'!O131/INDEX('Historique ajusté'!O:O,ROW()-Fenetre)-1))</f>
        <v/>
      </c>
      <c r="P131" s="34">
        <f>IF(OR('Historique ajusté'!P131="",ROW()-Fenetre&lt;6),"",IF(INDEX('Historique ajusté'!P:P,ROW()-Fenetre)="","",'Historique ajusté'!P131/INDEX('Historique ajusté'!P:P,ROW()-Fenetre)-1))</f>
        <v/>
      </c>
      <c r="Q131" s="34">
        <f>IF(OR(Composites!L131="",ROW()-Fenetre&lt;6),"",IF(INDEX(Composites!L:L,ROW()-Fenetre)="","",Composites!L131/INDEX(Composites!L:L,ROW()-Fenetre)-1))</f>
        <v/>
      </c>
      <c r="R131" s="34">
        <f>IF(OR(Composites!M131="",ROW()-Fenetre&lt;6),"",IF(INDEX(Composites!M:M,ROW()-Fenetre)="","",Composites!M131/INDEX(Composites!M:M,ROW()-Fenetre)-1))</f>
        <v/>
      </c>
      <c r="S131" s="34">
        <f>IF(OR(Composites!N131="",ROW()-Fenetre&lt;6),"",IF(INDEX(Composites!N:N,ROW()-Fenetre)="","",Composites!N131/INDEX(Composites!N:N,ROW()-Fenetre)-1))</f>
        <v/>
      </c>
      <c r="T131" s="34">
        <f>IF(OR(Composites!O131="",ROW()-Fenetre&lt;6),"",IF(INDEX(Composites!O:O,ROW()-Fenetre)="","",Composites!O131/INDEX(Composites!O:O,ROW()-Fenetre)-1))</f>
        <v/>
      </c>
      <c r="U131" s="34">
        <f>IF(OR(Composites!P131="",ROW()-Fenetre&lt;6),"",IF(INDEX(Composites!P:P,ROW()-Fenetre)="","",Composites!P131/INDEX(Composites!P:P,ROW()-Fenetre)-1))</f>
        <v/>
      </c>
      <c r="V131" s="34">
        <f>IF('Historique ajusté'!C131="","",'Historique ajusté'!C131/MAX('Historique ajusté'!C$6:C131)-1)</f>
        <v/>
      </c>
      <c r="W131" s="34">
        <f>IF('Historique ajusté'!D131="","",'Historique ajusté'!D131/MAX('Historique ajusté'!D$6:D131)-1)</f>
        <v/>
      </c>
      <c r="X131" s="34">
        <f>IF('Historique ajusté'!E131="","",'Historique ajusté'!E131/MAX('Historique ajusté'!E$6:E131)-1)</f>
        <v/>
      </c>
      <c r="Y131" s="34">
        <f>IF('Historique ajusté'!F131="","",'Historique ajusté'!F131/MAX('Historique ajusté'!F$6:F131)-1)</f>
        <v/>
      </c>
      <c r="Z131" s="34">
        <f>IF('Historique ajusté'!G131="","",'Historique ajusté'!G131/MAX('Historique ajusté'!G$6:G131)-1)</f>
        <v/>
      </c>
      <c r="AA131" s="34">
        <f>IF('Historique ajusté'!H131="","",'Historique ajusté'!H131/MAX('Historique ajusté'!H$6:H131)-1)</f>
        <v/>
      </c>
      <c r="AB131" s="34">
        <f>IF('Historique ajusté'!I131="","",'Historique ajusté'!I131/MAX('Historique ajusté'!I$6:I131)-1)</f>
        <v/>
      </c>
      <c r="AC131" s="34">
        <f>IF('Historique ajusté'!J131="","",'Historique ajusté'!J131/MAX('Historique ajusté'!J$6:J131)-1)</f>
        <v/>
      </c>
      <c r="AD131" s="34">
        <f>IF('Historique ajusté'!K131="","",'Historique ajusté'!K131/MAX('Historique ajusté'!K$6:K131)-1)</f>
        <v/>
      </c>
      <c r="AE131" s="34">
        <f>IF('Historique ajusté'!L131="","",'Historique ajusté'!L131/MAX('Historique ajusté'!L$6:L131)-1)</f>
        <v/>
      </c>
      <c r="AF131" s="34">
        <f>IF('Historique ajusté'!M131="","",'Historique ajusté'!M131/MAX('Historique ajusté'!M$6:M131)-1)</f>
        <v/>
      </c>
      <c r="AG131" s="34">
        <f>IF('Historique ajusté'!N131="","",'Historique ajusté'!N131/MAX('Historique ajusté'!N$6:N131)-1)</f>
        <v/>
      </c>
      <c r="AH131" s="34">
        <f>IF('Historique ajusté'!O131="","",'Historique ajusté'!O131/MAX('Historique ajusté'!O$6:O131)-1)</f>
        <v/>
      </c>
      <c r="AI131" s="34">
        <f>IF('Historique ajusté'!P131="","",'Historique ajusté'!P131/MAX('Historique ajusté'!P$6:P131)-1)</f>
        <v/>
      </c>
      <c r="AJ131" s="34">
        <f>IF(Composites!L131="","",Composites!L131/MAX(Composites!L$6:L131)-1)</f>
        <v/>
      </c>
      <c r="AK131" s="34">
        <f>IF(Composites!M131="","",Composites!M131/MAX(Composites!M$6:M131)-1)</f>
        <v/>
      </c>
      <c r="AL131" s="34">
        <f>IF(Composites!N131="","",Composites!N131/MAX(Composites!N$6:N131)-1)</f>
        <v/>
      </c>
      <c r="AM131" s="34">
        <f>IF(Composites!O131="","",Composites!O131/MAX(Composites!O$6:O131)-1)</f>
        <v/>
      </c>
      <c r="AN131" s="34">
        <f>IF(Composites!P131="","",Composites!P131/MAX(Composites!P$6:P131)-1)</f>
        <v/>
      </c>
    </row>
    <row r="132">
      <c r="B132" s="32">
        <f>'Historique ajusté'!B132</f>
        <v/>
      </c>
      <c r="C132" s="34">
        <f>IF(OR('Historique ajusté'!C132="",ROW()-Fenetre&lt;6),"",IF(INDEX('Historique ajusté'!C:C,ROW()-Fenetre)="","",'Historique ajusté'!C132/INDEX('Historique ajusté'!C:C,ROW()-Fenetre)-1))</f>
        <v/>
      </c>
      <c r="D132" s="34">
        <f>IF(OR('Historique ajusté'!D132="",ROW()-Fenetre&lt;6),"",IF(INDEX('Historique ajusté'!D:D,ROW()-Fenetre)="","",'Historique ajusté'!D132/INDEX('Historique ajusté'!D:D,ROW()-Fenetre)-1))</f>
        <v/>
      </c>
      <c r="E132" s="34">
        <f>IF(OR('Historique ajusté'!E132="",ROW()-Fenetre&lt;6),"",IF(INDEX('Historique ajusté'!E:E,ROW()-Fenetre)="","",'Historique ajusté'!E132/INDEX('Historique ajusté'!E:E,ROW()-Fenetre)-1))</f>
        <v/>
      </c>
      <c r="F132" s="34">
        <f>IF(OR('Historique ajusté'!F132="",ROW()-Fenetre&lt;6),"",IF(INDEX('Historique ajusté'!F:F,ROW()-Fenetre)="","",'Historique ajusté'!F132/INDEX('Historique ajusté'!F:F,ROW()-Fenetre)-1))</f>
        <v/>
      </c>
      <c r="G132" s="34">
        <f>IF(OR('Historique ajusté'!G132="",ROW()-Fenetre&lt;6),"",IF(INDEX('Historique ajusté'!G:G,ROW()-Fenetre)="","",'Historique ajusté'!G132/INDEX('Historique ajusté'!G:G,ROW()-Fenetre)-1))</f>
        <v/>
      </c>
      <c r="H132" s="34">
        <f>IF(OR('Historique ajusté'!H132="",ROW()-Fenetre&lt;6),"",IF(INDEX('Historique ajusté'!H:H,ROW()-Fenetre)="","",'Historique ajusté'!H132/INDEX('Historique ajusté'!H:H,ROW()-Fenetre)-1))</f>
        <v/>
      </c>
      <c r="I132" s="34">
        <f>IF(OR('Historique ajusté'!I132="",ROW()-Fenetre&lt;6),"",IF(INDEX('Historique ajusté'!I:I,ROW()-Fenetre)="","",'Historique ajusté'!I132/INDEX('Historique ajusté'!I:I,ROW()-Fenetre)-1))</f>
        <v/>
      </c>
      <c r="J132" s="34">
        <f>IF(OR('Historique ajusté'!J132="",ROW()-Fenetre&lt;6),"",IF(INDEX('Historique ajusté'!J:J,ROW()-Fenetre)="","",'Historique ajusté'!J132/INDEX('Historique ajusté'!J:J,ROW()-Fenetre)-1))</f>
        <v/>
      </c>
      <c r="K132" s="34">
        <f>IF(OR('Historique ajusté'!K132="",ROW()-Fenetre&lt;6),"",IF(INDEX('Historique ajusté'!K:K,ROW()-Fenetre)="","",'Historique ajusté'!K132/INDEX('Historique ajusté'!K:K,ROW()-Fenetre)-1))</f>
        <v/>
      </c>
      <c r="L132" s="34">
        <f>IF(OR('Historique ajusté'!L132="",ROW()-Fenetre&lt;6),"",IF(INDEX('Historique ajusté'!L:L,ROW()-Fenetre)="","",'Historique ajusté'!L132/INDEX('Historique ajusté'!L:L,ROW()-Fenetre)-1))</f>
        <v/>
      </c>
      <c r="M132" s="34">
        <f>IF(OR('Historique ajusté'!M132="",ROW()-Fenetre&lt;6),"",IF(INDEX('Historique ajusté'!M:M,ROW()-Fenetre)="","",'Historique ajusté'!M132/INDEX('Historique ajusté'!M:M,ROW()-Fenetre)-1))</f>
        <v/>
      </c>
      <c r="N132" s="34">
        <f>IF(OR('Historique ajusté'!N132="",ROW()-Fenetre&lt;6),"",IF(INDEX('Historique ajusté'!N:N,ROW()-Fenetre)="","",'Historique ajusté'!N132/INDEX('Historique ajusté'!N:N,ROW()-Fenetre)-1))</f>
        <v/>
      </c>
      <c r="O132" s="34">
        <f>IF(OR('Historique ajusté'!O132="",ROW()-Fenetre&lt;6),"",IF(INDEX('Historique ajusté'!O:O,ROW()-Fenetre)="","",'Historique ajusté'!O132/INDEX('Historique ajusté'!O:O,ROW()-Fenetre)-1))</f>
        <v/>
      </c>
      <c r="P132" s="34">
        <f>IF(OR('Historique ajusté'!P132="",ROW()-Fenetre&lt;6),"",IF(INDEX('Historique ajusté'!P:P,ROW()-Fenetre)="","",'Historique ajusté'!P132/INDEX('Historique ajusté'!P:P,ROW()-Fenetre)-1))</f>
        <v/>
      </c>
      <c r="Q132" s="34">
        <f>IF(OR(Composites!L132="",ROW()-Fenetre&lt;6),"",IF(INDEX(Composites!L:L,ROW()-Fenetre)="","",Composites!L132/INDEX(Composites!L:L,ROW()-Fenetre)-1))</f>
        <v/>
      </c>
      <c r="R132" s="34">
        <f>IF(OR(Composites!M132="",ROW()-Fenetre&lt;6),"",IF(INDEX(Composites!M:M,ROW()-Fenetre)="","",Composites!M132/INDEX(Composites!M:M,ROW()-Fenetre)-1))</f>
        <v/>
      </c>
      <c r="S132" s="34">
        <f>IF(OR(Composites!N132="",ROW()-Fenetre&lt;6),"",IF(INDEX(Composites!N:N,ROW()-Fenetre)="","",Composites!N132/INDEX(Composites!N:N,ROW()-Fenetre)-1))</f>
        <v/>
      </c>
      <c r="T132" s="34">
        <f>IF(OR(Composites!O132="",ROW()-Fenetre&lt;6),"",IF(INDEX(Composites!O:O,ROW()-Fenetre)="","",Composites!O132/INDEX(Composites!O:O,ROW()-Fenetre)-1))</f>
        <v/>
      </c>
      <c r="U132" s="34">
        <f>IF(OR(Composites!P132="",ROW()-Fenetre&lt;6),"",IF(INDEX(Composites!P:P,ROW()-Fenetre)="","",Composites!P132/INDEX(Composites!P:P,ROW()-Fenetre)-1))</f>
        <v/>
      </c>
      <c r="V132" s="34">
        <f>IF('Historique ajusté'!C132="","",'Historique ajusté'!C132/MAX('Historique ajusté'!C$6:C132)-1)</f>
        <v/>
      </c>
      <c r="W132" s="34">
        <f>IF('Historique ajusté'!D132="","",'Historique ajusté'!D132/MAX('Historique ajusté'!D$6:D132)-1)</f>
        <v/>
      </c>
      <c r="X132" s="34">
        <f>IF('Historique ajusté'!E132="","",'Historique ajusté'!E132/MAX('Historique ajusté'!E$6:E132)-1)</f>
        <v/>
      </c>
      <c r="Y132" s="34">
        <f>IF('Historique ajusté'!F132="","",'Historique ajusté'!F132/MAX('Historique ajusté'!F$6:F132)-1)</f>
        <v/>
      </c>
      <c r="Z132" s="34">
        <f>IF('Historique ajusté'!G132="","",'Historique ajusté'!G132/MAX('Historique ajusté'!G$6:G132)-1)</f>
        <v/>
      </c>
      <c r="AA132" s="34">
        <f>IF('Historique ajusté'!H132="","",'Historique ajusté'!H132/MAX('Historique ajusté'!H$6:H132)-1)</f>
        <v/>
      </c>
      <c r="AB132" s="34">
        <f>IF('Historique ajusté'!I132="","",'Historique ajusté'!I132/MAX('Historique ajusté'!I$6:I132)-1)</f>
        <v/>
      </c>
      <c r="AC132" s="34">
        <f>IF('Historique ajusté'!J132="","",'Historique ajusté'!J132/MAX('Historique ajusté'!J$6:J132)-1)</f>
        <v/>
      </c>
      <c r="AD132" s="34">
        <f>IF('Historique ajusté'!K132="","",'Historique ajusté'!K132/MAX('Historique ajusté'!K$6:K132)-1)</f>
        <v/>
      </c>
      <c r="AE132" s="34">
        <f>IF('Historique ajusté'!L132="","",'Historique ajusté'!L132/MAX('Historique ajusté'!L$6:L132)-1)</f>
        <v/>
      </c>
      <c r="AF132" s="34">
        <f>IF('Historique ajusté'!M132="","",'Historique ajusté'!M132/MAX('Historique ajusté'!M$6:M132)-1)</f>
        <v/>
      </c>
      <c r="AG132" s="34">
        <f>IF('Historique ajusté'!N132="","",'Historique ajusté'!N132/MAX('Historique ajusté'!N$6:N132)-1)</f>
        <v/>
      </c>
      <c r="AH132" s="34">
        <f>IF('Historique ajusté'!O132="","",'Historique ajusté'!O132/MAX('Historique ajusté'!O$6:O132)-1)</f>
        <v/>
      </c>
      <c r="AI132" s="34">
        <f>IF('Historique ajusté'!P132="","",'Historique ajusté'!P132/MAX('Historique ajusté'!P$6:P132)-1)</f>
        <v/>
      </c>
      <c r="AJ132" s="34">
        <f>IF(Composites!L132="","",Composites!L132/MAX(Composites!L$6:L132)-1)</f>
        <v/>
      </c>
      <c r="AK132" s="34">
        <f>IF(Composites!M132="","",Composites!M132/MAX(Composites!M$6:M132)-1)</f>
        <v/>
      </c>
      <c r="AL132" s="34">
        <f>IF(Composites!N132="","",Composites!N132/MAX(Composites!N$6:N132)-1)</f>
        <v/>
      </c>
      <c r="AM132" s="34">
        <f>IF(Composites!O132="","",Composites!O132/MAX(Composites!O$6:O132)-1)</f>
        <v/>
      </c>
      <c r="AN132" s="34">
        <f>IF(Composites!P132="","",Composites!P132/MAX(Composites!P$6:P132)-1)</f>
        <v/>
      </c>
    </row>
    <row r="133">
      <c r="B133" s="32">
        <f>'Historique ajusté'!B133</f>
        <v/>
      </c>
      <c r="C133" s="34">
        <f>IF(OR('Historique ajusté'!C133="",ROW()-Fenetre&lt;6),"",IF(INDEX('Historique ajusté'!C:C,ROW()-Fenetre)="","",'Historique ajusté'!C133/INDEX('Historique ajusté'!C:C,ROW()-Fenetre)-1))</f>
        <v/>
      </c>
      <c r="D133" s="34">
        <f>IF(OR('Historique ajusté'!D133="",ROW()-Fenetre&lt;6),"",IF(INDEX('Historique ajusté'!D:D,ROW()-Fenetre)="","",'Historique ajusté'!D133/INDEX('Historique ajusté'!D:D,ROW()-Fenetre)-1))</f>
        <v/>
      </c>
      <c r="E133" s="34">
        <f>IF(OR('Historique ajusté'!E133="",ROW()-Fenetre&lt;6),"",IF(INDEX('Historique ajusté'!E:E,ROW()-Fenetre)="","",'Historique ajusté'!E133/INDEX('Historique ajusté'!E:E,ROW()-Fenetre)-1))</f>
        <v/>
      </c>
      <c r="F133" s="34">
        <f>IF(OR('Historique ajusté'!F133="",ROW()-Fenetre&lt;6),"",IF(INDEX('Historique ajusté'!F:F,ROW()-Fenetre)="","",'Historique ajusté'!F133/INDEX('Historique ajusté'!F:F,ROW()-Fenetre)-1))</f>
        <v/>
      </c>
      <c r="G133" s="34">
        <f>IF(OR('Historique ajusté'!G133="",ROW()-Fenetre&lt;6),"",IF(INDEX('Historique ajusté'!G:G,ROW()-Fenetre)="","",'Historique ajusté'!G133/INDEX('Historique ajusté'!G:G,ROW()-Fenetre)-1))</f>
        <v/>
      </c>
      <c r="H133" s="34">
        <f>IF(OR('Historique ajusté'!H133="",ROW()-Fenetre&lt;6),"",IF(INDEX('Historique ajusté'!H:H,ROW()-Fenetre)="","",'Historique ajusté'!H133/INDEX('Historique ajusté'!H:H,ROW()-Fenetre)-1))</f>
        <v/>
      </c>
      <c r="I133" s="34">
        <f>IF(OR('Historique ajusté'!I133="",ROW()-Fenetre&lt;6),"",IF(INDEX('Historique ajusté'!I:I,ROW()-Fenetre)="","",'Historique ajusté'!I133/INDEX('Historique ajusté'!I:I,ROW()-Fenetre)-1))</f>
        <v/>
      </c>
      <c r="J133" s="34">
        <f>IF(OR('Historique ajusté'!J133="",ROW()-Fenetre&lt;6),"",IF(INDEX('Historique ajusté'!J:J,ROW()-Fenetre)="","",'Historique ajusté'!J133/INDEX('Historique ajusté'!J:J,ROW()-Fenetre)-1))</f>
        <v/>
      </c>
      <c r="K133" s="34">
        <f>IF(OR('Historique ajusté'!K133="",ROW()-Fenetre&lt;6),"",IF(INDEX('Historique ajusté'!K:K,ROW()-Fenetre)="","",'Historique ajusté'!K133/INDEX('Historique ajusté'!K:K,ROW()-Fenetre)-1))</f>
        <v/>
      </c>
      <c r="L133" s="34">
        <f>IF(OR('Historique ajusté'!L133="",ROW()-Fenetre&lt;6),"",IF(INDEX('Historique ajusté'!L:L,ROW()-Fenetre)="","",'Historique ajusté'!L133/INDEX('Historique ajusté'!L:L,ROW()-Fenetre)-1))</f>
        <v/>
      </c>
      <c r="M133" s="34">
        <f>IF(OR('Historique ajusté'!M133="",ROW()-Fenetre&lt;6),"",IF(INDEX('Historique ajusté'!M:M,ROW()-Fenetre)="","",'Historique ajusté'!M133/INDEX('Historique ajusté'!M:M,ROW()-Fenetre)-1))</f>
        <v/>
      </c>
      <c r="N133" s="34">
        <f>IF(OR('Historique ajusté'!N133="",ROW()-Fenetre&lt;6),"",IF(INDEX('Historique ajusté'!N:N,ROW()-Fenetre)="","",'Historique ajusté'!N133/INDEX('Historique ajusté'!N:N,ROW()-Fenetre)-1))</f>
        <v/>
      </c>
      <c r="O133" s="34">
        <f>IF(OR('Historique ajusté'!O133="",ROW()-Fenetre&lt;6),"",IF(INDEX('Historique ajusté'!O:O,ROW()-Fenetre)="","",'Historique ajusté'!O133/INDEX('Historique ajusté'!O:O,ROW()-Fenetre)-1))</f>
        <v/>
      </c>
      <c r="P133" s="34">
        <f>IF(OR('Historique ajusté'!P133="",ROW()-Fenetre&lt;6),"",IF(INDEX('Historique ajusté'!P:P,ROW()-Fenetre)="","",'Historique ajusté'!P133/INDEX('Historique ajusté'!P:P,ROW()-Fenetre)-1))</f>
        <v/>
      </c>
      <c r="Q133" s="34">
        <f>IF(OR(Composites!L133="",ROW()-Fenetre&lt;6),"",IF(INDEX(Composites!L:L,ROW()-Fenetre)="","",Composites!L133/INDEX(Composites!L:L,ROW()-Fenetre)-1))</f>
        <v/>
      </c>
      <c r="R133" s="34">
        <f>IF(OR(Composites!M133="",ROW()-Fenetre&lt;6),"",IF(INDEX(Composites!M:M,ROW()-Fenetre)="","",Composites!M133/INDEX(Composites!M:M,ROW()-Fenetre)-1))</f>
        <v/>
      </c>
      <c r="S133" s="34">
        <f>IF(OR(Composites!N133="",ROW()-Fenetre&lt;6),"",IF(INDEX(Composites!N:N,ROW()-Fenetre)="","",Composites!N133/INDEX(Composites!N:N,ROW()-Fenetre)-1))</f>
        <v/>
      </c>
      <c r="T133" s="34">
        <f>IF(OR(Composites!O133="",ROW()-Fenetre&lt;6),"",IF(INDEX(Composites!O:O,ROW()-Fenetre)="","",Composites!O133/INDEX(Composites!O:O,ROW()-Fenetre)-1))</f>
        <v/>
      </c>
      <c r="U133" s="34">
        <f>IF(OR(Composites!P133="",ROW()-Fenetre&lt;6),"",IF(INDEX(Composites!P:P,ROW()-Fenetre)="","",Composites!P133/INDEX(Composites!P:P,ROW()-Fenetre)-1))</f>
        <v/>
      </c>
      <c r="V133" s="34">
        <f>IF('Historique ajusté'!C133="","",'Historique ajusté'!C133/MAX('Historique ajusté'!C$6:C133)-1)</f>
        <v/>
      </c>
      <c r="W133" s="34">
        <f>IF('Historique ajusté'!D133="","",'Historique ajusté'!D133/MAX('Historique ajusté'!D$6:D133)-1)</f>
        <v/>
      </c>
      <c r="X133" s="34">
        <f>IF('Historique ajusté'!E133="","",'Historique ajusté'!E133/MAX('Historique ajusté'!E$6:E133)-1)</f>
        <v/>
      </c>
      <c r="Y133" s="34">
        <f>IF('Historique ajusté'!F133="","",'Historique ajusté'!F133/MAX('Historique ajusté'!F$6:F133)-1)</f>
        <v/>
      </c>
      <c r="Z133" s="34">
        <f>IF('Historique ajusté'!G133="","",'Historique ajusté'!G133/MAX('Historique ajusté'!G$6:G133)-1)</f>
        <v/>
      </c>
      <c r="AA133" s="34">
        <f>IF('Historique ajusté'!H133="","",'Historique ajusté'!H133/MAX('Historique ajusté'!H$6:H133)-1)</f>
        <v/>
      </c>
      <c r="AB133" s="34">
        <f>IF('Historique ajusté'!I133="","",'Historique ajusté'!I133/MAX('Historique ajusté'!I$6:I133)-1)</f>
        <v/>
      </c>
      <c r="AC133" s="34">
        <f>IF('Historique ajusté'!J133="","",'Historique ajusté'!J133/MAX('Historique ajusté'!J$6:J133)-1)</f>
        <v/>
      </c>
      <c r="AD133" s="34">
        <f>IF('Historique ajusté'!K133="","",'Historique ajusté'!K133/MAX('Historique ajusté'!K$6:K133)-1)</f>
        <v/>
      </c>
      <c r="AE133" s="34">
        <f>IF('Historique ajusté'!L133="","",'Historique ajusté'!L133/MAX('Historique ajusté'!L$6:L133)-1)</f>
        <v/>
      </c>
      <c r="AF133" s="34">
        <f>IF('Historique ajusté'!M133="","",'Historique ajusté'!M133/MAX('Historique ajusté'!M$6:M133)-1)</f>
        <v/>
      </c>
      <c r="AG133" s="34">
        <f>IF('Historique ajusté'!N133="","",'Historique ajusté'!N133/MAX('Historique ajusté'!N$6:N133)-1)</f>
        <v/>
      </c>
      <c r="AH133" s="34">
        <f>IF('Historique ajusté'!O133="","",'Historique ajusté'!O133/MAX('Historique ajusté'!O$6:O133)-1)</f>
        <v/>
      </c>
      <c r="AI133" s="34">
        <f>IF('Historique ajusté'!P133="","",'Historique ajusté'!P133/MAX('Historique ajusté'!P$6:P133)-1)</f>
        <v/>
      </c>
      <c r="AJ133" s="34">
        <f>IF(Composites!L133="","",Composites!L133/MAX(Composites!L$6:L133)-1)</f>
        <v/>
      </c>
      <c r="AK133" s="34">
        <f>IF(Composites!M133="","",Composites!M133/MAX(Composites!M$6:M133)-1)</f>
        <v/>
      </c>
      <c r="AL133" s="34">
        <f>IF(Composites!N133="","",Composites!N133/MAX(Composites!N$6:N133)-1)</f>
        <v/>
      </c>
      <c r="AM133" s="34">
        <f>IF(Composites!O133="","",Composites!O133/MAX(Composites!O$6:O133)-1)</f>
        <v/>
      </c>
      <c r="AN133" s="34">
        <f>IF(Composites!P133="","",Composites!P133/MAX(Composites!P$6:P133)-1)</f>
        <v/>
      </c>
    </row>
    <row r="134">
      <c r="B134" s="32">
        <f>'Historique ajusté'!B134</f>
        <v/>
      </c>
      <c r="C134" s="34">
        <f>IF(OR('Historique ajusté'!C134="",ROW()-Fenetre&lt;6),"",IF(INDEX('Historique ajusté'!C:C,ROW()-Fenetre)="","",'Historique ajusté'!C134/INDEX('Historique ajusté'!C:C,ROW()-Fenetre)-1))</f>
        <v/>
      </c>
      <c r="D134" s="34">
        <f>IF(OR('Historique ajusté'!D134="",ROW()-Fenetre&lt;6),"",IF(INDEX('Historique ajusté'!D:D,ROW()-Fenetre)="","",'Historique ajusté'!D134/INDEX('Historique ajusté'!D:D,ROW()-Fenetre)-1))</f>
        <v/>
      </c>
      <c r="E134" s="34">
        <f>IF(OR('Historique ajusté'!E134="",ROW()-Fenetre&lt;6),"",IF(INDEX('Historique ajusté'!E:E,ROW()-Fenetre)="","",'Historique ajusté'!E134/INDEX('Historique ajusté'!E:E,ROW()-Fenetre)-1))</f>
        <v/>
      </c>
      <c r="F134" s="34">
        <f>IF(OR('Historique ajusté'!F134="",ROW()-Fenetre&lt;6),"",IF(INDEX('Historique ajusté'!F:F,ROW()-Fenetre)="","",'Historique ajusté'!F134/INDEX('Historique ajusté'!F:F,ROW()-Fenetre)-1))</f>
        <v/>
      </c>
      <c r="G134" s="34">
        <f>IF(OR('Historique ajusté'!G134="",ROW()-Fenetre&lt;6),"",IF(INDEX('Historique ajusté'!G:G,ROW()-Fenetre)="","",'Historique ajusté'!G134/INDEX('Historique ajusté'!G:G,ROW()-Fenetre)-1))</f>
        <v/>
      </c>
      <c r="H134" s="34">
        <f>IF(OR('Historique ajusté'!H134="",ROW()-Fenetre&lt;6),"",IF(INDEX('Historique ajusté'!H:H,ROW()-Fenetre)="","",'Historique ajusté'!H134/INDEX('Historique ajusté'!H:H,ROW()-Fenetre)-1))</f>
        <v/>
      </c>
      <c r="I134" s="34">
        <f>IF(OR('Historique ajusté'!I134="",ROW()-Fenetre&lt;6),"",IF(INDEX('Historique ajusté'!I:I,ROW()-Fenetre)="","",'Historique ajusté'!I134/INDEX('Historique ajusté'!I:I,ROW()-Fenetre)-1))</f>
        <v/>
      </c>
      <c r="J134" s="34">
        <f>IF(OR('Historique ajusté'!J134="",ROW()-Fenetre&lt;6),"",IF(INDEX('Historique ajusté'!J:J,ROW()-Fenetre)="","",'Historique ajusté'!J134/INDEX('Historique ajusté'!J:J,ROW()-Fenetre)-1))</f>
        <v/>
      </c>
      <c r="K134" s="34">
        <f>IF(OR('Historique ajusté'!K134="",ROW()-Fenetre&lt;6),"",IF(INDEX('Historique ajusté'!K:K,ROW()-Fenetre)="","",'Historique ajusté'!K134/INDEX('Historique ajusté'!K:K,ROW()-Fenetre)-1))</f>
        <v/>
      </c>
      <c r="L134" s="34">
        <f>IF(OR('Historique ajusté'!L134="",ROW()-Fenetre&lt;6),"",IF(INDEX('Historique ajusté'!L:L,ROW()-Fenetre)="","",'Historique ajusté'!L134/INDEX('Historique ajusté'!L:L,ROW()-Fenetre)-1))</f>
        <v/>
      </c>
      <c r="M134" s="34">
        <f>IF(OR('Historique ajusté'!M134="",ROW()-Fenetre&lt;6),"",IF(INDEX('Historique ajusté'!M:M,ROW()-Fenetre)="","",'Historique ajusté'!M134/INDEX('Historique ajusté'!M:M,ROW()-Fenetre)-1))</f>
        <v/>
      </c>
      <c r="N134" s="34">
        <f>IF(OR('Historique ajusté'!N134="",ROW()-Fenetre&lt;6),"",IF(INDEX('Historique ajusté'!N:N,ROW()-Fenetre)="","",'Historique ajusté'!N134/INDEX('Historique ajusté'!N:N,ROW()-Fenetre)-1))</f>
        <v/>
      </c>
      <c r="O134" s="34">
        <f>IF(OR('Historique ajusté'!O134="",ROW()-Fenetre&lt;6),"",IF(INDEX('Historique ajusté'!O:O,ROW()-Fenetre)="","",'Historique ajusté'!O134/INDEX('Historique ajusté'!O:O,ROW()-Fenetre)-1))</f>
        <v/>
      </c>
      <c r="P134" s="34">
        <f>IF(OR('Historique ajusté'!P134="",ROW()-Fenetre&lt;6),"",IF(INDEX('Historique ajusté'!P:P,ROW()-Fenetre)="","",'Historique ajusté'!P134/INDEX('Historique ajusté'!P:P,ROW()-Fenetre)-1))</f>
        <v/>
      </c>
      <c r="Q134" s="34">
        <f>IF(OR(Composites!L134="",ROW()-Fenetre&lt;6),"",IF(INDEX(Composites!L:L,ROW()-Fenetre)="","",Composites!L134/INDEX(Composites!L:L,ROW()-Fenetre)-1))</f>
        <v/>
      </c>
      <c r="R134" s="34">
        <f>IF(OR(Composites!M134="",ROW()-Fenetre&lt;6),"",IF(INDEX(Composites!M:M,ROW()-Fenetre)="","",Composites!M134/INDEX(Composites!M:M,ROW()-Fenetre)-1))</f>
        <v/>
      </c>
      <c r="S134" s="34">
        <f>IF(OR(Composites!N134="",ROW()-Fenetre&lt;6),"",IF(INDEX(Composites!N:N,ROW()-Fenetre)="","",Composites!N134/INDEX(Composites!N:N,ROW()-Fenetre)-1))</f>
        <v/>
      </c>
      <c r="T134" s="34">
        <f>IF(OR(Composites!O134="",ROW()-Fenetre&lt;6),"",IF(INDEX(Composites!O:O,ROW()-Fenetre)="","",Composites!O134/INDEX(Composites!O:O,ROW()-Fenetre)-1))</f>
        <v/>
      </c>
      <c r="U134" s="34">
        <f>IF(OR(Composites!P134="",ROW()-Fenetre&lt;6),"",IF(INDEX(Composites!P:P,ROW()-Fenetre)="","",Composites!P134/INDEX(Composites!P:P,ROW()-Fenetre)-1))</f>
        <v/>
      </c>
      <c r="V134" s="34">
        <f>IF('Historique ajusté'!C134="","",'Historique ajusté'!C134/MAX('Historique ajusté'!C$6:C134)-1)</f>
        <v/>
      </c>
      <c r="W134" s="34">
        <f>IF('Historique ajusté'!D134="","",'Historique ajusté'!D134/MAX('Historique ajusté'!D$6:D134)-1)</f>
        <v/>
      </c>
      <c r="X134" s="34">
        <f>IF('Historique ajusté'!E134="","",'Historique ajusté'!E134/MAX('Historique ajusté'!E$6:E134)-1)</f>
        <v/>
      </c>
      <c r="Y134" s="34">
        <f>IF('Historique ajusté'!F134="","",'Historique ajusté'!F134/MAX('Historique ajusté'!F$6:F134)-1)</f>
        <v/>
      </c>
      <c r="Z134" s="34">
        <f>IF('Historique ajusté'!G134="","",'Historique ajusté'!G134/MAX('Historique ajusté'!G$6:G134)-1)</f>
        <v/>
      </c>
      <c r="AA134" s="34">
        <f>IF('Historique ajusté'!H134="","",'Historique ajusté'!H134/MAX('Historique ajusté'!H$6:H134)-1)</f>
        <v/>
      </c>
      <c r="AB134" s="34">
        <f>IF('Historique ajusté'!I134="","",'Historique ajusté'!I134/MAX('Historique ajusté'!I$6:I134)-1)</f>
        <v/>
      </c>
      <c r="AC134" s="34">
        <f>IF('Historique ajusté'!J134="","",'Historique ajusté'!J134/MAX('Historique ajusté'!J$6:J134)-1)</f>
        <v/>
      </c>
      <c r="AD134" s="34">
        <f>IF('Historique ajusté'!K134="","",'Historique ajusté'!K134/MAX('Historique ajusté'!K$6:K134)-1)</f>
        <v/>
      </c>
      <c r="AE134" s="34">
        <f>IF('Historique ajusté'!L134="","",'Historique ajusté'!L134/MAX('Historique ajusté'!L$6:L134)-1)</f>
        <v/>
      </c>
      <c r="AF134" s="34">
        <f>IF('Historique ajusté'!M134="","",'Historique ajusté'!M134/MAX('Historique ajusté'!M$6:M134)-1)</f>
        <v/>
      </c>
      <c r="AG134" s="34">
        <f>IF('Historique ajusté'!N134="","",'Historique ajusté'!N134/MAX('Historique ajusté'!N$6:N134)-1)</f>
        <v/>
      </c>
      <c r="AH134" s="34">
        <f>IF('Historique ajusté'!O134="","",'Historique ajusté'!O134/MAX('Historique ajusté'!O$6:O134)-1)</f>
        <v/>
      </c>
      <c r="AI134" s="34">
        <f>IF('Historique ajusté'!P134="","",'Historique ajusté'!P134/MAX('Historique ajusté'!P$6:P134)-1)</f>
        <v/>
      </c>
      <c r="AJ134" s="34">
        <f>IF(Composites!L134="","",Composites!L134/MAX(Composites!L$6:L134)-1)</f>
        <v/>
      </c>
      <c r="AK134" s="34">
        <f>IF(Composites!M134="","",Composites!M134/MAX(Composites!M$6:M134)-1)</f>
        <v/>
      </c>
      <c r="AL134" s="34">
        <f>IF(Composites!N134="","",Composites!N134/MAX(Composites!N$6:N134)-1)</f>
        <v/>
      </c>
      <c r="AM134" s="34">
        <f>IF(Composites!O134="","",Composites!O134/MAX(Composites!O$6:O134)-1)</f>
        <v/>
      </c>
      <c r="AN134" s="34">
        <f>IF(Composites!P134="","",Composites!P134/MAX(Composites!P$6:P134)-1)</f>
        <v/>
      </c>
    </row>
    <row r="135">
      <c r="B135" s="32">
        <f>'Historique ajusté'!B135</f>
        <v/>
      </c>
      <c r="C135" s="34">
        <f>IF(OR('Historique ajusté'!C135="",ROW()-Fenetre&lt;6),"",IF(INDEX('Historique ajusté'!C:C,ROW()-Fenetre)="","",'Historique ajusté'!C135/INDEX('Historique ajusté'!C:C,ROW()-Fenetre)-1))</f>
        <v/>
      </c>
      <c r="D135" s="34">
        <f>IF(OR('Historique ajusté'!D135="",ROW()-Fenetre&lt;6),"",IF(INDEX('Historique ajusté'!D:D,ROW()-Fenetre)="","",'Historique ajusté'!D135/INDEX('Historique ajusté'!D:D,ROW()-Fenetre)-1))</f>
        <v/>
      </c>
      <c r="E135" s="34">
        <f>IF(OR('Historique ajusté'!E135="",ROW()-Fenetre&lt;6),"",IF(INDEX('Historique ajusté'!E:E,ROW()-Fenetre)="","",'Historique ajusté'!E135/INDEX('Historique ajusté'!E:E,ROW()-Fenetre)-1))</f>
        <v/>
      </c>
      <c r="F135" s="34">
        <f>IF(OR('Historique ajusté'!F135="",ROW()-Fenetre&lt;6),"",IF(INDEX('Historique ajusté'!F:F,ROW()-Fenetre)="","",'Historique ajusté'!F135/INDEX('Historique ajusté'!F:F,ROW()-Fenetre)-1))</f>
        <v/>
      </c>
      <c r="G135" s="34">
        <f>IF(OR('Historique ajusté'!G135="",ROW()-Fenetre&lt;6),"",IF(INDEX('Historique ajusté'!G:G,ROW()-Fenetre)="","",'Historique ajusté'!G135/INDEX('Historique ajusté'!G:G,ROW()-Fenetre)-1))</f>
        <v/>
      </c>
      <c r="H135" s="34">
        <f>IF(OR('Historique ajusté'!H135="",ROW()-Fenetre&lt;6),"",IF(INDEX('Historique ajusté'!H:H,ROW()-Fenetre)="","",'Historique ajusté'!H135/INDEX('Historique ajusté'!H:H,ROW()-Fenetre)-1))</f>
        <v/>
      </c>
      <c r="I135" s="34">
        <f>IF(OR('Historique ajusté'!I135="",ROW()-Fenetre&lt;6),"",IF(INDEX('Historique ajusté'!I:I,ROW()-Fenetre)="","",'Historique ajusté'!I135/INDEX('Historique ajusté'!I:I,ROW()-Fenetre)-1))</f>
        <v/>
      </c>
      <c r="J135" s="34">
        <f>IF(OR('Historique ajusté'!J135="",ROW()-Fenetre&lt;6),"",IF(INDEX('Historique ajusté'!J:J,ROW()-Fenetre)="","",'Historique ajusté'!J135/INDEX('Historique ajusté'!J:J,ROW()-Fenetre)-1))</f>
        <v/>
      </c>
      <c r="K135" s="34">
        <f>IF(OR('Historique ajusté'!K135="",ROW()-Fenetre&lt;6),"",IF(INDEX('Historique ajusté'!K:K,ROW()-Fenetre)="","",'Historique ajusté'!K135/INDEX('Historique ajusté'!K:K,ROW()-Fenetre)-1))</f>
        <v/>
      </c>
      <c r="L135" s="34">
        <f>IF(OR('Historique ajusté'!L135="",ROW()-Fenetre&lt;6),"",IF(INDEX('Historique ajusté'!L:L,ROW()-Fenetre)="","",'Historique ajusté'!L135/INDEX('Historique ajusté'!L:L,ROW()-Fenetre)-1))</f>
        <v/>
      </c>
      <c r="M135" s="34">
        <f>IF(OR('Historique ajusté'!M135="",ROW()-Fenetre&lt;6),"",IF(INDEX('Historique ajusté'!M:M,ROW()-Fenetre)="","",'Historique ajusté'!M135/INDEX('Historique ajusté'!M:M,ROW()-Fenetre)-1))</f>
        <v/>
      </c>
      <c r="N135" s="34">
        <f>IF(OR('Historique ajusté'!N135="",ROW()-Fenetre&lt;6),"",IF(INDEX('Historique ajusté'!N:N,ROW()-Fenetre)="","",'Historique ajusté'!N135/INDEX('Historique ajusté'!N:N,ROW()-Fenetre)-1))</f>
        <v/>
      </c>
      <c r="O135" s="34">
        <f>IF(OR('Historique ajusté'!O135="",ROW()-Fenetre&lt;6),"",IF(INDEX('Historique ajusté'!O:O,ROW()-Fenetre)="","",'Historique ajusté'!O135/INDEX('Historique ajusté'!O:O,ROW()-Fenetre)-1))</f>
        <v/>
      </c>
      <c r="P135" s="34">
        <f>IF(OR('Historique ajusté'!P135="",ROW()-Fenetre&lt;6),"",IF(INDEX('Historique ajusté'!P:P,ROW()-Fenetre)="","",'Historique ajusté'!P135/INDEX('Historique ajusté'!P:P,ROW()-Fenetre)-1))</f>
        <v/>
      </c>
      <c r="Q135" s="34">
        <f>IF(OR(Composites!L135="",ROW()-Fenetre&lt;6),"",IF(INDEX(Composites!L:L,ROW()-Fenetre)="","",Composites!L135/INDEX(Composites!L:L,ROW()-Fenetre)-1))</f>
        <v/>
      </c>
      <c r="R135" s="34">
        <f>IF(OR(Composites!M135="",ROW()-Fenetre&lt;6),"",IF(INDEX(Composites!M:M,ROW()-Fenetre)="","",Composites!M135/INDEX(Composites!M:M,ROW()-Fenetre)-1))</f>
        <v/>
      </c>
      <c r="S135" s="34">
        <f>IF(OR(Composites!N135="",ROW()-Fenetre&lt;6),"",IF(INDEX(Composites!N:N,ROW()-Fenetre)="","",Composites!N135/INDEX(Composites!N:N,ROW()-Fenetre)-1))</f>
        <v/>
      </c>
      <c r="T135" s="34">
        <f>IF(OR(Composites!O135="",ROW()-Fenetre&lt;6),"",IF(INDEX(Composites!O:O,ROW()-Fenetre)="","",Composites!O135/INDEX(Composites!O:O,ROW()-Fenetre)-1))</f>
        <v/>
      </c>
      <c r="U135" s="34">
        <f>IF(OR(Composites!P135="",ROW()-Fenetre&lt;6),"",IF(INDEX(Composites!P:P,ROW()-Fenetre)="","",Composites!P135/INDEX(Composites!P:P,ROW()-Fenetre)-1))</f>
        <v/>
      </c>
      <c r="V135" s="34">
        <f>IF('Historique ajusté'!C135="","",'Historique ajusté'!C135/MAX('Historique ajusté'!C$6:C135)-1)</f>
        <v/>
      </c>
      <c r="W135" s="34">
        <f>IF('Historique ajusté'!D135="","",'Historique ajusté'!D135/MAX('Historique ajusté'!D$6:D135)-1)</f>
        <v/>
      </c>
      <c r="X135" s="34">
        <f>IF('Historique ajusté'!E135="","",'Historique ajusté'!E135/MAX('Historique ajusté'!E$6:E135)-1)</f>
        <v/>
      </c>
      <c r="Y135" s="34">
        <f>IF('Historique ajusté'!F135="","",'Historique ajusté'!F135/MAX('Historique ajusté'!F$6:F135)-1)</f>
        <v/>
      </c>
      <c r="Z135" s="34">
        <f>IF('Historique ajusté'!G135="","",'Historique ajusté'!G135/MAX('Historique ajusté'!G$6:G135)-1)</f>
        <v/>
      </c>
      <c r="AA135" s="34">
        <f>IF('Historique ajusté'!H135="","",'Historique ajusté'!H135/MAX('Historique ajusté'!H$6:H135)-1)</f>
        <v/>
      </c>
      <c r="AB135" s="34">
        <f>IF('Historique ajusté'!I135="","",'Historique ajusté'!I135/MAX('Historique ajusté'!I$6:I135)-1)</f>
        <v/>
      </c>
      <c r="AC135" s="34">
        <f>IF('Historique ajusté'!J135="","",'Historique ajusté'!J135/MAX('Historique ajusté'!J$6:J135)-1)</f>
        <v/>
      </c>
      <c r="AD135" s="34">
        <f>IF('Historique ajusté'!K135="","",'Historique ajusté'!K135/MAX('Historique ajusté'!K$6:K135)-1)</f>
        <v/>
      </c>
      <c r="AE135" s="34">
        <f>IF('Historique ajusté'!L135="","",'Historique ajusté'!L135/MAX('Historique ajusté'!L$6:L135)-1)</f>
        <v/>
      </c>
      <c r="AF135" s="34">
        <f>IF('Historique ajusté'!M135="","",'Historique ajusté'!M135/MAX('Historique ajusté'!M$6:M135)-1)</f>
        <v/>
      </c>
      <c r="AG135" s="34">
        <f>IF('Historique ajusté'!N135="","",'Historique ajusté'!N135/MAX('Historique ajusté'!N$6:N135)-1)</f>
        <v/>
      </c>
      <c r="AH135" s="34">
        <f>IF('Historique ajusté'!O135="","",'Historique ajusté'!O135/MAX('Historique ajusté'!O$6:O135)-1)</f>
        <v/>
      </c>
      <c r="AI135" s="34">
        <f>IF('Historique ajusté'!P135="","",'Historique ajusté'!P135/MAX('Historique ajusté'!P$6:P135)-1)</f>
        <v/>
      </c>
      <c r="AJ135" s="34">
        <f>IF(Composites!L135="","",Composites!L135/MAX(Composites!L$6:L135)-1)</f>
        <v/>
      </c>
      <c r="AK135" s="34">
        <f>IF(Composites!M135="","",Composites!M135/MAX(Composites!M$6:M135)-1)</f>
        <v/>
      </c>
      <c r="AL135" s="34">
        <f>IF(Composites!N135="","",Composites!N135/MAX(Composites!N$6:N135)-1)</f>
        <v/>
      </c>
      <c r="AM135" s="34">
        <f>IF(Composites!O135="","",Composites!O135/MAX(Composites!O$6:O135)-1)</f>
        <v/>
      </c>
      <c r="AN135" s="34">
        <f>IF(Composites!P135="","",Composites!P135/MAX(Composites!P$6:P135)-1)</f>
        <v/>
      </c>
    </row>
    <row r="136">
      <c r="B136" s="32">
        <f>'Historique ajusté'!B136</f>
        <v/>
      </c>
      <c r="C136" s="34">
        <f>IF(OR('Historique ajusté'!C136="",ROW()-Fenetre&lt;6),"",IF(INDEX('Historique ajusté'!C:C,ROW()-Fenetre)="","",'Historique ajusté'!C136/INDEX('Historique ajusté'!C:C,ROW()-Fenetre)-1))</f>
        <v/>
      </c>
      <c r="D136" s="34">
        <f>IF(OR('Historique ajusté'!D136="",ROW()-Fenetre&lt;6),"",IF(INDEX('Historique ajusté'!D:D,ROW()-Fenetre)="","",'Historique ajusté'!D136/INDEX('Historique ajusté'!D:D,ROW()-Fenetre)-1))</f>
        <v/>
      </c>
      <c r="E136" s="34">
        <f>IF(OR('Historique ajusté'!E136="",ROW()-Fenetre&lt;6),"",IF(INDEX('Historique ajusté'!E:E,ROW()-Fenetre)="","",'Historique ajusté'!E136/INDEX('Historique ajusté'!E:E,ROW()-Fenetre)-1))</f>
        <v/>
      </c>
      <c r="F136" s="34">
        <f>IF(OR('Historique ajusté'!F136="",ROW()-Fenetre&lt;6),"",IF(INDEX('Historique ajusté'!F:F,ROW()-Fenetre)="","",'Historique ajusté'!F136/INDEX('Historique ajusté'!F:F,ROW()-Fenetre)-1))</f>
        <v/>
      </c>
      <c r="G136" s="34">
        <f>IF(OR('Historique ajusté'!G136="",ROW()-Fenetre&lt;6),"",IF(INDEX('Historique ajusté'!G:G,ROW()-Fenetre)="","",'Historique ajusté'!G136/INDEX('Historique ajusté'!G:G,ROW()-Fenetre)-1))</f>
        <v/>
      </c>
      <c r="H136" s="34">
        <f>IF(OR('Historique ajusté'!H136="",ROW()-Fenetre&lt;6),"",IF(INDEX('Historique ajusté'!H:H,ROW()-Fenetre)="","",'Historique ajusté'!H136/INDEX('Historique ajusté'!H:H,ROW()-Fenetre)-1))</f>
        <v/>
      </c>
      <c r="I136" s="34">
        <f>IF(OR('Historique ajusté'!I136="",ROW()-Fenetre&lt;6),"",IF(INDEX('Historique ajusté'!I:I,ROW()-Fenetre)="","",'Historique ajusté'!I136/INDEX('Historique ajusté'!I:I,ROW()-Fenetre)-1))</f>
        <v/>
      </c>
      <c r="J136" s="34">
        <f>IF(OR('Historique ajusté'!J136="",ROW()-Fenetre&lt;6),"",IF(INDEX('Historique ajusté'!J:J,ROW()-Fenetre)="","",'Historique ajusté'!J136/INDEX('Historique ajusté'!J:J,ROW()-Fenetre)-1))</f>
        <v/>
      </c>
      <c r="K136" s="34">
        <f>IF(OR('Historique ajusté'!K136="",ROW()-Fenetre&lt;6),"",IF(INDEX('Historique ajusté'!K:K,ROW()-Fenetre)="","",'Historique ajusté'!K136/INDEX('Historique ajusté'!K:K,ROW()-Fenetre)-1))</f>
        <v/>
      </c>
      <c r="L136" s="34">
        <f>IF(OR('Historique ajusté'!L136="",ROW()-Fenetre&lt;6),"",IF(INDEX('Historique ajusté'!L:L,ROW()-Fenetre)="","",'Historique ajusté'!L136/INDEX('Historique ajusté'!L:L,ROW()-Fenetre)-1))</f>
        <v/>
      </c>
      <c r="M136" s="34">
        <f>IF(OR('Historique ajusté'!M136="",ROW()-Fenetre&lt;6),"",IF(INDEX('Historique ajusté'!M:M,ROW()-Fenetre)="","",'Historique ajusté'!M136/INDEX('Historique ajusté'!M:M,ROW()-Fenetre)-1))</f>
        <v/>
      </c>
      <c r="N136" s="34">
        <f>IF(OR('Historique ajusté'!N136="",ROW()-Fenetre&lt;6),"",IF(INDEX('Historique ajusté'!N:N,ROW()-Fenetre)="","",'Historique ajusté'!N136/INDEX('Historique ajusté'!N:N,ROW()-Fenetre)-1))</f>
        <v/>
      </c>
      <c r="O136" s="34">
        <f>IF(OR('Historique ajusté'!O136="",ROW()-Fenetre&lt;6),"",IF(INDEX('Historique ajusté'!O:O,ROW()-Fenetre)="","",'Historique ajusté'!O136/INDEX('Historique ajusté'!O:O,ROW()-Fenetre)-1))</f>
        <v/>
      </c>
      <c r="P136" s="34">
        <f>IF(OR('Historique ajusté'!P136="",ROW()-Fenetre&lt;6),"",IF(INDEX('Historique ajusté'!P:P,ROW()-Fenetre)="","",'Historique ajusté'!P136/INDEX('Historique ajusté'!P:P,ROW()-Fenetre)-1))</f>
        <v/>
      </c>
      <c r="Q136" s="34">
        <f>IF(OR(Composites!L136="",ROW()-Fenetre&lt;6),"",IF(INDEX(Composites!L:L,ROW()-Fenetre)="","",Composites!L136/INDEX(Composites!L:L,ROW()-Fenetre)-1))</f>
        <v/>
      </c>
      <c r="R136" s="34">
        <f>IF(OR(Composites!M136="",ROW()-Fenetre&lt;6),"",IF(INDEX(Composites!M:M,ROW()-Fenetre)="","",Composites!M136/INDEX(Composites!M:M,ROW()-Fenetre)-1))</f>
        <v/>
      </c>
      <c r="S136" s="34">
        <f>IF(OR(Composites!N136="",ROW()-Fenetre&lt;6),"",IF(INDEX(Composites!N:N,ROW()-Fenetre)="","",Composites!N136/INDEX(Composites!N:N,ROW()-Fenetre)-1))</f>
        <v/>
      </c>
      <c r="T136" s="34">
        <f>IF(OR(Composites!O136="",ROW()-Fenetre&lt;6),"",IF(INDEX(Composites!O:O,ROW()-Fenetre)="","",Composites!O136/INDEX(Composites!O:O,ROW()-Fenetre)-1))</f>
        <v/>
      </c>
      <c r="U136" s="34">
        <f>IF(OR(Composites!P136="",ROW()-Fenetre&lt;6),"",IF(INDEX(Composites!P:P,ROW()-Fenetre)="","",Composites!P136/INDEX(Composites!P:P,ROW()-Fenetre)-1))</f>
        <v/>
      </c>
      <c r="V136" s="34">
        <f>IF('Historique ajusté'!C136="","",'Historique ajusté'!C136/MAX('Historique ajusté'!C$6:C136)-1)</f>
        <v/>
      </c>
      <c r="W136" s="34">
        <f>IF('Historique ajusté'!D136="","",'Historique ajusté'!D136/MAX('Historique ajusté'!D$6:D136)-1)</f>
        <v/>
      </c>
      <c r="X136" s="34">
        <f>IF('Historique ajusté'!E136="","",'Historique ajusté'!E136/MAX('Historique ajusté'!E$6:E136)-1)</f>
        <v/>
      </c>
      <c r="Y136" s="34">
        <f>IF('Historique ajusté'!F136="","",'Historique ajusté'!F136/MAX('Historique ajusté'!F$6:F136)-1)</f>
        <v/>
      </c>
      <c r="Z136" s="34">
        <f>IF('Historique ajusté'!G136="","",'Historique ajusté'!G136/MAX('Historique ajusté'!G$6:G136)-1)</f>
        <v/>
      </c>
      <c r="AA136" s="34">
        <f>IF('Historique ajusté'!H136="","",'Historique ajusté'!H136/MAX('Historique ajusté'!H$6:H136)-1)</f>
        <v/>
      </c>
      <c r="AB136" s="34">
        <f>IF('Historique ajusté'!I136="","",'Historique ajusté'!I136/MAX('Historique ajusté'!I$6:I136)-1)</f>
        <v/>
      </c>
      <c r="AC136" s="34">
        <f>IF('Historique ajusté'!J136="","",'Historique ajusté'!J136/MAX('Historique ajusté'!J$6:J136)-1)</f>
        <v/>
      </c>
      <c r="AD136" s="34">
        <f>IF('Historique ajusté'!K136="","",'Historique ajusté'!K136/MAX('Historique ajusté'!K$6:K136)-1)</f>
        <v/>
      </c>
      <c r="AE136" s="34">
        <f>IF('Historique ajusté'!L136="","",'Historique ajusté'!L136/MAX('Historique ajusté'!L$6:L136)-1)</f>
        <v/>
      </c>
      <c r="AF136" s="34">
        <f>IF('Historique ajusté'!M136="","",'Historique ajusté'!M136/MAX('Historique ajusté'!M$6:M136)-1)</f>
        <v/>
      </c>
      <c r="AG136" s="34">
        <f>IF('Historique ajusté'!N136="","",'Historique ajusté'!N136/MAX('Historique ajusté'!N$6:N136)-1)</f>
        <v/>
      </c>
      <c r="AH136" s="34">
        <f>IF('Historique ajusté'!O136="","",'Historique ajusté'!O136/MAX('Historique ajusté'!O$6:O136)-1)</f>
        <v/>
      </c>
      <c r="AI136" s="34">
        <f>IF('Historique ajusté'!P136="","",'Historique ajusté'!P136/MAX('Historique ajusté'!P$6:P136)-1)</f>
        <v/>
      </c>
      <c r="AJ136" s="34">
        <f>IF(Composites!L136="","",Composites!L136/MAX(Composites!L$6:L136)-1)</f>
        <v/>
      </c>
      <c r="AK136" s="34">
        <f>IF(Composites!M136="","",Composites!M136/MAX(Composites!M$6:M136)-1)</f>
        <v/>
      </c>
      <c r="AL136" s="34">
        <f>IF(Composites!N136="","",Composites!N136/MAX(Composites!N$6:N136)-1)</f>
        <v/>
      </c>
      <c r="AM136" s="34">
        <f>IF(Composites!O136="","",Composites!O136/MAX(Composites!O$6:O136)-1)</f>
        <v/>
      </c>
      <c r="AN136" s="34">
        <f>IF(Composites!P136="","",Composites!P136/MAX(Composites!P$6:P136)-1)</f>
        <v/>
      </c>
    </row>
    <row r="137">
      <c r="B137" s="32">
        <f>'Historique ajusté'!B137</f>
        <v/>
      </c>
      <c r="C137" s="34">
        <f>IF(OR('Historique ajusté'!C137="",ROW()-Fenetre&lt;6),"",IF(INDEX('Historique ajusté'!C:C,ROW()-Fenetre)="","",'Historique ajusté'!C137/INDEX('Historique ajusté'!C:C,ROW()-Fenetre)-1))</f>
        <v/>
      </c>
      <c r="D137" s="34">
        <f>IF(OR('Historique ajusté'!D137="",ROW()-Fenetre&lt;6),"",IF(INDEX('Historique ajusté'!D:D,ROW()-Fenetre)="","",'Historique ajusté'!D137/INDEX('Historique ajusté'!D:D,ROW()-Fenetre)-1))</f>
        <v/>
      </c>
      <c r="E137" s="34">
        <f>IF(OR('Historique ajusté'!E137="",ROW()-Fenetre&lt;6),"",IF(INDEX('Historique ajusté'!E:E,ROW()-Fenetre)="","",'Historique ajusté'!E137/INDEX('Historique ajusté'!E:E,ROW()-Fenetre)-1))</f>
        <v/>
      </c>
      <c r="F137" s="34">
        <f>IF(OR('Historique ajusté'!F137="",ROW()-Fenetre&lt;6),"",IF(INDEX('Historique ajusté'!F:F,ROW()-Fenetre)="","",'Historique ajusté'!F137/INDEX('Historique ajusté'!F:F,ROW()-Fenetre)-1))</f>
        <v/>
      </c>
      <c r="G137" s="34">
        <f>IF(OR('Historique ajusté'!G137="",ROW()-Fenetre&lt;6),"",IF(INDEX('Historique ajusté'!G:G,ROW()-Fenetre)="","",'Historique ajusté'!G137/INDEX('Historique ajusté'!G:G,ROW()-Fenetre)-1))</f>
        <v/>
      </c>
      <c r="H137" s="34">
        <f>IF(OR('Historique ajusté'!H137="",ROW()-Fenetre&lt;6),"",IF(INDEX('Historique ajusté'!H:H,ROW()-Fenetre)="","",'Historique ajusté'!H137/INDEX('Historique ajusté'!H:H,ROW()-Fenetre)-1))</f>
        <v/>
      </c>
      <c r="I137" s="34">
        <f>IF(OR('Historique ajusté'!I137="",ROW()-Fenetre&lt;6),"",IF(INDEX('Historique ajusté'!I:I,ROW()-Fenetre)="","",'Historique ajusté'!I137/INDEX('Historique ajusté'!I:I,ROW()-Fenetre)-1))</f>
        <v/>
      </c>
      <c r="J137" s="34">
        <f>IF(OR('Historique ajusté'!J137="",ROW()-Fenetre&lt;6),"",IF(INDEX('Historique ajusté'!J:J,ROW()-Fenetre)="","",'Historique ajusté'!J137/INDEX('Historique ajusté'!J:J,ROW()-Fenetre)-1))</f>
        <v/>
      </c>
      <c r="K137" s="34">
        <f>IF(OR('Historique ajusté'!K137="",ROW()-Fenetre&lt;6),"",IF(INDEX('Historique ajusté'!K:K,ROW()-Fenetre)="","",'Historique ajusté'!K137/INDEX('Historique ajusté'!K:K,ROW()-Fenetre)-1))</f>
        <v/>
      </c>
      <c r="L137" s="34">
        <f>IF(OR('Historique ajusté'!L137="",ROW()-Fenetre&lt;6),"",IF(INDEX('Historique ajusté'!L:L,ROW()-Fenetre)="","",'Historique ajusté'!L137/INDEX('Historique ajusté'!L:L,ROW()-Fenetre)-1))</f>
        <v/>
      </c>
      <c r="M137" s="34">
        <f>IF(OR('Historique ajusté'!M137="",ROW()-Fenetre&lt;6),"",IF(INDEX('Historique ajusté'!M:M,ROW()-Fenetre)="","",'Historique ajusté'!M137/INDEX('Historique ajusté'!M:M,ROW()-Fenetre)-1))</f>
        <v/>
      </c>
      <c r="N137" s="34">
        <f>IF(OR('Historique ajusté'!N137="",ROW()-Fenetre&lt;6),"",IF(INDEX('Historique ajusté'!N:N,ROW()-Fenetre)="","",'Historique ajusté'!N137/INDEX('Historique ajusté'!N:N,ROW()-Fenetre)-1))</f>
        <v/>
      </c>
      <c r="O137" s="34">
        <f>IF(OR('Historique ajusté'!O137="",ROW()-Fenetre&lt;6),"",IF(INDEX('Historique ajusté'!O:O,ROW()-Fenetre)="","",'Historique ajusté'!O137/INDEX('Historique ajusté'!O:O,ROW()-Fenetre)-1))</f>
        <v/>
      </c>
      <c r="P137" s="34">
        <f>IF(OR('Historique ajusté'!P137="",ROW()-Fenetre&lt;6),"",IF(INDEX('Historique ajusté'!P:P,ROW()-Fenetre)="","",'Historique ajusté'!P137/INDEX('Historique ajusté'!P:P,ROW()-Fenetre)-1))</f>
        <v/>
      </c>
      <c r="Q137" s="34">
        <f>IF(OR(Composites!L137="",ROW()-Fenetre&lt;6),"",IF(INDEX(Composites!L:L,ROW()-Fenetre)="","",Composites!L137/INDEX(Composites!L:L,ROW()-Fenetre)-1))</f>
        <v/>
      </c>
      <c r="R137" s="34">
        <f>IF(OR(Composites!M137="",ROW()-Fenetre&lt;6),"",IF(INDEX(Composites!M:M,ROW()-Fenetre)="","",Composites!M137/INDEX(Composites!M:M,ROW()-Fenetre)-1))</f>
        <v/>
      </c>
      <c r="S137" s="34">
        <f>IF(OR(Composites!N137="",ROW()-Fenetre&lt;6),"",IF(INDEX(Composites!N:N,ROW()-Fenetre)="","",Composites!N137/INDEX(Composites!N:N,ROW()-Fenetre)-1))</f>
        <v/>
      </c>
      <c r="T137" s="34">
        <f>IF(OR(Composites!O137="",ROW()-Fenetre&lt;6),"",IF(INDEX(Composites!O:O,ROW()-Fenetre)="","",Composites!O137/INDEX(Composites!O:O,ROW()-Fenetre)-1))</f>
        <v/>
      </c>
      <c r="U137" s="34">
        <f>IF(OR(Composites!P137="",ROW()-Fenetre&lt;6),"",IF(INDEX(Composites!P:P,ROW()-Fenetre)="","",Composites!P137/INDEX(Composites!P:P,ROW()-Fenetre)-1))</f>
        <v/>
      </c>
      <c r="V137" s="34">
        <f>IF('Historique ajusté'!C137="","",'Historique ajusté'!C137/MAX('Historique ajusté'!C$6:C137)-1)</f>
        <v/>
      </c>
      <c r="W137" s="34">
        <f>IF('Historique ajusté'!D137="","",'Historique ajusté'!D137/MAX('Historique ajusté'!D$6:D137)-1)</f>
        <v/>
      </c>
      <c r="X137" s="34">
        <f>IF('Historique ajusté'!E137="","",'Historique ajusté'!E137/MAX('Historique ajusté'!E$6:E137)-1)</f>
        <v/>
      </c>
      <c r="Y137" s="34">
        <f>IF('Historique ajusté'!F137="","",'Historique ajusté'!F137/MAX('Historique ajusté'!F$6:F137)-1)</f>
        <v/>
      </c>
      <c r="Z137" s="34">
        <f>IF('Historique ajusté'!G137="","",'Historique ajusté'!G137/MAX('Historique ajusté'!G$6:G137)-1)</f>
        <v/>
      </c>
      <c r="AA137" s="34">
        <f>IF('Historique ajusté'!H137="","",'Historique ajusté'!H137/MAX('Historique ajusté'!H$6:H137)-1)</f>
        <v/>
      </c>
      <c r="AB137" s="34">
        <f>IF('Historique ajusté'!I137="","",'Historique ajusté'!I137/MAX('Historique ajusté'!I$6:I137)-1)</f>
        <v/>
      </c>
      <c r="AC137" s="34">
        <f>IF('Historique ajusté'!J137="","",'Historique ajusté'!J137/MAX('Historique ajusté'!J$6:J137)-1)</f>
        <v/>
      </c>
      <c r="AD137" s="34">
        <f>IF('Historique ajusté'!K137="","",'Historique ajusté'!K137/MAX('Historique ajusté'!K$6:K137)-1)</f>
        <v/>
      </c>
      <c r="AE137" s="34">
        <f>IF('Historique ajusté'!L137="","",'Historique ajusté'!L137/MAX('Historique ajusté'!L$6:L137)-1)</f>
        <v/>
      </c>
      <c r="AF137" s="34">
        <f>IF('Historique ajusté'!M137="","",'Historique ajusté'!M137/MAX('Historique ajusté'!M$6:M137)-1)</f>
        <v/>
      </c>
      <c r="AG137" s="34">
        <f>IF('Historique ajusté'!N137="","",'Historique ajusté'!N137/MAX('Historique ajusté'!N$6:N137)-1)</f>
        <v/>
      </c>
      <c r="AH137" s="34">
        <f>IF('Historique ajusté'!O137="","",'Historique ajusté'!O137/MAX('Historique ajusté'!O$6:O137)-1)</f>
        <v/>
      </c>
      <c r="AI137" s="34">
        <f>IF('Historique ajusté'!P137="","",'Historique ajusté'!P137/MAX('Historique ajusté'!P$6:P137)-1)</f>
        <v/>
      </c>
      <c r="AJ137" s="34">
        <f>IF(Composites!L137="","",Composites!L137/MAX(Composites!L$6:L137)-1)</f>
        <v/>
      </c>
      <c r="AK137" s="34">
        <f>IF(Composites!M137="","",Composites!M137/MAX(Composites!M$6:M137)-1)</f>
        <v/>
      </c>
      <c r="AL137" s="34">
        <f>IF(Composites!N137="","",Composites!N137/MAX(Composites!N$6:N137)-1)</f>
        <v/>
      </c>
      <c r="AM137" s="34">
        <f>IF(Composites!O137="","",Composites!O137/MAX(Composites!O$6:O137)-1)</f>
        <v/>
      </c>
      <c r="AN137" s="34">
        <f>IF(Composites!P137="","",Composites!P137/MAX(Composites!P$6:P137)-1)</f>
        <v/>
      </c>
    </row>
    <row r="138">
      <c r="B138" s="32">
        <f>'Historique ajusté'!B138</f>
        <v/>
      </c>
      <c r="C138" s="34">
        <f>IF(OR('Historique ajusté'!C138="",ROW()-Fenetre&lt;6),"",IF(INDEX('Historique ajusté'!C:C,ROW()-Fenetre)="","",'Historique ajusté'!C138/INDEX('Historique ajusté'!C:C,ROW()-Fenetre)-1))</f>
        <v/>
      </c>
      <c r="D138" s="34">
        <f>IF(OR('Historique ajusté'!D138="",ROW()-Fenetre&lt;6),"",IF(INDEX('Historique ajusté'!D:D,ROW()-Fenetre)="","",'Historique ajusté'!D138/INDEX('Historique ajusté'!D:D,ROW()-Fenetre)-1))</f>
        <v/>
      </c>
      <c r="E138" s="34">
        <f>IF(OR('Historique ajusté'!E138="",ROW()-Fenetre&lt;6),"",IF(INDEX('Historique ajusté'!E:E,ROW()-Fenetre)="","",'Historique ajusté'!E138/INDEX('Historique ajusté'!E:E,ROW()-Fenetre)-1))</f>
        <v/>
      </c>
      <c r="F138" s="34">
        <f>IF(OR('Historique ajusté'!F138="",ROW()-Fenetre&lt;6),"",IF(INDEX('Historique ajusté'!F:F,ROW()-Fenetre)="","",'Historique ajusté'!F138/INDEX('Historique ajusté'!F:F,ROW()-Fenetre)-1))</f>
        <v/>
      </c>
      <c r="G138" s="34">
        <f>IF(OR('Historique ajusté'!G138="",ROW()-Fenetre&lt;6),"",IF(INDEX('Historique ajusté'!G:G,ROW()-Fenetre)="","",'Historique ajusté'!G138/INDEX('Historique ajusté'!G:G,ROW()-Fenetre)-1))</f>
        <v/>
      </c>
      <c r="H138" s="34">
        <f>IF(OR('Historique ajusté'!H138="",ROW()-Fenetre&lt;6),"",IF(INDEX('Historique ajusté'!H:H,ROW()-Fenetre)="","",'Historique ajusté'!H138/INDEX('Historique ajusté'!H:H,ROW()-Fenetre)-1))</f>
        <v/>
      </c>
      <c r="I138" s="34">
        <f>IF(OR('Historique ajusté'!I138="",ROW()-Fenetre&lt;6),"",IF(INDEX('Historique ajusté'!I:I,ROW()-Fenetre)="","",'Historique ajusté'!I138/INDEX('Historique ajusté'!I:I,ROW()-Fenetre)-1))</f>
        <v/>
      </c>
      <c r="J138" s="34">
        <f>IF(OR('Historique ajusté'!J138="",ROW()-Fenetre&lt;6),"",IF(INDEX('Historique ajusté'!J:J,ROW()-Fenetre)="","",'Historique ajusté'!J138/INDEX('Historique ajusté'!J:J,ROW()-Fenetre)-1))</f>
        <v/>
      </c>
      <c r="K138" s="34">
        <f>IF(OR('Historique ajusté'!K138="",ROW()-Fenetre&lt;6),"",IF(INDEX('Historique ajusté'!K:K,ROW()-Fenetre)="","",'Historique ajusté'!K138/INDEX('Historique ajusté'!K:K,ROW()-Fenetre)-1))</f>
        <v/>
      </c>
      <c r="L138" s="34">
        <f>IF(OR('Historique ajusté'!L138="",ROW()-Fenetre&lt;6),"",IF(INDEX('Historique ajusté'!L:L,ROW()-Fenetre)="","",'Historique ajusté'!L138/INDEX('Historique ajusté'!L:L,ROW()-Fenetre)-1))</f>
        <v/>
      </c>
      <c r="M138" s="34">
        <f>IF(OR('Historique ajusté'!M138="",ROW()-Fenetre&lt;6),"",IF(INDEX('Historique ajusté'!M:M,ROW()-Fenetre)="","",'Historique ajusté'!M138/INDEX('Historique ajusté'!M:M,ROW()-Fenetre)-1))</f>
        <v/>
      </c>
      <c r="N138" s="34">
        <f>IF(OR('Historique ajusté'!N138="",ROW()-Fenetre&lt;6),"",IF(INDEX('Historique ajusté'!N:N,ROW()-Fenetre)="","",'Historique ajusté'!N138/INDEX('Historique ajusté'!N:N,ROW()-Fenetre)-1))</f>
        <v/>
      </c>
      <c r="O138" s="34">
        <f>IF(OR('Historique ajusté'!O138="",ROW()-Fenetre&lt;6),"",IF(INDEX('Historique ajusté'!O:O,ROW()-Fenetre)="","",'Historique ajusté'!O138/INDEX('Historique ajusté'!O:O,ROW()-Fenetre)-1))</f>
        <v/>
      </c>
      <c r="P138" s="34">
        <f>IF(OR('Historique ajusté'!P138="",ROW()-Fenetre&lt;6),"",IF(INDEX('Historique ajusté'!P:P,ROW()-Fenetre)="","",'Historique ajusté'!P138/INDEX('Historique ajusté'!P:P,ROW()-Fenetre)-1))</f>
        <v/>
      </c>
      <c r="Q138" s="34">
        <f>IF(OR(Composites!L138="",ROW()-Fenetre&lt;6),"",IF(INDEX(Composites!L:L,ROW()-Fenetre)="","",Composites!L138/INDEX(Composites!L:L,ROW()-Fenetre)-1))</f>
        <v/>
      </c>
      <c r="R138" s="34">
        <f>IF(OR(Composites!M138="",ROW()-Fenetre&lt;6),"",IF(INDEX(Composites!M:M,ROW()-Fenetre)="","",Composites!M138/INDEX(Composites!M:M,ROW()-Fenetre)-1))</f>
        <v/>
      </c>
      <c r="S138" s="34">
        <f>IF(OR(Composites!N138="",ROW()-Fenetre&lt;6),"",IF(INDEX(Composites!N:N,ROW()-Fenetre)="","",Composites!N138/INDEX(Composites!N:N,ROW()-Fenetre)-1))</f>
        <v/>
      </c>
      <c r="T138" s="34">
        <f>IF(OR(Composites!O138="",ROW()-Fenetre&lt;6),"",IF(INDEX(Composites!O:O,ROW()-Fenetre)="","",Composites!O138/INDEX(Composites!O:O,ROW()-Fenetre)-1))</f>
        <v/>
      </c>
      <c r="U138" s="34">
        <f>IF(OR(Composites!P138="",ROW()-Fenetre&lt;6),"",IF(INDEX(Composites!P:P,ROW()-Fenetre)="","",Composites!P138/INDEX(Composites!P:P,ROW()-Fenetre)-1))</f>
        <v/>
      </c>
      <c r="V138" s="34">
        <f>IF('Historique ajusté'!C138="","",'Historique ajusté'!C138/MAX('Historique ajusté'!C$6:C138)-1)</f>
        <v/>
      </c>
      <c r="W138" s="34">
        <f>IF('Historique ajusté'!D138="","",'Historique ajusté'!D138/MAX('Historique ajusté'!D$6:D138)-1)</f>
        <v/>
      </c>
      <c r="X138" s="34">
        <f>IF('Historique ajusté'!E138="","",'Historique ajusté'!E138/MAX('Historique ajusté'!E$6:E138)-1)</f>
        <v/>
      </c>
      <c r="Y138" s="34">
        <f>IF('Historique ajusté'!F138="","",'Historique ajusté'!F138/MAX('Historique ajusté'!F$6:F138)-1)</f>
        <v/>
      </c>
      <c r="Z138" s="34">
        <f>IF('Historique ajusté'!G138="","",'Historique ajusté'!G138/MAX('Historique ajusté'!G$6:G138)-1)</f>
        <v/>
      </c>
      <c r="AA138" s="34">
        <f>IF('Historique ajusté'!H138="","",'Historique ajusté'!H138/MAX('Historique ajusté'!H$6:H138)-1)</f>
        <v/>
      </c>
      <c r="AB138" s="34">
        <f>IF('Historique ajusté'!I138="","",'Historique ajusté'!I138/MAX('Historique ajusté'!I$6:I138)-1)</f>
        <v/>
      </c>
      <c r="AC138" s="34">
        <f>IF('Historique ajusté'!J138="","",'Historique ajusté'!J138/MAX('Historique ajusté'!J$6:J138)-1)</f>
        <v/>
      </c>
      <c r="AD138" s="34">
        <f>IF('Historique ajusté'!K138="","",'Historique ajusté'!K138/MAX('Historique ajusté'!K$6:K138)-1)</f>
        <v/>
      </c>
      <c r="AE138" s="34">
        <f>IF('Historique ajusté'!L138="","",'Historique ajusté'!L138/MAX('Historique ajusté'!L$6:L138)-1)</f>
        <v/>
      </c>
      <c r="AF138" s="34">
        <f>IF('Historique ajusté'!M138="","",'Historique ajusté'!M138/MAX('Historique ajusté'!M$6:M138)-1)</f>
        <v/>
      </c>
      <c r="AG138" s="34">
        <f>IF('Historique ajusté'!N138="","",'Historique ajusté'!N138/MAX('Historique ajusté'!N$6:N138)-1)</f>
        <v/>
      </c>
      <c r="AH138" s="34">
        <f>IF('Historique ajusté'!O138="","",'Historique ajusté'!O138/MAX('Historique ajusté'!O$6:O138)-1)</f>
        <v/>
      </c>
      <c r="AI138" s="34">
        <f>IF('Historique ajusté'!P138="","",'Historique ajusté'!P138/MAX('Historique ajusté'!P$6:P138)-1)</f>
        <v/>
      </c>
      <c r="AJ138" s="34">
        <f>IF(Composites!L138="","",Composites!L138/MAX(Composites!L$6:L138)-1)</f>
        <v/>
      </c>
      <c r="AK138" s="34">
        <f>IF(Composites!M138="","",Composites!M138/MAX(Composites!M$6:M138)-1)</f>
        <v/>
      </c>
      <c r="AL138" s="34">
        <f>IF(Composites!N138="","",Composites!N138/MAX(Composites!N$6:N138)-1)</f>
        <v/>
      </c>
      <c r="AM138" s="34">
        <f>IF(Composites!O138="","",Composites!O138/MAX(Composites!O$6:O138)-1)</f>
        <v/>
      </c>
      <c r="AN138" s="34">
        <f>IF(Composites!P138="","",Composites!P138/MAX(Composites!P$6:P138)-1)</f>
        <v/>
      </c>
    </row>
    <row r="139">
      <c r="B139" s="32">
        <f>'Historique ajusté'!B139</f>
        <v/>
      </c>
      <c r="C139" s="34">
        <f>IF(OR('Historique ajusté'!C139="",ROW()-Fenetre&lt;6),"",IF(INDEX('Historique ajusté'!C:C,ROW()-Fenetre)="","",'Historique ajusté'!C139/INDEX('Historique ajusté'!C:C,ROW()-Fenetre)-1))</f>
        <v/>
      </c>
      <c r="D139" s="34">
        <f>IF(OR('Historique ajusté'!D139="",ROW()-Fenetre&lt;6),"",IF(INDEX('Historique ajusté'!D:D,ROW()-Fenetre)="","",'Historique ajusté'!D139/INDEX('Historique ajusté'!D:D,ROW()-Fenetre)-1))</f>
        <v/>
      </c>
      <c r="E139" s="34">
        <f>IF(OR('Historique ajusté'!E139="",ROW()-Fenetre&lt;6),"",IF(INDEX('Historique ajusté'!E:E,ROW()-Fenetre)="","",'Historique ajusté'!E139/INDEX('Historique ajusté'!E:E,ROW()-Fenetre)-1))</f>
        <v/>
      </c>
      <c r="F139" s="34">
        <f>IF(OR('Historique ajusté'!F139="",ROW()-Fenetre&lt;6),"",IF(INDEX('Historique ajusté'!F:F,ROW()-Fenetre)="","",'Historique ajusté'!F139/INDEX('Historique ajusté'!F:F,ROW()-Fenetre)-1))</f>
        <v/>
      </c>
      <c r="G139" s="34">
        <f>IF(OR('Historique ajusté'!G139="",ROW()-Fenetre&lt;6),"",IF(INDEX('Historique ajusté'!G:G,ROW()-Fenetre)="","",'Historique ajusté'!G139/INDEX('Historique ajusté'!G:G,ROW()-Fenetre)-1))</f>
        <v/>
      </c>
      <c r="H139" s="34">
        <f>IF(OR('Historique ajusté'!H139="",ROW()-Fenetre&lt;6),"",IF(INDEX('Historique ajusté'!H:H,ROW()-Fenetre)="","",'Historique ajusté'!H139/INDEX('Historique ajusté'!H:H,ROW()-Fenetre)-1))</f>
        <v/>
      </c>
      <c r="I139" s="34">
        <f>IF(OR('Historique ajusté'!I139="",ROW()-Fenetre&lt;6),"",IF(INDEX('Historique ajusté'!I:I,ROW()-Fenetre)="","",'Historique ajusté'!I139/INDEX('Historique ajusté'!I:I,ROW()-Fenetre)-1))</f>
        <v/>
      </c>
      <c r="J139" s="34">
        <f>IF(OR('Historique ajusté'!J139="",ROW()-Fenetre&lt;6),"",IF(INDEX('Historique ajusté'!J:J,ROW()-Fenetre)="","",'Historique ajusté'!J139/INDEX('Historique ajusté'!J:J,ROW()-Fenetre)-1))</f>
        <v/>
      </c>
      <c r="K139" s="34">
        <f>IF(OR('Historique ajusté'!K139="",ROW()-Fenetre&lt;6),"",IF(INDEX('Historique ajusté'!K:K,ROW()-Fenetre)="","",'Historique ajusté'!K139/INDEX('Historique ajusté'!K:K,ROW()-Fenetre)-1))</f>
        <v/>
      </c>
      <c r="L139" s="34">
        <f>IF(OR('Historique ajusté'!L139="",ROW()-Fenetre&lt;6),"",IF(INDEX('Historique ajusté'!L:L,ROW()-Fenetre)="","",'Historique ajusté'!L139/INDEX('Historique ajusté'!L:L,ROW()-Fenetre)-1))</f>
        <v/>
      </c>
      <c r="M139" s="34">
        <f>IF(OR('Historique ajusté'!M139="",ROW()-Fenetre&lt;6),"",IF(INDEX('Historique ajusté'!M:M,ROW()-Fenetre)="","",'Historique ajusté'!M139/INDEX('Historique ajusté'!M:M,ROW()-Fenetre)-1))</f>
        <v/>
      </c>
      <c r="N139" s="34">
        <f>IF(OR('Historique ajusté'!N139="",ROW()-Fenetre&lt;6),"",IF(INDEX('Historique ajusté'!N:N,ROW()-Fenetre)="","",'Historique ajusté'!N139/INDEX('Historique ajusté'!N:N,ROW()-Fenetre)-1))</f>
        <v/>
      </c>
      <c r="O139" s="34">
        <f>IF(OR('Historique ajusté'!O139="",ROW()-Fenetre&lt;6),"",IF(INDEX('Historique ajusté'!O:O,ROW()-Fenetre)="","",'Historique ajusté'!O139/INDEX('Historique ajusté'!O:O,ROW()-Fenetre)-1))</f>
        <v/>
      </c>
      <c r="P139" s="34">
        <f>IF(OR('Historique ajusté'!P139="",ROW()-Fenetre&lt;6),"",IF(INDEX('Historique ajusté'!P:P,ROW()-Fenetre)="","",'Historique ajusté'!P139/INDEX('Historique ajusté'!P:P,ROW()-Fenetre)-1))</f>
        <v/>
      </c>
      <c r="Q139" s="34">
        <f>IF(OR(Composites!L139="",ROW()-Fenetre&lt;6),"",IF(INDEX(Composites!L:L,ROW()-Fenetre)="","",Composites!L139/INDEX(Composites!L:L,ROW()-Fenetre)-1))</f>
        <v/>
      </c>
      <c r="R139" s="34">
        <f>IF(OR(Composites!M139="",ROW()-Fenetre&lt;6),"",IF(INDEX(Composites!M:M,ROW()-Fenetre)="","",Composites!M139/INDEX(Composites!M:M,ROW()-Fenetre)-1))</f>
        <v/>
      </c>
      <c r="S139" s="34">
        <f>IF(OR(Composites!N139="",ROW()-Fenetre&lt;6),"",IF(INDEX(Composites!N:N,ROW()-Fenetre)="","",Composites!N139/INDEX(Composites!N:N,ROW()-Fenetre)-1))</f>
        <v/>
      </c>
      <c r="T139" s="34">
        <f>IF(OR(Composites!O139="",ROW()-Fenetre&lt;6),"",IF(INDEX(Composites!O:O,ROW()-Fenetre)="","",Composites!O139/INDEX(Composites!O:O,ROW()-Fenetre)-1))</f>
        <v/>
      </c>
      <c r="U139" s="34">
        <f>IF(OR(Composites!P139="",ROW()-Fenetre&lt;6),"",IF(INDEX(Composites!P:P,ROW()-Fenetre)="","",Composites!P139/INDEX(Composites!P:P,ROW()-Fenetre)-1))</f>
        <v/>
      </c>
      <c r="V139" s="34">
        <f>IF('Historique ajusté'!C139="","",'Historique ajusté'!C139/MAX('Historique ajusté'!C$6:C139)-1)</f>
        <v/>
      </c>
      <c r="W139" s="34">
        <f>IF('Historique ajusté'!D139="","",'Historique ajusté'!D139/MAX('Historique ajusté'!D$6:D139)-1)</f>
        <v/>
      </c>
      <c r="X139" s="34">
        <f>IF('Historique ajusté'!E139="","",'Historique ajusté'!E139/MAX('Historique ajusté'!E$6:E139)-1)</f>
        <v/>
      </c>
      <c r="Y139" s="34">
        <f>IF('Historique ajusté'!F139="","",'Historique ajusté'!F139/MAX('Historique ajusté'!F$6:F139)-1)</f>
        <v/>
      </c>
      <c r="Z139" s="34">
        <f>IF('Historique ajusté'!G139="","",'Historique ajusté'!G139/MAX('Historique ajusté'!G$6:G139)-1)</f>
        <v/>
      </c>
      <c r="AA139" s="34">
        <f>IF('Historique ajusté'!H139="","",'Historique ajusté'!H139/MAX('Historique ajusté'!H$6:H139)-1)</f>
        <v/>
      </c>
      <c r="AB139" s="34">
        <f>IF('Historique ajusté'!I139="","",'Historique ajusté'!I139/MAX('Historique ajusté'!I$6:I139)-1)</f>
        <v/>
      </c>
      <c r="AC139" s="34">
        <f>IF('Historique ajusté'!J139="","",'Historique ajusté'!J139/MAX('Historique ajusté'!J$6:J139)-1)</f>
        <v/>
      </c>
      <c r="AD139" s="34">
        <f>IF('Historique ajusté'!K139="","",'Historique ajusté'!K139/MAX('Historique ajusté'!K$6:K139)-1)</f>
        <v/>
      </c>
      <c r="AE139" s="34">
        <f>IF('Historique ajusté'!L139="","",'Historique ajusté'!L139/MAX('Historique ajusté'!L$6:L139)-1)</f>
        <v/>
      </c>
      <c r="AF139" s="34">
        <f>IF('Historique ajusté'!M139="","",'Historique ajusté'!M139/MAX('Historique ajusté'!M$6:M139)-1)</f>
        <v/>
      </c>
      <c r="AG139" s="34">
        <f>IF('Historique ajusté'!N139="","",'Historique ajusté'!N139/MAX('Historique ajusté'!N$6:N139)-1)</f>
        <v/>
      </c>
      <c r="AH139" s="34">
        <f>IF('Historique ajusté'!O139="","",'Historique ajusté'!O139/MAX('Historique ajusté'!O$6:O139)-1)</f>
        <v/>
      </c>
      <c r="AI139" s="34">
        <f>IF('Historique ajusté'!P139="","",'Historique ajusté'!P139/MAX('Historique ajusté'!P$6:P139)-1)</f>
        <v/>
      </c>
      <c r="AJ139" s="34">
        <f>IF(Composites!L139="","",Composites!L139/MAX(Composites!L$6:L139)-1)</f>
        <v/>
      </c>
      <c r="AK139" s="34">
        <f>IF(Composites!M139="","",Composites!M139/MAX(Composites!M$6:M139)-1)</f>
        <v/>
      </c>
      <c r="AL139" s="34">
        <f>IF(Composites!N139="","",Composites!N139/MAX(Composites!N$6:N139)-1)</f>
        <v/>
      </c>
      <c r="AM139" s="34">
        <f>IF(Composites!O139="","",Composites!O139/MAX(Composites!O$6:O139)-1)</f>
        <v/>
      </c>
      <c r="AN139" s="34">
        <f>IF(Composites!P139="","",Composites!P139/MAX(Composites!P$6:P139)-1)</f>
        <v/>
      </c>
    </row>
    <row r="140">
      <c r="B140" s="32">
        <f>'Historique ajusté'!B140</f>
        <v/>
      </c>
      <c r="C140" s="34">
        <f>IF(OR('Historique ajusté'!C140="",ROW()-Fenetre&lt;6),"",IF(INDEX('Historique ajusté'!C:C,ROW()-Fenetre)="","",'Historique ajusté'!C140/INDEX('Historique ajusté'!C:C,ROW()-Fenetre)-1))</f>
        <v/>
      </c>
      <c r="D140" s="34">
        <f>IF(OR('Historique ajusté'!D140="",ROW()-Fenetre&lt;6),"",IF(INDEX('Historique ajusté'!D:D,ROW()-Fenetre)="","",'Historique ajusté'!D140/INDEX('Historique ajusté'!D:D,ROW()-Fenetre)-1))</f>
        <v/>
      </c>
      <c r="E140" s="34">
        <f>IF(OR('Historique ajusté'!E140="",ROW()-Fenetre&lt;6),"",IF(INDEX('Historique ajusté'!E:E,ROW()-Fenetre)="","",'Historique ajusté'!E140/INDEX('Historique ajusté'!E:E,ROW()-Fenetre)-1))</f>
        <v/>
      </c>
      <c r="F140" s="34">
        <f>IF(OR('Historique ajusté'!F140="",ROW()-Fenetre&lt;6),"",IF(INDEX('Historique ajusté'!F:F,ROW()-Fenetre)="","",'Historique ajusté'!F140/INDEX('Historique ajusté'!F:F,ROW()-Fenetre)-1))</f>
        <v/>
      </c>
      <c r="G140" s="34">
        <f>IF(OR('Historique ajusté'!G140="",ROW()-Fenetre&lt;6),"",IF(INDEX('Historique ajusté'!G:G,ROW()-Fenetre)="","",'Historique ajusté'!G140/INDEX('Historique ajusté'!G:G,ROW()-Fenetre)-1))</f>
        <v/>
      </c>
      <c r="H140" s="34">
        <f>IF(OR('Historique ajusté'!H140="",ROW()-Fenetre&lt;6),"",IF(INDEX('Historique ajusté'!H:H,ROW()-Fenetre)="","",'Historique ajusté'!H140/INDEX('Historique ajusté'!H:H,ROW()-Fenetre)-1))</f>
        <v/>
      </c>
      <c r="I140" s="34">
        <f>IF(OR('Historique ajusté'!I140="",ROW()-Fenetre&lt;6),"",IF(INDEX('Historique ajusté'!I:I,ROW()-Fenetre)="","",'Historique ajusté'!I140/INDEX('Historique ajusté'!I:I,ROW()-Fenetre)-1))</f>
        <v/>
      </c>
      <c r="J140" s="34">
        <f>IF(OR('Historique ajusté'!J140="",ROW()-Fenetre&lt;6),"",IF(INDEX('Historique ajusté'!J:J,ROW()-Fenetre)="","",'Historique ajusté'!J140/INDEX('Historique ajusté'!J:J,ROW()-Fenetre)-1))</f>
        <v/>
      </c>
      <c r="K140" s="34">
        <f>IF(OR('Historique ajusté'!K140="",ROW()-Fenetre&lt;6),"",IF(INDEX('Historique ajusté'!K:K,ROW()-Fenetre)="","",'Historique ajusté'!K140/INDEX('Historique ajusté'!K:K,ROW()-Fenetre)-1))</f>
        <v/>
      </c>
      <c r="L140" s="34">
        <f>IF(OR('Historique ajusté'!L140="",ROW()-Fenetre&lt;6),"",IF(INDEX('Historique ajusté'!L:L,ROW()-Fenetre)="","",'Historique ajusté'!L140/INDEX('Historique ajusté'!L:L,ROW()-Fenetre)-1))</f>
        <v/>
      </c>
      <c r="M140" s="34">
        <f>IF(OR('Historique ajusté'!M140="",ROW()-Fenetre&lt;6),"",IF(INDEX('Historique ajusté'!M:M,ROW()-Fenetre)="","",'Historique ajusté'!M140/INDEX('Historique ajusté'!M:M,ROW()-Fenetre)-1))</f>
        <v/>
      </c>
      <c r="N140" s="34">
        <f>IF(OR('Historique ajusté'!N140="",ROW()-Fenetre&lt;6),"",IF(INDEX('Historique ajusté'!N:N,ROW()-Fenetre)="","",'Historique ajusté'!N140/INDEX('Historique ajusté'!N:N,ROW()-Fenetre)-1))</f>
        <v/>
      </c>
      <c r="O140" s="34">
        <f>IF(OR('Historique ajusté'!O140="",ROW()-Fenetre&lt;6),"",IF(INDEX('Historique ajusté'!O:O,ROW()-Fenetre)="","",'Historique ajusté'!O140/INDEX('Historique ajusté'!O:O,ROW()-Fenetre)-1))</f>
        <v/>
      </c>
      <c r="P140" s="34">
        <f>IF(OR('Historique ajusté'!P140="",ROW()-Fenetre&lt;6),"",IF(INDEX('Historique ajusté'!P:P,ROW()-Fenetre)="","",'Historique ajusté'!P140/INDEX('Historique ajusté'!P:P,ROW()-Fenetre)-1))</f>
        <v/>
      </c>
      <c r="Q140" s="34">
        <f>IF(OR(Composites!L140="",ROW()-Fenetre&lt;6),"",IF(INDEX(Composites!L:L,ROW()-Fenetre)="","",Composites!L140/INDEX(Composites!L:L,ROW()-Fenetre)-1))</f>
        <v/>
      </c>
      <c r="R140" s="34">
        <f>IF(OR(Composites!M140="",ROW()-Fenetre&lt;6),"",IF(INDEX(Composites!M:M,ROW()-Fenetre)="","",Composites!M140/INDEX(Composites!M:M,ROW()-Fenetre)-1))</f>
        <v/>
      </c>
      <c r="S140" s="34">
        <f>IF(OR(Composites!N140="",ROW()-Fenetre&lt;6),"",IF(INDEX(Composites!N:N,ROW()-Fenetre)="","",Composites!N140/INDEX(Composites!N:N,ROW()-Fenetre)-1))</f>
        <v/>
      </c>
      <c r="T140" s="34">
        <f>IF(OR(Composites!O140="",ROW()-Fenetre&lt;6),"",IF(INDEX(Composites!O:O,ROW()-Fenetre)="","",Composites!O140/INDEX(Composites!O:O,ROW()-Fenetre)-1))</f>
        <v/>
      </c>
      <c r="U140" s="34">
        <f>IF(OR(Composites!P140="",ROW()-Fenetre&lt;6),"",IF(INDEX(Composites!P:P,ROW()-Fenetre)="","",Composites!P140/INDEX(Composites!P:P,ROW()-Fenetre)-1))</f>
        <v/>
      </c>
      <c r="V140" s="34">
        <f>IF('Historique ajusté'!C140="","",'Historique ajusté'!C140/MAX('Historique ajusté'!C$6:C140)-1)</f>
        <v/>
      </c>
      <c r="W140" s="34">
        <f>IF('Historique ajusté'!D140="","",'Historique ajusté'!D140/MAX('Historique ajusté'!D$6:D140)-1)</f>
        <v/>
      </c>
      <c r="X140" s="34">
        <f>IF('Historique ajusté'!E140="","",'Historique ajusté'!E140/MAX('Historique ajusté'!E$6:E140)-1)</f>
        <v/>
      </c>
      <c r="Y140" s="34">
        <f>IF('Historique ajusté'!F140="","",'Historique ajusté'!F140/MAX('Historique ajusté'!F$6:F140)-1)</f>
        <v/>
      </c>
      <c r="Z140" s="34">
        <f>IF('Historique ajusté'!G140="","",'Historique ajusté'!G140/MAX('Historique ajusté'!G$6:G140)-1)</f>
        <v/>
      </c>
      <c r="AA140" s="34">
        <f>IF('Historique ajusté'!H140="","",'Historique ajusté'!H140/MAX('Historique ajusté'!H$6:H140)-1)</f>
        <v/>
      </c>
      <c r="AB140" s="34">
        <f>IF('Historique ajusté'!I140="","",'Historique ajusté'!I140/MAX('Historique ajusté'!I$6:I140)-1)</f>
        <v/>
      </c>
      <c r="AC140" s="34">
        <f>IF('Historique ajusté'!J140="","",'Historique ajusté'!J140/MAX('Historique ajusté'!J$6:J140)-1)</f>
        <v/>
      </c>
      <c r="AD140" s="34">
        <f>IF('Historique ajusté'!K140="","",'Historique ajusté'!K140/MAX('Historique ajusté'!K$6:K140)-1)</f>
        <v/>
      </c>
      <c r="AE140" s="34">
        <f>IF('Historique ajusté'!L140="","",'Historique ajusté'!L140/MAX('Historique ajusté'!L$6:L140)-1)</f>
        <v/>
      </c>
      <c r="AF140" s="34">
        <f>IF('Historique ajusté'!M140="","",'Historique ajusté'!M140/MAX('Historique ajusté'!M$6:M140)-1)</f>
        <v/>
      </c>
      <c r="AG140" s="34">
        <f>IF('Historique ajusté'!N140="","",'Historique ajusté'!N140/MAX('Historique ajusté'!N$6:N140)-1)</f>
        <v/>
      </c>
      <c r="AH140" s="34">
        <f>IF('Historique ajusté'!O140="","",'Historique ajusté'!O140/MAX('Historique ajusté'!O$6:O140)-1)</f>
        <v/>
      </c>
      <c r="AI140" s="34">
        <f>IF('Historique ajusté'!P140="","",'Historique ajusté'!P140/MAX('Historique ajusté'!P$6:P140)-1)</f>
        <v/>
      </c>
      <c r="AJ140" s="34">
        <f>IF(Composites!L140="","",Composites!L140/MAX(Composites!L$6:L140)-1)</f>
        <v/>
      </c>
      <c r="AK140" s="34">
        <f>IF(Composites!M140="","",Composites!M140/MAX(Composites!M$6:M140)-1)</f>
        <v/>
      </c>
      <c r="AL140" s="34">
        <f>IF(Composites!N140="","",Composites!N140/MAX(Composites!N$6:N140)-1)</f>
        <v/>
      </c>
      <c r="AM140" s="34">
        <f>IF(Composites!O140="","",Composites!O140/MAX(Composites!O$6:O140)-1)</f>
        <v/>
      </c>
      <c r="AN140" s="34">
        <f>IF(Composites!P140="","",Composites!P140/MAX(Composites!P$6:P140)-1)</f>
        <v/>
      </c>
    </row>
    <row r="141">
      <c r="B141" s="32">
        <f>'Historique ajusté'!B141</f>
        <v/>
      </c>
      <c r="C141" s="34">
        <f>IF(OR('Historique ajusté'!C141="",ROW()-Fenetre&lt;6),"",IF(INDEX('Historique ajusté'!C:C,ROW()-Fenetre)="","",'Historique ajusté'!C141/INDEX('Historique ajusté'!C:C,ROW()-Fenetre)-1))</f>
        <v/>
      </c>
      <c r="D141" s="34">
        <f>IF(OR('Historique ajusté'!D141="",ROW()-Fenetre&lt;6),"",IF(INDEX('Historique ajusté'!D:D,ROW()-Fenetre)="","",'Historique ajusté'!D141/INDEX('Historique ajusté'!D:D,ROW()-Fenetre)-1))</f>
        <v/>
      </c>
      <c r="E141" s="34">
        <f>IF(OR('Historique ajusté'!E141="",ROW()-Fenetre&lt;6),"",IF(INDEX('Historique ajusté'!E:E,ROW()-Fenetre)="","",'Historique ajusté'!E141/INDEX('Historique ajusté'!E:E,ROW()-Fenetre)-1))</f>
        <v/>
      </c>
      <c r="F141" s="34">
        <f>IF(OR('Historique ajusté'!F141="",ROW()-Fenetre&lt;6),"",IF(INDEX('Historique ajusté'!F:F,ROW()-Fenetre)="","",'Historique ajusté'!F141/INDEX('Historique ajusté'!F:F,ROW()-Fenetre)-1))</f>
        <v/>
      </c>
      <c r="G141" s="34">
        <f>IF(OR('Historique ajusté'!G141="",ROW()-Fenetre&lt;6),"",IF(INDEX('Historique ajusté'!G:G,ROW()-Fenetre)="","",'Historique ajusté'!G141/INDEX('Historique ajusté'!G:G,ROW()-Fenetre)-1))</f>
        <v/>
      </c>
      <c r="H141" s="34">
        <f>IF(OR('Historique ajusté'!H141="",ROW()-Fenetre&lt;6),"",IF(INDEX('Historique ajusté'!H:H,ROW()-Fenetre)="","",'Historique ajusté'!H141/INDEX('Historique ajusté'!H:H,ROW()-Fenetre)-1))</f>
        <v/>
      </c>
      <c r="I141" s="34">
        <f>IF(OR('Historique ajusté'!I141="",ROW()-Fenetre&lt;6),"",IF(INDEX('Historique ajusté'!I:I,ROW()-Fenetre)="","",'Historique ajusté'!I141/INDEX('Historique ajusté'!I:I,ROW()-Fenetre)-1))</f>
        <v/>
      </c>
      <c r="J141" s="34">
        <f>IF(OR('Historique ajusté'!J141="",ROW()-Fenetre&lt;6),"",IF(INDEX('Historique ajusté'!J:J,ROW()-Fenetre)="","",'Historique ajusté'!J141/INDEX('Historique ajusté'!J:J,ROW()-Fenetre)-1))</f>
        <v/>
      </c>
      <c r="K141" s="34">
        <f>IF(OR('Historique ajusté'!K141="",ROW()-Fenetre&lt;6),"",IF(INDEX('Historique ajusté'!K:K,ROW()-Fenetre)="","",'Historique ajusté'!K141/INDEX('Historique ajusté'!K:K,ROW()-Fenetre)-1))</f>
        <v/>
      </c>
      <c r="L141" s="34">
        <f>IF(OR('Historique ajusté'!L141="",ROW()-Fenetre&lt;6),"",IF(INDEX('Historique ajusté'!L:L,ROW()-Fenetre)="","",'Historique ajusté'!L141/INDEX('Historique ajusté'!L:L,ROW()-Fenetre)-1))</f>
        <v/>
      </c>
      <c r="M141" s="34">
        <f>IF(OR('Historique ajusté'!M141="",ROW()-Fenetre&lt;6),"",IF(INDEX('Historique ajusté'!M:M,ROW()-Fenetre)="","",'Historique ajusté'!M141/INDEX('Historique ajusté'!M:M,ROW()-Fenetre)-1))</f>
        <v/>
      </c>
      <c r="N141" s="34">
        <f>IF(OR('Historique ajusté'!N141="",ROW()-Fenetre&lt;6),"",IF(INDEX('Historique ajusté'!N:N,ROW()-Fenetre)="","",'Historique ajusté'!N141/INDEX('Historique ajusté'!N:N,ROW()-Fenetre)-1))</f>
        <v/>
      </c>
      <c r="O141" s="34">
        <f>IF(OR('Historique ajusté'!O141="",ROW()-Fenetre&lt;6),"",IF(INDEX('Historique ajusté'!O:O,ROW()-Fenetre)="","",'Historique ajusté'!O141/INDEX('Historique ajusté'!O:O,ROW()-Fenetre)-1))</f>
        <v/>
      </c>
      <c r="P141" s="34">
        <f>IF(OR('Historique ajusté'!P141="",ROW()-Fenetre&lt;6),"",IF(INDEX('Historique ajusté'!P:P,ROW()-Fenetre)="","",'Historique ajusté'!P141/INDEX('Historique ajusté'!P:P,ROW()-Fenetre)-1))</f>
        <v/>
      </c>
      <c r="Q141" s="34">
        <f>IF(OR(Composites!L141="",ROW()-Fenetre&lt;6),"",IF(INDEX(Composites!L:L,ROW()-Fenetre)="","",Composites!L141/INDEX(Composites!L:L,ROW()-Fenetre)-1))</f>
        <v/>
      </c>
      <c r="R141" s="34">
        <f>IF(OR(Composites!M141="",ROW()-Fenetre&lt;6),"",IF(INDEX(Composites!M:M,ROW()-Fenetre)="","",Composites!M141/INDEX(Composites!M:M,ROW()-Fenetre)-1))</f>
        <v/>
      </c>
      <c r="S141" s="34">
        <f>IF(OR(Composites!N141="",ROW()-Fenetre&lt;6),"",IF(INDEX(Composites!N:N,ROW()-Fenetre)="","",Composites!N141/INDEX(Composites!N:N,ROW()-Fenetre)-1))</f>
        <v/>
      </c>
      <c r="T141" s="34">
        <f>IF(OR(Composites!O141="",ROW()-Fenetre&lt;6),"",IF(INDEX(Composites!O:O,ROW()-Fenetre)="","",Composites!O141/INDEX(Composites!O:O,ROW()-Fenetre)-1))</f>
        <v/>
      </c>
      <c r="U141" s="34">
        <f>IF(OR(Composites!P141="",ROW()-Fenetre&lt;6),"",IF(INDEX(Composites!P:P,ROW()-Fenetre)="","",Composites!P141/INDEX(Composites!P:P,ROW()-Fenetre)-1))</f>
        <v/>
      </c>
      <c r="V141" s="34">
        <f>IF('Historique ajusté'!C141="","",'Historique ajusté'!C141/MAX('Historique ajusté'!C$6:C141)-1)</f>
        <v/>
      </c>
      <c r="W141" s="34">
        <f>IF('Historique ajusté'!D141="","",'Historique ajusté'!D141/MAX('Historique ajusté'!D$6:D141)-1)</f>
        <v/>
      </c>
      <c r="X141" s="34">
        <f>IF('Historique ajusté'!E141="","",'Historique ajusté'!E141/MAX('Historique ajusté'!E$6:E141)-1)</f>
        <v/>
      </c>
      <c r="Y141" s="34">
        <f>IF('Historique ajusté'!F141="","",'Historique ajusté'!F141/MAX('Historique ajusté'!F$6:F141)-1)</f>
        <v/>
      </c>
      <c r="Z141" s="34">
        <f>IF('Historique ajusté'!G141="","",'Historique ajusté'!G141/MAX('Historique ajusté'!G$6:G141)-1)</f>
        <v/>
      </c>
      <c r="AA141" s="34">
        <f>IF('Historique ajusté'!H141="","",'Historique ajusté'!H141/MAX('Historique ajusté'!H$6:H141)-1)</f>
        <v/>
      </c>
      <c r="AB141" s="34">
        <f>IF('Historique ajusté'!I141="","",'Historique ajusté'!I141/MAX('Historique ajusté'!I$6:I141)-1)</f>
        <v/>
      </c>
      <c r="AC141" s="34">
        <f>IF('Historique ajusté'!J141="","",'Historique ajusté'!J141/MAX('Historique ajusté'!J$6:J141)-1)</f>
        <v/>
      </c>
      <c r="AD141" s="34">
        <f>IF('Historique ajusté'!K141="","",'Historique ajusté'!K141/MAX('Historique ajusté'!K$6:K141)-1)</f>
        <v/>
      </c>
      <c r="AE141" s="34">
        <f>IF('Historique ajusté'!L141="","",'Historique ajusté'!L141/MAX('Historique ajusté'!L$6:L141)-1)</f>
        <v/>
      </c>
      <c r="AF141" s="34">
        <f>IF('Historique ajusté'!M141="","",'Historique ajusté'!M141/MAX('Historique ajusté'!M$6:M141)-1)</f>
        <v/>
      </c>
      <c r="AG141" s="34">
        <f>IF('Historique ajusté'!N141="","",'Historique ajusté'!N141/MAX('Historique ajusté'!N$6:N141)-1)</f>
        <v/>
      </c>
      <c r="AH141" s="34">
        <f>IF('Historique ajusté'!O141="","",'Historique ajusté'!O141/MAX('Historique ajusté'!O$6:O141)-1)</f>
        <v/>
      </c>
      <c r="AI141" s="34">
        <f>IF('Historique ajusté'!P141="","",'Historique ajusté'!P141/MAX('Historique ajusté'!P$6:P141)-1)</f>
        <v/>
      </c>
      <c r="AJ141" s="34">
        <f>IF(Composites!L141="","",Composites!L141/MAX(Composites!L$6:L141)-1)</f>
        <v/>
      </c>
      <c r="AK141" s="34">
        <f>IF(Composites!M141="","",Composites!M141/MAX(Composites!M$6:M141)-1)</f>
        <v/>
      </c>
      <c r="AL141" s="34">
        <f>IF(Composites!N141="","",Composites!N141/MAX(Composites!N$6:N141)-1)</f>
        <v/>
      </c>
      <c r="AM141" s="34">
        <f>IF(Composites!O141="","",Composites!O141/MAX(Composites!O$6:O141)-1)</f>
        <v/>
      </c>
      <c r="AN141" s="34">
        <f>IF(Composites!P141="","",Composites!P141/MAX(Composites!P$6:P141)-1)</f>
        <v/>
      </c>
    </row>
    <row r="142">
      <c r="B142" s="32">
        <f>'Historique ajusté'!B142</f>
        <v/>
      </c>
      <c r="C142" s="34">
        <f>IF(OR('Historique ajusté'!C142="",ROW()-Fenetre&lt;6),"",IF(INDEX('Historique ajusté'!C:C,ROW()-Fenetre)="","",'Historique ajusté'!C142/INDEX('Historique ajusté'!C:C,ROW()-Fenetre)-1))</f>
        <v/>
      </c>
      <c r="D142" s="34">
        <f>IF(OR('Historique ajusté'!D142="",ROW()-Fenetre&lt;6),"",IF(INDEX('Historique ajusté'!D:D,ROW()-Fenetre)="","",'Historique ajusté'!D142/INDEX('Historique ajusté'!D:D,ROW()-Fenetre)-1))</f>
        <v/>
      </c>
      <c r="E142" s="34">
        <f>IF(OR('Historique ajusté'!E142="",ROW()-Fenetre&lt;6),"",IF(INDEX('Historique ajusté'!E:E,ROW()-Fenetre)="","",'Historique ajusté'!E142/INDEX('Historique ajusté'!E:E,ROW()-Fenetre)-1))</f>
        <v/>
      </c>
      <c r="F142" s="34">
        <f>IF(OR('Historique ajusté'!F142="",ROW()-Fenetre&lt;6),"",IF(INDEX('Historique ajusté'!F:F,ROW()-Fenetre)="","",'Historique ajusté'!F142/INDEX('Historique ajusté'!F:F,ROW()-Fenetre)-1))</f>
        <v/>
      </c>
      <c r="G142" s="34">
        <f>IF(OR('Historique ajusté'!G142="",ROW()-Fenetre&lt;6),"",IF(INDEX('Historique ajusté'!G:G,ROW()-Fenetre)="","",'Historique ajusté'!G142/INDEX('Historique ajusté'!G:G,ROW()-Fenetre)-1))</f>
        <v/>
      </c>
      <c r="H142" s="34">
        <f>IF(OR('Historique ajusté'!H142="",ROW()-Fenetre&lt;6),"",IF(INDEX('Historique ajusté'!H:H,ROW()-Fenetre)="","",'Historique ajusté'!H142/INDEX('Historique ajusté'!H:H,ROW()-Fenetre)-1))</f>
        <v/>
      </c>
      <c r="I142" s="34">
        <f>IF(OR('Historique ajusté'!I142="",ROW()-Fenetre&lt;6),"",IF(INDEX('Historique ajusté'!I:I,ROW()-Fenetre)="","",'Historique ajusté'!I142/INDEX('Historique ajusté'!I:I,ROW()-Fenetre)-1))</f>
        <v/>
      </c>
      <c r="J142" s="34">
        <f>IF(OR('Historique ajusté'!J142="",ROW()-Fenetre&lt;6),"",IF(INDEX('Historique ajusté'!J:J,ROW()-Fenetre)="","",'Historique ajusté'!J142/INDEX('Historique ajusté'!J:J,ROW()-Fenetre)-1))</f>
        <v/>
      </c>
      <c r="K142" s="34">
        <f>IF(OR('Historique ajusté'!K142="",ROW()-Fenetre&lt;6),"",IF(INDEX('Historique ajusté'!K:K,ROW()-Fenetre)="","",'Historique ajusté'!K142/INDEX('Historique ajusté'!K:K,ROW()-Fenetre)-1))</f>
        <v/>
      </c>
      <c r="L142" s="34">
        <f>IF(OR('Historique ajusté'!L142="",ROW()-Fenetre&lt;6),"",IF(INDEX('Historique ajusté'!L:L,ROW()-Fenetre)="","",'Historique ajusté'!L142/INDEX('Historique ajusté'!L:L,ROW()-Fenetre)-1))</f>
        <v/>
      </c>
      <c r="M142" s="34">
        <f>IF(OR('Historique ajusté'!M142="",ROW()-Fenetre&lt;6),"",IF(INDEX('Historique ajusté'!M:M,ROW()-Fenetre)="","",'Historique ajusté'!M142/INDEX('Historique ajusté'!M:M,ROW()-Fenetre)-1))</f>
        <v/>
      </c>
      <c r="N142" s="34">
        <f>IF(OR('Historique ajusté'!N142="",ROW()-Fenetre&lt;6),"",IF(INDEX('Historique ajusté'!N:N,ROW()-Fenetre)="","",'Historique ajusté'!N142/INDEX('Historique ajusté'!N:N,ROW()-Fenetre)-1))</f>
        <v/>
      </c>
      <c r="O142" s="34">
        <f>IF(OR('Historique ajusté'!O142="",ROW()-Fenetre&lt;6),"",IF(INDEX('Historique ajusté'!O:O,ROW()-Fenetre)="","",'Historique ajusté'!O142/INDEX('Historique ajusté'!O:O,ROW()-Fenetre)-1))</f>
        <v/>
      </c>
      <c r="P142" s="34">
        <f>IF(OR('Historique ajusté'!P142="",ROW()-Fenetre&lt;6),"",IF(INDEX('Historique ajusté'!P:P,ROW()-Fenetre)="","",'Historique ajusté'!P142/INDEX('Historique ajusté'!P:P,ROW()-Fenetre)-1))</f>
        <v/>
      </c>
      <c r="Q142" s="34">
        <f>IF(OR(Composites!L142="",ROW()-Fenetre&lt;6),"",IF(INDEX(Composites!L:L,ROW()-Fenetre)="","",Composites!L142/INDEX(Composites!L:L,ROW()-Fenetre)-1))</f>
        <v/>
      </c>
      <c r="R142" s="34">
        <f>IF(OR(Composites!M142="",ROW()-Fenetre&lt;6),"",IF(INDEX(Composites!M:M,ROW()-Fenetre)="","",Composites!M142/INDEX(Composites!M:M,ROW()-Fenetre)-1))</f>
        <v/>
      </c>
      <c r="S142" s="34">
        <f>IF(OR(Composites!N142="",ROW()-Fenetre&lt;6),"",IF(INDEX(Composites!N:N,ROW()-Fenetre)="","",Composites!N142/INDEX(Composites!N:N,ROW()-Fenetre)-1))</f>
        <v/>
      </c>
      <c r="T142" s="34">
        <f>IF(OR(Composites!O142="",ROW()-Fenetre&lt;6),"",IF(INDEX(Composites!O:O,ROW()-Fenetre)="","",Composites!O142/INDEX(Composites!O:O,ROW()-Fenetre)-1))</f>
        <v/>
      </c>
      <c r="U142" s="34">
        <f>IF(OR(Composites!P142="",ROW()-Fenetre&lt;6),"",IF(INDEX(Composites!P:P,ROW()-Fenetre)="","",Composites!P142/INDEX(Composites!P:P,ROW()-Fenetre)-1))</f>
        <v/>
      </c>
      <c r="V142" s="34">
        <f>IF('Historique ajusté'!C142="","",'Historique ajusté'!C142/MAX('Historique ajusté'!C$6:C142)-1)</f>
        <v/>
      </c>
      <c r="W142" s="34">
        <f>IF('Historique ajusté'!D142="","",'Historique ajusté'!D142/MAX('Historique ajusté'!D$6:D142)-1)</f>
        <v/>
      </c>
      <c r="X142" s="34">
        <f>IF('Historique ajusté'!E142="","",'Historique ajusté'!E142/MAX('Historique ajusté'!E$6:E142)-1)</f>
        <v/>
      </c>
      <c r="Y142" s="34">
        <f>IF('Historique ajusté'!F142="","",'Historique ajusté'!F142/MAX('Historique ajusté'!F$6:F142)-1)</f>
        <v/>
      </c>
      <c r="Z142" s="34">
        <f>IF('Historique ajusté'!G142="","",'Historique ajusté'!G142/MAX('Historique ajusté'!G$6:G142)-1)</f>
        <v/>
      </c>
      <c r="AA142" s="34">
        <f>IF('Historique ajusté'!H142="","",'Historique ajusté'!H142/MAX('Historique ajusté'!H$6:H142)-1)</f>
        <v/>
      </c>
      <c r="AB142" s="34">
        <f>IF('Historique ajusté'!I142="","",'Historique ajusté'!I142/MAX('Historique ajusté'!I$6:I142)-1)</f>
        <v/>
      </c>
      <c r="AC142" s="34">
        <f>IF('Historique ajusté'!J142="","",'Historique ajusté'!J142/MAX('Historique ajusté'!J$6:J142)-1)</f>
        <v/>
      </c>
      <c r="AD142" s="34">
        <f>IF('Historique ajusté'!K142="","",'Historique ajusté'!K142/MAX('Historique ajusté'!K$6:K142)-1)</f>
        <v/>
      </c>
      <c r="AE142" s="34">
        <f>IF('Historique ajusté'!L142="","",'Historique ajusté'!L142/MAX('Historique ajusté'!L$6:L142)-1)</f>
        <v/>
      </c>
      <c r="AF142" s="34">
        <f>IF('Historique ajusté'!M142="","",'Historique ajusté'!M142/MAX('Historique ajusté'!M$6:M142)-1)</f>
        <v/>
      </c>
      <c r="AG142" s="34">
        <f>IF('Historique ajusté'!N142="","",'Historique ajusté'!N142/MAX('Historique ajusté'!N$6:N142)-1)</f>
        <v/>
      </c>
      <c r="AH142" s="34">
        <f>IF('Historique ajusté'!O142="","",'Historique ajusté'!O142/MAX('Historique ajusté'!O$6:O142)-1)</f>
        <v/>
      </c>
      <c r="AI142" s="34">
        <f>IF('Historique ajusté'!P142="","",'Historique ajusté'!P142/MAX('Historique ajusté'!P$6:P142)-1)</f>
        <v/>
      </c>
      <c r="AJ142" s="34">
        <f>IF(Composites!L142="","",Composites!L142/MAX(Composites!L$6:L142)-1)</f>
        <v/>
      </c>
      <c r="AK142" s="34">
        <f>IF(Composites!M142="","",Composites!M142/MAX(Composites!M$6:M142)-1)</f>
        <v/>
      </c>
      <c r="AL142" s="34">
        <f>IF(Composites!N142="","",Composites!N142/MAX(Composites!N$6:N142)-1)</f>
        <v/>
      </c>
      <c r="AM142" s="34">
        <f>IF(Composites!O142="","",Composites!O142/MAX(Composites!O$6:O142)-1)</f>
        <v/>
      </c>
      <c r="AN142" s="34">
        <f>IF(Composites!P142="","",Composites!P142/MAX(Composites!P$6:P142)-1)</f>
        <v/>
      </c>
    </row>
    <row r="143">
      <c r="B143" s="32">
        <f>'Historique ajusté'!B143</f>
        <v/>
      </c>
      <c r="C143" s="34">
        <f>IF(OR('Historique ajusté'!C143="",ROW()-Fenetre&lt;6),"",IF(INDEX('Historique ajusté'!C:C,ROW()-Fenetre)="","",'Historique ajusté'!C143/INDEX('Historique ajusté'!C:C,ROW()-Fenetre)-1))</f>
        <v/>
      </c>
      <c r="D143" s="34">
        <f>IF(OR('Historique ajusté'!D143="",ROW()-Fenetre&lt;6),"",IF(INDEX('Historique ajusté'!D:D,ROW()-Fenetre)="","",'Historique ajusté'!D143/INDEX('Historique ajusté'!D:D,ROW()-Fenetre)-1))</f>
        <v/>
      </c>
      <c r="E143" s="34">
        <f>IF(OR('Historique ajusté'!E143="",ROW()-Fenetre&lt;6),"",IF(INDEX('Historique ajusté'!E:E,ROW()-Fenetre)="","",'Historique ajusté'!E143/INDEX('Historique ajusté'!E:E,ROW()-Fenetre)-1))</f>
        <v/>
      </c>
      <c r="F143" s="34">
        <f>IF(OR('Historique ajusté'!F143="",ROW()-Fenetre&lt;6),"",IF(INDEX('Historique ajusté'!F:F,ROW()-Fenetre)="","",'Historique ajusté'!F143/INDEX('Historique ajusté'!F:F,ROW()-Fenetre)-1))</f>
        <v/>
      </c>
      <c r="G143" s="34">
        <f>IF(OR('Historique ajusté'!G143="",ROW()-Fenetre&lt;6),"",IF(INDEX('Historique ajusté'!G:G,ROW()-Fenetre)="","",'Historique ajusté'!G143/INDEX('Historique ajusté'!G:G,ROW()-Fenetre)-1))</f>
        <v/>
      </c>
      <c r="H143" s="34">
        <f>IF(OR('Historique ajusté'!H143="",ROW()-Fenetre&lt;6),"",IF(INDEX('Historique ajusté'!H:H,ROW()-Fenetre)="","",'Historique ajusté'!H143/INDEX('Historique ajusté'!H:H,ROW()-Fenetre)-1))</f>
        <v/>
      </c>
      <c r="I143" s="34">
        <f>IF(OR('Historique ajusté'!I143="",ROW()-Fenetre&lt;6),"",IF(INDEX('Historique ajusté'!I:I,ROW()-Fenetre)="","",'Historique ajusté'!I143/INDEX('Historique ajusté'!I:I,ROW()-Fenetre)-1))</f>
        <v/>
      </c>
      <c r="J143" s="34">
        <f>IF(OR('Historique ajusté'!J143="",ROW()-Fenetre&lt;6),"",IF(INDEX('Historique ajusté'!J:J,ROW()-Fenetre)="","",'Historique ajusté'!J143/INDEX('Historique ajusté'!J:J,ROW()-Fenetre)-1))</f>
        <v/>
      </c>
      <c r="K143" s="34">
        <f>IF(OR('Historique ajusté'!K143="",ROW()-Fenetre&lt;6),"",IF(INDEX('Historique ajusté'!K:K,ROW()-Fenetre)="","",'Historique ajusté'!K143/INDEX('Historique ajusté'!K:K,ROW()-Fenetre)-1))</f>
        <v/>
      </c>
      <c r="L143" s="34">
        <f>IF(OR('Historique ajusté'!L143="",ROW()-Fenetre&lt;6),"",IF(INDEX('Historique ajusté'!L:L,ROW()-Fenetre)="","",'Historique ajusté'!L143/INDEX('Historique ajusté'!L:L,ROW()-Fenetre)-1))</f>
        <v/>
      </c>
      <c r="M143" s="34">
        <f>IF(OR('Historique ajusté'!M143="",ROW()-Fenetre&lt;6),"",IF(INDEX('Historique ajusté'!M:M,ROW()-Fenetre)="","",'Historique ajusté'!M143/INDEX('Historique ajusté'!M:M,ROW()-Fenetre)-1))</f>
        <v/>
      </c>
      <c r="N143" s="34">
        <f>IF(OR('Historique ajusté'!N143="",ROW()-Fenetre&lt;6),"",IF(INDEX('Historique ajusté'!N:N,ROW()-Fenetre)="","",'Historique ajusté'!N143/INDEX('Historique ajusté'!N:N,ROW()-Fenetre)-1))</f>
        <v/>
      </c>
      <c r="O143" s="34">
        <f>IF(OR('Historique ajusté'!O143="",ROW()-Fenetre&lt;6),"",IF(INDEX('Historique ajusté'!O:O,ROW()-Fenetre)="","",'Historique ajusté'!O143/INDEX('Historique ajusté'!O:O,ROW()-Fenetre)-1))</f>
        <v/>
      </c>
      <c r="P143" s="34">
        <f>IF(OR('Historique ajusté'!P143="",ROW()-Fenetre&lt;6),"",IF(INDEX('Historique ajusté'!P:P,ROW()-Fenetre)="","",'Historique ajusté'!P143/INDEX('Historique ajusté'!P:P,ROW()-Fenetre)-1))</f>
        <v/>
      </c>
      <c r="Q143" s="34">
        <f>IF(OR(Composites!L143="",ROW()-Fenetre&lt;6),"",IF(INDEX(Composites!L:L,ROW()-Fenetre)="","",Composites!L143/INDEX(Composites!L:L,ROW()-Fenetre)-1))</f>
        <v/>
      </c>
      <c r="R143" s="34">
        <f>IF(OR(Composites!M143="",ROW()-Fenetre&lt;6),"",IF(INDEX(Composites!M:M,ROW()-Fenetre)="","",Composites!M143/INDEX(Composites!M:M,ROW()-Fenetre)-1))</f>
        <v/>
      </c>
      <c r="S143" s="34">
        <f>IF(OR(Composites!N143="",ROW()-Fenetre&lt;6),"",IF(INDEX(Composites!N:N,ROW()-Fenetre)="","",Composites!N143/INDEX(Composites!N:N,ROW()-Fenetre)-1))</f>
        <v/>
      </c>
      <c r="T143" s="34">
        <f>IF(OR(Composites!O143="",ROW()-Fenetre&lt;6),"",IF(INDEX(Composites!O:O,ROW()-Fenetre)="","",Composites!O143/INDEX(Composites!O:O,ROW()-Fenetre)-1))</f>
        <v/>
      </c>
      <c r="U143" s="34">
        <f>IF(OR(Composites!P143="",ROW()-Fenetre&lt;6),"",IF(INDEX(Composites!P:P,ROW()-Fenetre)="","",Composites!P143/INDEX(Composites!P:P,ROW()-Fenetre)-1))</f>
        <v/>
      </c>
      <c r="V143" s="34">
        <f>IF('Historique ajusté'!C143="","",'Historique ajusté'!C143/MAX('Historique ajusté'!C$6:C143)-1)</f>
        <v/>
      </c>
      <c r="W143" s="34">
        <f>IF('Historique ajusté'!D143="","",'Historique ajusté'!D143/MAX('Historique ajusté'!D$6:D143)-1)</f>
        <v/>
      </c>
      <c r="X143" s="34">
        <f>IF('Historique ajusté'!E143="","",'Historique ajusté'!E143/MAX('Historique ajusté'!E$6:E143)-1)</f>
        <v/>
      </c>
      <c r="Y143" s="34">
        <f>IF('Historique ajusté'!F143="","",'Historique ajusté'!F143/MAX('Historique ajusté'!F$6:F143)-1)</f>
        <v/>
      </c>
      <c r="Z143" s="34">
        <f>IF('Historique ajusté'!G143="","",'Historique ajusté'!G143/MAX('Historique ajusté'!G$6:G143)-1)</f>
        <v/>
      </c>
      <c r="AA143" s="34">
        <f>IF('Historique ajusté'!H143="","",'Historique ajusté'!H143/MAX('Historique ajusté'!H$6:H143)-1)</f>
        <v/>
      </c>
      <c r="AB143" s="34">
        <f>IF('Historique ajusté'!I143="","",'Historique ajusté'!I143/MAX('Historique ajusté'!I$6:I143)-1)</f>
        <v/>
      </c>
      <c r="AC143" s="34">
        <f>IF('Historique ajusté'!J143="","",'Historique ajusté'!J143/MAX('Historique ajusté'!J$6:J143)-1)</f>
        <v/>
      </c>
      <c r="AD143" s="34">
        <f>IF('Historique ajusté'!K143="","",'Historique ajusté'!K143/MAX('Historique ajusté'!K$6:K143)-1)</f>
        <v/>
      </c>
      <c r="AE143" s="34">
        <f>IF('Historique ajusté'!L143="","",'Historique ajusté'!L143/MAX('Historique ajusté'!L$6:L143)-1)</f>
        <v/>
      </c>
      <c r="AF143" s="34">
        <f>IF('Historique ajusté'!M143="","",'Historique ajusté'!M143/MAX('Historique ajusté'!M$6:M143)-1)</f>
        <v/>
      </c>
      <c r="AG143" s="34">
        <f>IF('Historique ajusté'!N143="","",'Historique ajusté'!N143/MAX('Historique ajusté'!N$6:N143)-1)</f>
        <v/>
      </c>
      <c r="AH143" s="34">
        <f>IF('Historique ajusté'!O143="","",'Historique ajusté'!O143/MAX('Historique ajusté'!O$6:O143)-1)</f>
        <v/>
      </c>
      <c r="AI143" s="34">
        <f>IF('Historique ajusté'!P143="","",'Historique ajusté'!P143/MAX('Historique ajusté'!P$6:P143)-1)</f>
        <v/>
      </c>
      <c r="AJ143" s="34">
        <f>IF(Composites!L143="","",Composites!L143/MAX(Composites!L$6:L143)-1)</f>
        <v/>
      </c>
      <c r="AK143" s="34">
        <f>IF(Composites!M143="","",Composites!M143/MAX(Composites!M$6:M143)-1)</f>
        <v/>
      </c>
      <c r="AL143" s="34">
        <f>IF(Composites!N143="","",Composites!N143/MAX(Composites!N$6:N143)-1)</f>
        <v/>
      </c>
      <c r="AM143" s="34">
        <f>IF(Composites!O143="","",Composites!O143/MAX(Composites!O$6:O143)-1)</f>
        <v/>
      </c>
      <c r="AN143" s="34">
        <f>IF(Composites!P143="","",Composites!P143/MAX(Composites!P$6:P143)-1)</f>
        <v/>
      </c>
    </row>
    <row r="144">
      <c r="B144" s="32">
        <f>'Historique ajusté'!B144</f>
        <v/>
      </c>
      <c r="C144" s="34">
        <f>IF(OR('Historique ajusté'!C144="",ROW()-Fenetre&lt;6),"",IF(INDEX('Historique ajusté'!C:C,ROW()-Fenetre)="","",'Historique ajusté'!C144/INDEX('Historique ajusté'!C:C,ROW()-Fenetre)-1))</f>
        <v/>
      </c>
      <c r="D144" s="34">
        <f>IF(OR('Historique ajusté'!D144="",ROW()-Fenetre&lt;6),"",IF(INDEX('Historique ajusté'!D:D,ROW()-Fenetre)="","",'Historique ajusté'!D144/INDEX('Historique ajusté'!D:D,ROW()-Fenetre)-1))</f>
        <v/>
      </c>
      <c r="E144" s="34">
        <f>IF(OR('Historique ajusté'!E144="",ROW()-Fenetre&lt;6),"",IF(INDEX('Historique ajusté'!E:E,ROW()-Fenetre)="","",'Historique ajusté'!E144/INDEX('Historique ajusté'!E:E,ROW()-Fenetre)-1))</f>
        <v/>
      </c>
      <c r="F144" s="34">
        <f>IF(OR('Historique ajusté'!F144="",ROW()-Fenetre&lt;6),"",IF(INDEX('Historique ajusté'!F:F,ROW()-Fenetre)="","",'Historique ajusté'!F144/INDEX('Historique ajusté'!F:F,ROW()-Fenetre)-1))</f>
        <v/>
      </c>
      <c r="G144" s="34">
        <f>IF(OR('Historique ajusté'!G144="",ROW()-Fenetre&lt;6),"",IF(INDEX('Historique ajusté'!G:G,ROW()-Fenetre)="","",'Historique ajusté'!G144/INDEX('Historique ajusté'!G:G,ROW()-Fenetre)-1))</f>
        <v/>
      </c>
      <c r="H144" s="34">
        <f>IF(OR('Historique ajusté'!H144="",ROW()-Fenetre&lt;6),"",IF(INDEX('Historique ajusté'!H:H,ROW()-Fenetre)="","",'Historique ajusté'!H144/INDEX('Historique ajusté'!H:H,ROW()-Fenetre)-1))</f>
        <v/>
      </c>
      <c r="I144" s="34">
        <f>IF(OR('Historique ajusté'!I144="",ROW()-Fenetre&lt;6),"",IF(INDEX('Historique ajusté'!I:I,ROW()-Fenetre)="","",'Historique ajusté'!I144/INDEX('Historique ajusté'!I:I,ROW()-Fenetre)-1))</f>
        <v/>
      </c>
      <c r="J144" s="34">
        <f>IF(OR('Historique ajusté'!J144="",ROW()-Fenetre&lt;6),"",IF(INDEX('Historique ajusté'!J:J,ROW()-Fenetre)="","",'Historique ajusté'!J144/INDEX('Historique ajusté'!J:J,ROW()-Fenetre)-1))</f>
        <v/>
      </c>
      <c r="K144" s="34">
        <f>IF(OR('Historique ajusté'!K144="",ROW()-Fenetre&lt;6),"",IF(INDEX('Historique ajusté'!K:K,ROW()-Fenetre)="","",'Historique ajusté'!K144/INDEX('Historique ajusté'!K:K,ROW()-Fenetre)-1))</f>
        <v/>
      </c>
      <c r="L144" s="34">
        <f>IF(OR('Historique ajusté'!L144="",ROW()-Fenetre&lt;6),"",IF(INDEX('Historique ajusté'!L:L,ROW()-Fenetre)="","",'Historique ajusté'!L144/INDEX('Historique ajusté'!L:L,ROW()-Fenetre)-1))</f>
        <v/>
      </c>
      <c r="M144" s="34">
        <f>IF(OR('Historique ajusté'!M144="",ROW()-Fenetre&lt;6),"",IF(INDEX('Historique ajusté'!M:M,ROW()-Fenetre)="","",'Historique ajusté'!M144/INDEX('Historique ajusté'!M:M,ROW()-Fenetre)-1))</f>
        <v/>
      </c>
      <c r="N144" s="34">
        <f>IF(OR('Historique ajusté'!N144="",ROW()-Fenetre&lt;6),"",IF(INDEX('Historique ajusté'!N:N,ROW()-Fenetre)="","",'Historique ajusté'!N144/INDEX('Historique ajusté'!N:N,ROW()-Fenetre)-1))</f>
        <v/>
      </c>
      <c r="O144" s="34">
        <f>IF(OR('Historique ajusté'!O144="",ROW()-Fenetre&lt;6),"",IF(INDEX('Historique ajusté'!O:O,ROW()-Fenetre)="","",'Historique ajusté'!O144/INDEX('Historique ajusté'!O:O,ROW()-Fenetre)-1))</f>
        <v/>
      </c>
      <c r="P144" s="34">
        <f>IF(OR('Historique ajusté'!P144="",ROW()-Fenetre&lt;6),"",IF(INDEX('Historique ajusté'!P:P,ROW()-Fenetre)="","",'Historique ajusté'!P144/INDEX('Historique ajusté'!P:P,ROW()-Fenetre)-1))</f>
        <v/>
      </c>
      <c r="Q144" s="34">
        <f>IF(OR(Composites!L144="",ROW()-Fenetre&lt;6),"",IF(INDEX(Composites!L:L,ROW()-Fenetre)="","",Composites!L144/INDEX(Composites!L:L,ROW()-Fenetre)-1))</f>
        <v/>
      </c>
      <c r="R144" s="34">
        <f>IF(OR(Composites!M144="",ROW()-Fenetre&lt;6),"",IF(INDEX(Composites!M:M,ROW()-Fenetre)="","",Composites!M144/INDEX(Composites!M:M,ROW()-Fenetre)-1))</f>
        <v/>
      </c>
      <c r="S144" s="34">
        <f>IF(OR(Composites!N144="",ROW()-Fenetre&lt;6),"",IF(INDEX(Composites!N:N,ROW()-Fenetre)="","",Composites!N144/INDEX(Composites!N:N,ROW()-Fenetre)-1))</f>
        <v/>
      </c>
      <c r="T144" s="34">
        <f>IF(OR(Composites!O144="",ROW()-Fenetre&lt;6),"",IF(INDEX(Composites!O:O,ROW()-Fenetre)="","",Composites!O144/INDEX(Composites!O:O,ROW()-Fenetre)-1))</f>
        <v/>
      </c>
      <c r="U144" s="34">
        <f>IF(OR(Composites!P144="",ROW()-Fenetre&lt;6),"",IF(INDEX(Composites!P:P,ROW()-Fenetre)="","",Composites!P144/INDEX(Composites!P:P,ROW()-Fenetre)-1))</f>
        <v/>
      </c>
      <c r="V144" s="34">
        <f>IF('Historique ajusté'!C144="","",'Historique ajusté'!C144/MAX('Historique ajusté'!C$6:C144)-1)</f>
        <v/>
      </c>
      <c r="W144" s="34">
        <f>IF('Historique ajusté'!D144="","",'Historique ajusté'!D144/MAX('Historique ajusté'!D$6:D144)-1)</f>
        <v/>
      </c>
      <c r="X144" s="34">
        <f>IF('Historique ajusté'!E144="","",'Historique ajusté'!E144/MAX('Historique ajusté'!E$6:E144)-1)</f>
        <v/>
      </c>
      <c r="Y144" s="34">
        <f>IF('Historique ajusté'!F144="","",'Historique ajusté'!F144/MAX('Historique ajusté'!F$6:F144)-1)</f>
        <v/>
      </c>
      <c r="Z144" s="34">
        <f>IF('Historique ajusté'!G144="","",'Historique ajusté'!G144/MAX('Historique ajusté'!G$6:G144)-1)</f>
        <v/>
      </c>
      <c r="AA144" s="34">
        <f>IF('Historique ajusté'!H144="","",'Historique ajusté'!H144/MAX('Historique ajusté'!H$6:H144)-1)</f>
        <v/>
      </c>
      <c r="AB144" s="34">
        <f>IF('Historique ajusté'!I144="","",'Historique ajusté'!I144/MAX('Historique ajusté'!I$6:I144)-1)</f>
        <v/>
      </c>
      <c r="AC144" s="34">
        <f>IF('Historique ajusté'!J144="","",'Historique ajusté'!J144/MAX('Historique ajusté'!J$6:J144)-1)</f>
        <v/>
      </c>
      <c r="AD144" s="34">
        <f>IF('Historique ajusté'!K144="","",'Historique ajusté'!K144/MAX('Historique ajusté'!K$6:K144)-1)</f>
        <v/>
      </c>
      <c r="AE144" s="34">
        <f>IF('Historique ajusté'!L144="","",'Historique ajusté'!L144/MAX('Historique ajusté'!L$6:L144)-1)</f>
        <v/>
      </c>
      <c r="AF144" s="34">
        <f>IF('Historique ajusté'!M144="","",'Historique ajusté'!M144/MAX('Historique ajusté'!M$6:M144)-1)</f>
        <v/>
      </c>
      <c r="AG144" s="34">
        <f>IF('Historique ajusté'!N144="","",'Historique ajusté'!N144/MAX('Historique ajusté'!N$6:N144)-1)</f>
        <v/>
      </c>
      <c r="AH144" s="34">
        <f>IF('Historique ajusté'!O144="","",'Historique ajusté'!O144/MAX('Historique ajusté'!O$6:O144)-1)</f>
        <v/>
      </c>
      <c r="AI144" s="34">
        <f>IF('Historique ajusté'!P144="","",'Historique ajusté'!P144/MAX('Historique ajusté'!P$6:P144)-1)</f>
        <v/>
      </c>
      <c r="AJ144" s="34">
        <f>IF(Composites!L144="","",Composites!L144/MAX(Composites!L$6:L144)-1)</f>
        <v/>
      </c>
      <c r="AK144" s="34">
        <f>IF(Composites!M144="","",Composites!M144/MAX(Composites!M$6:M144)-1)</f>
        <v/>
      </c>
      <c r="AL144" s="34">
        <f>IF(Composites!N144="","",Composites!N144/MAX(Composites!N$6:N144)-1)</f>
        <v/>
      </c>
      <c r="AM144" s="34">
        <f>IF(Composites!O144="","",Composites!O144/MAX(Composites!O$6:O144)-1)</f>
        <v/>
      </c>
      <c r="AN144" s="34">
        <f>IF(Composites!P144="","",Composites!P144/MAX(Composites!P$6:P144)-1)</f>
        <v/>
      </c>
    </row>
    <row r="145">
      <c r="B145" s="32">
        <f>'Historique ajusté'!B145</f>
        <v/>
      </c>
      <c r="C145" s="34">
        <f>IF(OR('Historique ajusté'!C145="",ROW()-Fenetre&lt;6),"",IF(INDEX('Historique ajusté'!C:C,ROW()-Fenetre)="","",'Historique ajusté'!C145/INDEX('Historique ajusté'!C:C,ROW()-Fenetre)-1))</f>
        <v/>
      </c>
      <c r="D145" s="34">
        <f>IF(OR('Historique ajusté'!D145="",ROW()-Fenetre&lt;6),"",IF(INDEX('Historique ajusté'!D:D,ROW()-Fenetre)="","",'Historique ajusté'!D145/INDEX('Historique ajusté'!D:D,ROW()-Fenetre)-1))</f>
        <v/>
      </c>
      <c r="E145" s="34">
        <f>IF(OR('Historique ajusté'!E145="",ROW()-Fenetre&lt;6),"",IF(INDEX('Historique ajusté'!E:E,ROW()-Fenetre)="","",'Historique ajusté'!E145/INDEX('Historique ajusté'!E:E,ROW()-Fenetre)-1))</f>
        <v/>
      </c>
      <c r="F145" s="34">
        <f>IF(OR('Historique ajusté'!F145="",ROW()-Fenetre&lt;6),"",IF(INDEX('Historique ajusté'!F:F,ROW()-Fenetre)="","",'Historique ajusté'!F145/INDEX('Historique ajusté'!F:F,ROW()-Fenetre)-1))</f>
        <v/>
      </c>
      <c r="G145" s="34">
        <f>IF(OR('Historique ajusté'!G145="",ROW()-Fenetre&lt;6),"",IF(INDEX('Historique ajusté'!G:G,ROW()-Fenetre)="","",'Historique ajusté'!G145/INDEX('Historique ajusté'!G:G,ROW()-Fenetre)-1))</f>
        <v/>
      </c>
      <c r="H145" s="34">
        <f>IF(OR('Historique ajusté'!H145="",ROW()-Fenetre&lt;6),"",IF(INDEX('Historique ajusté'!H:H,ROW()-Fenetre)="","",'Historique ajusté'!H145/INDEX('Historique ajusté'!H:H,ROW()-Fenetre)-1))</f>
        <v/>
      </c>
      <c r="I145" s="34">
        <f>IF(OR('Historique ajusté'!I145="",ROW()-Fenetre&lt;6),"",IF(INDEX('Historique ajusté'!I:I,ROW()-Fenetre)="","",'Historique ajusté'!I145/INDEX('Historique ajusté'!I:I,ROW()-Fenetre)-1))</f>
        <v/>
      </c>
      <c r="J145" s="34">
        <f>IF(OR('Historique ajusté'!J145="",ROW()-Fenetre&lt;6),"",IF(INDEX('Historique ajusté'!J:J,ROW()-Fenetre)="","",'Historique ajusté'!J145/INDEX('Historique ajusté'!J:J,ROW()-Fenetre)-1))</f>
        <v/>
      </c>
      <c r="K145" s="34">
        <f>IF(OR('Historique ajusté'!K145="",ROW()-Fenetre&lt;6),"",IF(INDEX('Historique ajusté'!K:K,ROW()-Fenetre)="","",'Historique ajusté'!K145/INDEX('Historique ajusté'!K:K,ROW()-Fenetre)-1))</f>
        <v/>
      </c>
      <c r="L145" s="34">
        <f>IF(OR('Historique ajusté'!L145="",ROW()-Fenetre&lt;6),"",IF(INDEX('Historique ajusté'!L:L,ROW()-Fenetre)="","",'Historique ajusté'!L145/INDEX('Historique ajusté'!L:L,ROW()-Fenetre)-1))</f>
        <v/>
      </c>
      <c r="M145" s="34">
        <f>IF(OR('Historique ajusté'!M145="",ROW()-Fenetre&lt;6),"",IF(INDEX('Historique ajusté'!M:M,ROW()-Fenetre)="","",'Historique ajusté'!M145/INDEX('Historique ajusté'!M:M,ROW()-Fenetre)-1))</f>
        <v/>
      </c>
      <c r="N145" s="34">
        <f>IF(OR('Historique ajusté'!N145="",ROW()-Fenetre&lt;6),"",IF(INDEX('Historique ajusté'!N:N,ROW()-Fenetre)="","",'Historique ajusté'!N145/INDEX('Historique ajusté'!N:N,ROW()-Fenetre)-1))</f>
        <v/>
      </c>
      <c r="O145" s="34">
        <f>IF(OR('Historique ajusté'!O145="",ROW()-Fenetre&lt;6),"",IF(INDEX('Historique ajusté'!O:O,ROW()-Fenetre)="","",'Historique ajusté'!O145/INDEX('Historique ajusté'!O:O,ROW()-Fenetre)-1))</f>
        <v/>
      </c>
      <c r="P145" s="34">
        <f>IF(OR('Historique ajusté'!P145="",ROW()-Fenetre&lt;6),"",IF(INDEX('Historique ajusté'!P:P,ROW()-Fenetre)="","",'Historique ajusté'!P145/INDEX('Historique ajusté'!P:P,ROW()-Fenetre)-1))</f>
        <v/>
      </c>
      <c r="Q145" s="34">
        <f>IF(OR(Composites!L145="",ROW()-Fenetre&lt;6),"",IF(INDEX(Composites!L:L,ROW()-Fenetre)="","",Composites!L145/INDEX(Composites!L:L,ROW()-Fenetre)-1))</f>
        <v/>
      </c>
      <c r="R145" s="34">
        <f>IF(OR(Composites!M145="",ROW()-Fenetre&lt;6),"",IF(INDEX(Composites!M:M,ROW()-Fenetre)="","",Composites!M145/INDEX(Composites!M:M,ROW()-Fenetre)-1))</f>
        <v/>
      </c>
      <c r="S145" s="34">
        <f>IF(OR(Composites!N145="",ROW()-Fenetre&lt;6),"",IF(INDEX(Composites!N:N,ROW()-Fenetre)="","",Composites!N145/INDEX(Composites!N:N,ROW()-Fenetre)-1))</f>
        <v/>
      </c>
      <c r="T145" s="34">
        <f>IF(OR(Composites!O145="",ROW()-Fenetre&lt;6),"",IF(INDEX(Composites!O:O,ROW()-Fenetre)="","",Composites!O145/INDEX(Composites!O:O,ROW()-Fenetre)-1))</f>
        <v/>
      </c>
      <c r="U145" s="34">
        <f>IF(OR(Composites!P145="",ROW()-Fenetre&lt;6),"",IF(INDEX(Composites!P:P,ROW()-Fenetre)="","",Composites!P145/INDEX(Composites!P:P,ROW()-Fenetre)-1))</f>
        <v/>
      </c>
      <c r="V145" s="34">
        <f>IF('Historique ajusté'!C145="","",'Historique ajusté'!C145/MAX('Historique ajusté'!C$6:C145)-1)</f>
        <v/>
      </c>
      <c r="W145" s="34">
        <f>IF('Historique ajusté'!D145="","",'Historique ajusté'!D145/MAX('Historique ajusté'!D$6:D145)-1)</f>
        <v/>
      </c>
      <c r="X145" s="34">
        <f>IF('Historique ajusté'!E145="","",'Historique ajusté'!E145/MAX('Historique ajusté'!E$6:E145)-1)</f>
        <v/>
      </c>
      <c r="Y145" s="34">
        <f>IF('Historique ajusté'!F145="","",'Historique ajusté'!F145/MAX('Historique ajusté'!F$6:F145)-1)</f>
        <v/>
      </c>
      <c r="Z145" s="34">
        <f>IF('Historique ajusté'!G145="","",'Historique ajusté'!G145/MAX('Historique ajusté'!G$6:G145)-1)</f>
        <v/>
      </c>
      <c r="AA145" s="34">
        <f>IF('Historique ajusté'!H145="","",'Historique ajusté'!H145/MAX('Historique ajusté'!H$6:H145)-1)</f>
        <v/>
      </c>
      <c r="AB145" s="34">
        <f>IF('Historique ajusté'!I145="","",'Historique ajusté'!I145/MAX('Historique ajusté'!I$6:I145)-1)</f>
        <v/>
      </c>
      <c r="AC145" s="34">
        <f>IF('Historique ajusté'!J145="","",'Historique ajusté'!J145/MAX('Historique ajusté'!J$6:J145)-1)</f>
        <v/>
      </c>
      <c r="AD145" s="34">
        <f>IF('Historique ajusté'!K145="","",'Historique ajusté'!K145/MAX('Historique ajusté'!K$6:K145)-1)</f>
        <v/>
      </c>
      <c r="AE145" s="34">
        <f>IF('Historique ajusté'!L145="","",'Historique ajusté'!L145/MAX('Historique ajusté'!L$6:L145)-1)</f>
        <v/>
      </c>
      <c r="AF145" s="34">
        <f>IF('Historique ajusté'!M145="","",'Historique ajusté'!M145/MAX('Historique ajusté'!M$6:M145)-1)</f>
        <v/>
      </c>
      <c r="AG145" s="34">
        <f>IF('Historique ajusté'!N145="","",'Historique ajusté'!N145/MAX('Historique ajusté'!N$6:N145)-1)</f>
        <v/>
      </c>
      <c r="AH145" s="34">
        <f>IF('Historique ajusté'!O145="","",'Historique ajusté'!O145/MAX('Historique ajusté'!O$6:O145)-1)</f>
        <v/>
      </c>
      <c r="AI145" s="34">
        <f>IF('Historique ajusté'!P145="","",'Historique ajusté'!P145/MAX('Historique ajusté'!P$6:P145)-1)</f>
        <v/>
      </c>
      <c r="AJ145" s="34">
        <f>IF(Composites!L145="","",Composites!L145/MAX(Composites!L$6:L145)-1)</f>
        <v/>
      </c>
      <c r="AK145" s="34">
        <f>IF(Composites!M145="","",Composites!M145/MAX(Composites!M$6:M145)-1)</f>
        <v/>
      </c>
      <c r="AL145" s="34">
        <f>IF(Composites!N145="","",Composites!N145/MAX(Composites!N$6:N145)-1)</f>
        <v/>
      </c>
      <c r="AM145" s="34">
        <f>IF(Composites!O145="","",Composites!O145/MAX(Composites!O$6:O145)-1)</f>
        <v/>
      </c>
      <c r="AN145" s="34">
        <f>IF(Composites!P145="","",Composites!P145/MAX(Composites!P$6:P145)-1)</f>
        <v/>
      </c>
    </row>
    <row r="146">
      <c r="B146" s="32">
        <f>'Historique ajusté'!B146</f>
        <v/>
      </c>
      <c r="C146" s="34">
        <f>IF(OR('Historique ajusté'!C146="",ROW()-Fenetre&lt;6),"",IF(INDEX('Historique ajusté'!C:C,ROW()-Fenetre)="","",'Historique ajusté'!C146/INDEX('Historique ajusté'!C:C,ROW()-Fenetre)-1))</f>
        <v/>
      </c>
      <c r="D146" s="34">
        <f>IF(OR('Historique ajusté'!D146="",ROW()-Fenetre&lt;6),"",IF(INDEX('Historique ajusté'!D:D,ROW()-Fenetre)="","",'Historique ajusté'!D146/INDEX('Historique ajusté'!D:D,ROW()-Fenetre)-1))</f>
        <v/>
      </c>
      <c r="E146" s="34">
        <f>IF(OR('Historique ajusté'!E146="",ROW()-Fenetre&lt;6),"",IF(INDEX('Historique ajusté'!E:E,ROW()-Fenetre)="","",'Historique ajusté'!E146/INDEX('Historique ajusté'!E:E,ROW()-Fenetre)-1))</f>
        <v/>
      </c>
      <c r="F146" s="34">
        <f>IF(OR('Historique ajusté'!F146="",ROW()-Fenetre&lt;6),"",IF(INDEX('Historique ajusté'!F:F,ROW()-Fenetre)="","",'Historique ajusté'!F146/INDEX('Historique ajusté'!F:F,ROW()-Fenetre)-1))</f>
        <v/>
      </c>
      <c r="G146" s="34">
        <f>IF(OR('Historique ajusté'!G146="",ROW()-Fenetre&lt;6),"",IF(INDEX('Historique ajusté'!G:G,ROW()-Fenetre)="","",'Historique ajusté'!G146/INDEX('Historique ajusté'!G:G,ROW()-Fenetre)-1))</f>
        <v/>
      </c>
      <c r="H146" s="34">
        <f>IF(OR('Historique ajusté'!H146="",ROW()-Fenetre&lt;6),"",IF(INDEX('Historique ajusté'!H:H,ROW()-Fenetre)="","",'Historique ajusté'!H146/INDEX('Historique ajusté'!H:H,ROW()-Fenetre)-1))</f>
        <v/>
      </c>
      <c r="I146" s="34">
        <f>IF(OR('Historique ajusté'!I146="",ROW()-Fenetre&lt;6),"",IF(INDEX('Historique ajusté'!I:I,ROW()-Fenetre)="","",'Historique ajusté'!I146/INDEX('Historique ajusté'!I:I,ROW()-Fenetre)-1))</f>
        <v/>
      </c>
      <c r="J146" s="34">
        <f>IF(OR('Historique ajusté'!J146="",ROW()-Fenetre&lt;6),"",IF(INDEX('Historique ajusté'!J:J,ROW()-Fenetre)="","",'Historique ajusté'!J146/INDEX('Historique ajusté'!J:J,ROW()-Fenetre)-1))</f>
        <v/>
      </c>
      <c r="K146" s="34">
        <f>IF(OR('Historique ajusté'!K146="",ROW()-Fenetre&lt;6),"",IF(INDEX('Historique ajusté'!K:K,ROW()-Fenetre)="","",'Historique ajusté'!K146/INDEX('Historique ajusté'!K:K,ROW()-Fenetre)-1))</f>
        <v/>
      </c>
      <c r="L146" s="34">
        <f>IF(OR('Historique ajusté'!L146="",ROW()-Fenetre&lt;6),"",IF(INDEX('Historique ajusté'!L:L,ROW()-Fenetre)="","",'Historique ajusté'!L146/INDEX('Historique ajusté'!L:L,ROW()-Fenetre)-1))</f>
        <v/>
      </c>
      <c r="M146" s="34">
        <f>IF(OR('Historique ajusté'!M146="",ROW()-Fenetre&lt;6),"",IF(INDEX('Historique ajusté'!M:M,ROW()-Fenetre)="","",'Historique ajusté'!M146/INDEX('Historique ajusté'!M:M,ROW()-Fenetre)-1))</f>
        <v/>
      </c>
      <c r="N146" s="34">
        <f>IF(OR('Historique ajusté'!N146="",ROW()-Fenetre&lt;6),"",IF(INDEX('Historique ajusté'!N:N,ROW()-Fenetre)="","",'Historique ajusté'!N146/INDEX('Historique ajusté'!N:N,ROW()-Fenetre)-1))</f>
        <v/>
      </c>
      <c r="O146" s="34">
        <f>IF(OR('Historique ajusté'!O146="",ROW()-Fenetre&lt;6),"",IF(INDEX('Historique ajusté'!O:O,ROW()-Fenetre)="","",'Historique ajusté'!O146/INDEX('Historique ajusté'!O:O,ROW()-Fenetre)-1))</f>
        <v/>
      </c>
      <c r="P146" s="34">
        <f>IF(OR('Historique ajusté'!P146="",ROW()-Fenetre&lt;6),"",IF(INDEX('Historique ajusté'!P:P,ROW()-Fenetre)="","",'Historique ajusté'!P146/INDEX('Historique ajusté'!P:P,ROW()-Fenetre)-1))</f>
        <v/>
      </c>
      <c r="Q146" s="34">
        <f>IF(OR(Composites!L146="",ROW()-Fenetre&lt;6),"",IF(INDEX(Composites!L:L,ROW()-Fenetre)="","",Composites!L146/INDEX(Composites!L:L,ROW()-Fenetre)-1))</f>
        <v/>
      </c>
      <c r="R146" s="34">
        <f>IF(OR(Composites!M146="",ROW()-Fenetre&lt;6),"",IF(INDEX(Composites!M:M,ROW()-Fenetre)="","",Composites!M146/INDEX(Composites!M:M,ROW()-Fenetre)-1))</f>
        <v/>
      </c>
      <c r="S146" s="34">
        <f>IF(OR(Composites!N146="",ROW()-Fenetre&lt;6),"",IF(INDEX(Composites!N:N,ROW()-Fenetre)="","",Composites!N146/INDEX(Composites!N:N,ROW()-Fenetre)-1))</f>
        <v/>
      </c>
      <c r="T146" s="34">
        <f>IF(OR(Composites!O146="",ROW()-Fenetre&lt;6),"",IF(INDEX(Composites!O:O,ROW()-Fenetre)="","",Composites!O146/INDEX(Composites!O:O,ROW()-Fenetre)-1))</f>
        <v/>
      </c>
      <c r="U146" s="34">
        <f>IF(OR(Composites!P146="",ROW()-Fenetre&lt;6),"",IF(INDEX(Composites!P:P,ROW()-Fenetre)="","",Composites!P146/INDEX(Composites!P:P,ROW()-Fenetre)-1))</f>
        <v/>
      </c>
      <c r="V146" s="34">
        <f>IF('Historique ajusté'!C146="","",'Historique ajusté'!C146/MAX('Historique ajusté'!C$6:C146)-1)</f>
        <v/>
      </c>
      <c r="W146" s="34">
        <f>IF('Historique ajusté'!D146="","",'Historique ajusté'!D146/MAX('Historique ajusté'!D$6:D146)-1)</f>
        <v/>
      </c>
      <c r="X146" s="34">
        <f>IF('Historique ajusté'!E146="","",'Historique ajusté'!E146/MAX('Historique ajusté'!E$6:E146)-1)</f>
        <v/>
      </c>
      <c r="Y146" s="34">
        <f>IF('Historique ajusté'!F146="","",'Historique ajusté'!F146/MAX('Historique ajusté'!F$6:F146)-1)</f>
        <v/>
      </c>
      <c r="Z146" s="34">
        <f>IF('Historique ajusté'!G146="","",'Historique ajusté'!G146/MAX('Historique ajusté'!G$6:G146)-1)</f>
        <v/>
      </c>
      <c r="AA146" s="34">
        <f>IF('Historique ajusté'!H146="","",'Historique ajusté'!H146/MAX('Historique ajusté'!H$6:H146)-1)</f>
        <v/>
      </c>
      <c r="AB146" s="34">
        <f>IF('Historique ajusté'!I146="","",'Historique ajusté'!I146/MAX('Historique ajusté'!I$6:I146)-1)</f>
        <v/>
      </c>
      <c r="AC146" s="34">
        <f>IF('Historique ajusté'!J146="","",'Historique ajusté'!J146/MAX('Historique ajusté'!J$6:J146)-1)</f>
        <v/>
      </c>
      <c r="AD146" s="34">
        <f>IF('Historique ajusté'!K146="","",'Historique ajusté'!K146/MAX('Historique ajusté'!K$6:K146)-1)</f>
        <v/>
      </c>
      <c r="AE146" s="34">
        <f>IF('Historique ajusté'!L146="","",'Historique ajusté'!L146/MAX('Historique ajusté'!L$6:L146)-1)</f>
        <v/>
      </c>
      <c r="AF146" s="34">
        <f>IF('Historique ajusté'!M146="","",'Historique ajusté'!M146/MAX('Historique ajusté'!M$6:M146)-1)</f>
        <v/>
      </c>
      <c r="AG146" s="34">
        <f>IF('Historique ajusté'!N146="","",'Historique ajusté'!N146/MAX('Historique ajusté'!N$6:N146)-1)</f>
        <v/>
      </c>
      <c r="AH146" s="34">
        <f>IF('Historique ajusté'!O146="","",'Historique ajusté'!O146/MAX('Historique ajusté'!O$6:O146)-1)</f>
        <v/>
      </c>
      <c r="AI146" s="34">
        <f>IF('Historique ajusté'!P146="","",'Historique ajusté'!P146/MAX('Historique ajusté'!P$6:P146)-1)</f>
        <v/>
      </c>
      <c r="AJ146" s="34">
        <f>IF(Composites!L146="","",Composites!L146/MAX(Composites!L$6:L146)-1)</f>
        <v/>
      </c>
      <c r="AK146" s="34">
        <f>IF(Composites!M146="","",Composites!M146/MAX(Composites!M$6:M146)-1)</f>
        <v/>
      </c>
      <c r="AL146" s="34">
        <f>IF(Composites!N146="","",Composites!N146/MAX(Composites!N$6:N146)-1)</f>
        <v/>
      </c>
      <c r="AM146" s="34">
        <f>IF(Composites!O146="","",Composites!O146/MAX(Composites!O$6:O146)-1)</f>
        <v/>
      </c>
      <c r="AN146" s="34">
        <f>IF(Composites!P146="","",Composites!P146/MAX(Composites!P$6:P146)-1)</f>
        <v/>
      </c>
    </row>
    <row r="147">
      <c r="B147" s="32">
        <f>'Historique ajusté'!B147</f>
        <v/>
      </c>
      <c r="C147" s="34">
        <f>IF(OR('Historique ajusté'!C147="",ROW()-Fenetre&lt;6),"",IF(INDEX('Historique ajusté'!C:C,ROW()-Fenetre)="","",'Historique ajusté'!C147/INDEX('Historique ajusté'!C:C,ROW()-Fenetre)-1))</f>
        <v/>
      </c>
      <c r="D147" s="34">
        <f>IF(OR('Historique ajusté'!D147="",ROW()-Fenetre&lt;6),"",IF(INDEX('Historique ajusté'!D:D,ROW()-Fenetre)="","",'Historique ajusté'!D147/INDEX('Historique ajusté'!D:D,ROW()-Fenetre)-1))</f>
        <v/>
      </c>
      <c r="E147" s="34">
        <f>IF(OR('Historique ajusté'!E147="",ROW()-Fenetre&lt;6),"",IF(INDEX('Historique ajusté'!E:E,ROW()-Fenetre)="","",'Historique ajusté'!E147/INDEX('Historique ajusté'!E:E,ROW()-Fenetre)-1))</f>
        <v/>
      </c>
      <c r="F147" s="34">
        <f>IF(OR('Historique ajusté'!F147="",ROW()-Fenetre&lt;6),"",IF(INDEX('Historique ajusté'!F:F,ROW()-Fenetre)="","",'Historique ajusté'!F147/INDEX('Historique ajusté'!F:F,ROW()-Fenetre)-1))</f>
        <v/>
      </c>
      <c r="G147" s="34">
        <f>IF(OR('Historique ajusté'!G147="",ROW()-Fenetre&lt;6),"",IF(INDEX('Historique ajusté'!G:G,ROW()-Fenetre)="","",'Historique ajusté'!G147/INDEX('Historique ajusté'!G:G,ROW()-Fenetre)-1))</f>
        <v/>
      </c>
      <c r="H147" s="34">
        <f>IF(OR('Historique ajusté'!H147="",ROW()-Fenetre&lt;6),"",IF(INDEX('Historique ajusté'!H:H,ROW()-Fenetre)="","",'Historique ajusté'!H147/INDEX('Historique ajusté'!H:H,ROW()-Fenetre)-1))</f>
        <v/>
      </c>
      <c r="I147" s="34">
        <f>IF(OR('Historique ajusté'!I147="",ROW()-Fenetre&lt;6),"",IF(INDEX('Historique ajusté'!I:I,ROW()-Fenetre)="","",'Historique ajusté'!I147/INDEX('Historique ajusté'!I:I,ROW()-Fenetre)-1))</f>
        <v/>
      </c>
      <c r="J147" s="34">
        <f>IF(OR('Historique ajusté'!J147="",ROW()-Fenetre&lt;6),"",IF(INDEX('Historique ajusté'!J:J,ROW()-Fenetre)="","",'Historique ajusté'!J147/INDEX('Historique ajusté'!J:J,ROW()-Fenetre)-1))</f>
        <v/>
      </c>
      <c r="K147" s="34">
        <f>IF(OR('Historique ajusté'!K147="",ROW()-Fenetre&lt;6),"",IF(INDEX('Historique ajusté'!K:K,ROW()-Fenetre)="","",'Historique ajusté'!K147/INDEX('Historique ajusté'!K:K,ROW()-Fenetre)-1))</f>
        <v/>
      </c>
      <c r="L147" s="34">
        <f>IF(OR('Historique ajusté'!L147="",ROW()-Fenetre&lt;6),"",IF(INDEX('Historique ajusté'!L:L,ROW()-Fenetre)="","",'Historique ajusté'!L147/INDEX('Historique ajusté'!L:L,ROW()-Fenetre)-1))</f>
        <v/>
      </c>
      <c r="M147" s="34">
        <f>IF(OR('Historique ajusté'!M147="",ROW()-Fenetre&lt;6),"",IF(INDEX('Historique ajusté'!M:M,ROW()-Fenetre)="","",'Historique ajusté'!M147/INDEX('Historique ajusté'!M:M,ROW()-Fenetre)-1))</f>
        <v/>
      </c>
      <c r="N147" s="34">
        <f>IF(OR('Historique ajusté'!N147="",ROW()-Fenetre&lt;6),"",IF(INDEX('Historique ajusté'!N:N,ROW()-Fenetre)="","",'Historique ajusté'!N147/INDEX('Historique ajusté'!N:N,ROW()-Fenetre)-1))</f>
        <v/>
      </c>
      <c r="O147" s="34">
        <f>IF(OR('Historique ajusté'!O147="",ROW()-Fenetre&lt;6),"",IF(INDEX('Historique ajusté'!O:O,ROW()-Fenetre)="","",'Historique ajusté'!O147/INDEX('Historique ajusté'!O:O,ROW()-Fenetre)-1))</f>
        <v/>
      </c>
      <c r="P147" s="34">
        <f>IF(OR('Historique ajusté'!P147="",ROW()-Fenetre&lt;6),"",IF(INDEX('Historique ajusté'!P:P,ROW()-Fenetre)="","",'Historique ajusté'!P147/INDEX('Historique ajusté'!P:P,ROW()-Fenetre)-1))</f>
        <v/>
      </c>
      <c r="Q147" s="34">
        <f>IF(OR(Composites!L147="",ROW()-Fenetre&lt;6),"",IF(INDEX(Composites!L:L,ROW()-Fenetre)="","",Composites!L147/INDEX(Composites!L:L,ROW()-Fenetre)-1))</f>
        <v/>
      </c>
      <c r="R147" s="34">
        <f>IF(OR(Composites!M147="",ROW()-Fenetre&lt;6),"",IF(INDEX(Composites!M:M,ROW()-Fenetre)="","",Composites!M147/INDEX(Composites!M:M,ROW()-Fenetre)-1))</f>
        <v/>
      </c>
      <c r="S147" s="34">
        <f>IF(OR(Composites!N147="",ROW()-Fenetre&lt;6),"",IF(INDEX(Composites!N:N,ROW()-Fenetre)="","",Composites!N147/INDEX(Composites!N:N,ROW()-Fenetre)-1))</f>
        <v/>
      </c>
      <c r="T147" s="34">
        <f>IF(OR(Composites!O147="",ROW()-Fenetre&lt;6),"",IF(INDEX(Composites!O:O,ROW()-Fenetre)="","",Composites!O147/INDEX(Composites!O:O,ROW()-Fenetre)-1))</f>
        <v/>
      </c>
      <c r="U147" s="34">
        <f>IF(OR(Composites!P147="",ROW()-Fenetre&lt;6),"",IF(INDEX(Composites!P:P,ROW()-Fenetre)="","",Composites!P147/INDEX(Composites!P:P,ROW()-Fenetre)-1))</f>
        <v/>
      </c>
      <c r="V147" s="34">
        <f>IF('Historique ajusté'!C147="","",'Historique ajusté'!C147/MAX('Historique ajusté'!C$6:C147)-1)</f>
        <v/>
      </c>
      <c r="W147" s="34">
        <f>IF('Historique ajusté'!D147="","",'Historique ajusté'!D147/MAX('Historique ajusté'!D$6:D147)-1)</f>
        <v/>
      </c>
      <c r="X147" s="34">
        <f>IF('Historique ajusté'!E147="","",'Historique ajusté'!E147/MAX('Historique ajusté'!E$6:E147)-1)</f>
        <v/>
      </c>
      <c r="Y147" s="34">
        <f>IF('Historique ajusté'!F147="","",'Historique ajusté'!F147/MAX('Historique ajusté'!F$6:F147)-1)</f>
        <v/>
      </c>
      <c r="Z147" s="34">
        <f>IF('Historique ajusté'!G147="","",'Historique ajusté'!G147/MAX('Historique ajusté'!G$6:G147)-1)</f>
        <v/>
      </c>
      <c r="AA147" s="34">
        <f>IF('Historique ajusté'!H147="","",'Historique ajusté'!H147/MAX('Historique ajusté'!H$6:H147)-1)</f>
        <v/>
      </c>
      <c r="AB147" s="34">
        <f>IF('Historique ajusté'!I147="","",'Historique ajusté'!I147/MAX('Historique ajusté'!I$6:I147)-1)</f>
        <v/>
      </c>
      <c r="AC147" s="34">
        <f>IF('Historique ajusté'!J147="","",'Historique ajusté'!J147/MAX('Historique ajusté'!J$6:J147)-1)</f>
        <v/>
      </c>
      <c r="AD147" s="34">
        <f>IF('Historique ajusté'!K147="","",'Historique ajusté'!K147/MAX('Historique ajusté'!K$6:K147)-1)</f>
        <v/>
      </c>
      <c r="AE147" s="34">
        <f>IF('Historique ajusté'!L147="","",'Historique ajusté'!L147/MAX('Historique ajusté'!L$6:L147)-1)</f>
        <v/>
      </c>
      <c r="AF147" s="34">
        <f>IF('Historique ajusté'!M147="","",'Historique ajusté'!M147/MAX('Historique ajusté'!M$6:M147)-1)</f>
        <v/>
      </c>
      <c r="AG147" s="34">
        <f>IF('Historique ajusté'!N147="","",'Historique ajusté'!N147/MAX('Historique ajusté'!N$6:N147)-1)</f>
        <v/>
      </c>
      <c r="AH147" s="34">
        <f>IF('Historique ajusté'!O147="","",'Historique ajusté'!O147/MAX('Historique ajusté'!O$6:O147)-1)</f>
        <v/>
      </c>
      <c r="AI147" s="34">
        <f>IF('Historique ajusté'!P147="","",'Historique ajusté'!P147/MAX('Historique ajusté'!P$6:P147)-1)</f>
        <v/>
      </c>
      <c r="AJ147" s="34">
        <f>IF(Composites!L147="","",Composites!L147/MAX(Composites!L$6:L147)-1)</f>
        <v/>
      </c>
      <c r="AK147" s="34">
        <f>IF(Composites!M147="","",Composites!M147/MAX(Composites!M$6:M147)-1)</f>
        <v/>
      </c>
      <c r="AL147" s="34">
        <f>IF(Composites!N147="","",Composites!N147/MAX(Composites!N$6:N147)-1)</f>
        <v/>
      </c>
      <c r="AM147" s="34">
        <f>IF(Composites!O147="","",Composites!O147/MAX(Composites!O$6:O147)-1)</f>
        <v/>
      </c>
      <c r="AN147" s="34">
        <f>IF(Composites!P147="","",Composites!P147/MAX(Composites!P$6:P147)-1)</f>
        <v/>
      </c>
    </row>
    <row r="148">
      <c r="B148" s="32">
        <f>'Historique ajusté'!B148</f>
        <v/>
      </c>
      <c r="C148" s="34">
        <f>IF(OR('Historique ajusté'!C148="",ROW()-Fenetre&lt;6),"",IF(INDEX('Historique ajusté'!C:C,ROW()-Fenetre)="","",'Historique ajusté'!C148/INDEX('Historique ajusté'!C:C,ROW()-Fenetre)-1))</f>
        <v/>
      </c>
      <c r="D148" s="34">
        <f>IF(OR('Historique ajusté'!D148="",ROW()-Fenetre&lt;6),"",IF(INDEX('Historique ajusté'!D:D,ROW()-Fenetre)="","",'Historique ajusté'!D148/INDEX('Historique ajusté'!D:D,ROW()-Fenetre)-1))</f>
        <v/>
      </c>
      <c r="E148" s="34">
        <f>IF(OR('Historique ajusté'!E148="",ROW()-Fenetre&lt;6),"",IF(INDEX('Historique ajusté'!E:E,ROW()-Fenetre)="","",'Historique ajusté'!E148/INDEX('Historique ajusté'!E:E,ROW()-Fenetre)-1))</f>
        <v/>
      </c>
      <c r="F148" s="34">
        <f>IF(OR('Historique ajusté'!F148="",ROW()-Fenetre&lt;6),"",IF(INDEX('Historique ajusté'!F:F,ROW()-Fenetre)="","",'Historique ajusté'!F148/INDEX('Historique ajusté'!F:F,ROW()-Fenetre)-1))</f>
        <v/>
      </c>
      <c r="G148" s="34">
        <f>IF(OR('Historique ajusté'!G148="",ROW()-Fenetre&lt;6),"",IF(INDEX('Historique ajusté'!G:G,ROW()-Fenetre)="","",'Historique ajusté'!G148/INDEX('Historique ajusté'!G:G,ROW()-Fenetre)-1))</f>
        <v/>
      </c>
      <c r="H148" s="34">
        <f>IF(OR('Historique ajusté'!H148="",ROW()-Fenetre&lt;6),"",IF(INDEX('Historique ajusté'!H:H,ROW()-Fenetre)="","",'Historique ajusté'!H148/INDEX('Historique ajusté'!H:H,ROW()-Fenetre)-1))</f>
        <v/>
      </c>
      <c r="I148" s="34">
        <f>IF(OR('Historique ajusté'!I148="",ROW()-Fenetre&lt;6),"",IF(INDEX('Historique ajusté'!I:I,ROW()-Fenetre)="","",'Historique ajusté'!I148/INDEX('Historique ajusté'!I:I,ROW()-Fenetre)-1))</f>
        <v/>
      </c>
      <c r="J148" s="34">
        <f>IF(OR('Historique ajusté'!J148="",ROW()-Fenetre&lt;6),"",IF(INDEX('Historique ajusté'!J:J,ROW()-Fenetre)="","",'Historique ajusté'!J148/INDEX('Historique ajusté'!J:J,ROW()-Fenetre)-1))</f>
        <v/>
      </c>
      <c r="K148" s="34">
        <f>IF(OR('Historique ajusté'!K148="",ROW()-Fenetre&lt;6),"",IF(INDEX('Historique ajusté'!K:K,ROW()-Fenetre)="","",'Historique ajusté'!K148/INDEX('Historique ajusté'!K:K,ROW()-Fenetre)-1))</f>
        <v/>
      </c>
      <c r="L148" s="34">
        <f>IF(OR('Historique ajusté'!L148="",ROW()-Fenetre&lt;6),"",IF(INDEX('Historique ajusté'!L:L,ROW()-Fenetre)="","",'Historique ajusté'!L148/INDEX('Historique ajusté'!L:L,ROW()-Fenetre)-1))</f>
        <v/>
      </c>
      <c r="M148" s="34">
        <f>IF(OR('Historique ajusté'!M148="",ROW()-Fenetre&lt;6),"",IF(INDEX('Historique ajusté'!M:M,ROW()-Fenetre)="","",'Historique ajusté'!M148/INDEX('Historique ajusté'!M:M,ROW()-Fenetre)-1))</f>
        <v/>
      </c>
      <c r="N148" s="34">
        <f>IF(OR('Historique ajusté'!N148="",ROW()-Fenetre&lt;6),"",IF(INDEX('Historique ajusté'!N:N,ROW()-Fenetre)="","",'Historique ajusté'!N148/INDEX('Historique ajusté'!N:N,ROW()-Fenetre)-1))</f>
        <v/>
      </c>
      <c r="O148" s="34">
        <f>IF(OR('Historique ajusté'!O148="",ROW()-Fenetre&lt;6),"",IF(INDEX('Historique ajusté'!O:O,ROW()-Fenetre)="","",'Historique ajusté'!O148/INDEX('Historique ajusté'!O:O,ROW()-Fenetre)-1))</f>
        <v/>
      </c>
      <c r="P148" s="34">
        <f>IF(OR('Historique ajusté'!P148="",ROW()-Fenetre&lt;6),"",IF(INDEX('Historique ajusté'!P:P,ROW()-Fenetre)="","",'Historique ajusté'!P148/INDEX('Historique ajusté'!P:P,ROW()-Fenetre)-1))</f>
        <v/>
      </c>
      <c r="Q148" s="34">
        <f>IF(OR(Composites!L148="",ROW()-Fenetre&lt;6),"",IF(INDEX(Composites!L:L,ROW()-Fenetre)="","",Composites!L148/INDEX(Composites!L:L,ROW()-Fenetre)-1))</f>
        <v/>
      </c>
      <c r="R148" s="34">
        <f>IF(OR(Composites!M148="",ROW()-Fenetre&lt;6),"",IF(INDEX(Composites!M:M,ROW()-Fenetre)="","",Composites!M148/INDEX(Composites!M:M,ROW()-Fenetre)-1))</f>
        <v/>
      </c>
      <c r="S148" s="34">
        <f>IF(OR(Composites!N148="",ROW()-Fenetre&lt;6),"",IF(INDEX(Composites!N:N,ROW()-Fenetre)="","",Composites!N148/INDEX(Composites!N:N,ROW()-Fenetre)-1))</f>
        <v/>
      </c>
      <c r="T148" s="34">
        <f>IF(OR(Composites!O148="",ROW()-Fenetre&lt;6),"",IF(INDEX(Composites!O:O,ROW()-Fenetre)="","",Composites!O148/INDEX(Composites!O:O,ROW()-Fenetre)-1))</f>
        <v/>
      </c>
      <c r="U148" s="34">
        <f>IF(OR(Composites!P148="",ROW()-Fenetre&lt;6),"",IF(INDEX(Composites!P:P,ROW()-Fenetre)="","",Composites!P148/INDEX(Composites!P:P,ROW()-Fenetre)-1))</f>
        <v/>
      </c>
      <c r="V148" s="34">
        <f>IF('Historique ajusté'!C148="","",'Historique ajusté'!C148/MAX('Historique ajusté'!C$6:C148)-1)</f>
        <v/>
      </c>
      <c r="W148" s="34">
        <f>IF('Historique ajusté'!D148="","",'Historique ajusté'!D148/MAX('Historique ajusté'!D$6:D148)-1)</f>
        <v/>
      </c>
      <c r="X148" s="34">
        <f>IF('Historique ajusté'!E148="","",'Historique ajusté'!E148/MAX('Historique ajusté'!E$6:E148)-1)</f>
        <v/>
      </c>
      <c r="Y148" s="34">
        <f>IF('Historique ajusté'!F148="","",'Historique ajusté'!F148/MAX('Historique ajusté'!F$6:F148)-1)</f>
        <v/>
      </c>
      <c r="Z148" s="34">
        <f>IF('Historique ajusté'!G148="","",'Historique ajusté'!G148/MAX('Historique ajusté'!G$6:G148)-1)</f>
        <v/>
      </c>
      <c r="AA148" s="34">
        <f>IF('Historique ajusté'!H148="","",'Historique ajusté'!H148/MAX('Historique ajusté'!H$6:H148)-1)</f>
        <v/>
      </c>
      <c r="AB148" s="34">
        <f>IF('Historique ajusté'!I148="","",'Historique ajusté'!I148/MAX('Historique ajusté'!I$6:I148)-1)</f>
        <v/>
      </c>
      <c r="AC148" s="34">
        <f>IF('Historique ajusté'!J148="","",'Historique ajusté'!J148/MAX('Historique ajusté'!J$6:J148)-1)</f>
        <v/>
      </c>
      <c r="AD148" s="34">
        <f>IF('Historique ajusté'!K148="","",'Historique ajusté'!K148/MAX('Historique ajusté'!K$6:K148)-1)</f>
        <v/>
      </c>
      <c r="AE148" s="34">
        <f>IF('Historique ajusté'!L148="","",'Historique ajusté'!L148/MAX('Historique ajusté'!L$6:L148)-1)</f>
        <v/>
      </c>
      <c r="AF148" s="34">
        <f>IF('Historique ajusté'!M148="","",'Historique ajusté'!M148/MAX('Historique ajusté'!M$6:M148)-1)</f>
        <v/>
      </c>
      <c r="AG148" s="34">
        <f>IF('Historique ajusté'!N148="","",'Historique ajusté'!N148/MAX('Historique ajusté'!N$6:N148)-1)</f>
        <v/>
      </c>
      <c r="AH148" s="34">
        <f>IF('Historique ajusté'!O148="","",'Historique ajusté'!O148/MAX('Historique ajusté'!O$6:O148)-1)</f>
        <v/>
      </c>
      <c r="AI148" s="34">
        <f>IF('Historique ajusté'!P148="","",'Historique ajusté'!P148/MAX('Historique ajusté'!P$6:P148)-1)</f>
        <v/>
      </c>
      <c r="AJ148" s="34">
        <f>IF(Composites!L148="","",Composites!L148/MAX(Composites!L$6:L148)-1)</f>
        <v/>
      </c>
      <c r="AK148" s="34">
        <f>IF(Composites!M148="","",Composites!M148/MAX(Composites!M$6:M148)-1)</f>
        <v/>
      </c>
      <c r="AL148" s="34">
        <f>IF(Composites!N148="","",Composites!N148/MAX(Composites!N$6:N148)-1)</f>
        <v/>
      </c>
      <c r="AM148" s="34">
        <f>IF(Composites!O148="","",Composites!O148/MAX(Composites!O$6:O148)-1)</f>
        <v/>
      </c>
      <c r="AN148" s="34">
        <f>IF(Composites!P148="","",Composites!P148/MAX(Composites!P$6:P148)-1)</f>
        <v/>
      </c>
    </row>
    <row r="149">
      <c r="B149" s="32">
        <f>'Historique ajusté'!B149</f>
        <v/>
      </c>
      <c r="C149" s="34">
        <f>IF(OR('Historique ajusté'!C149="",ROW()-Fenetre&lt;6),"",IF(INDEX('Historique ajusté'!C:C,ROW()-Fenetre)="","",'Historique ajusté'!C149/INDEX('Historique ajusté'!C:C,ROW()-Fenetre)-1))</f>
        <v/>
      </c>
      <c r="D149" s="34">
        <f>IF(OR('Historique ajusté'!D149="",ROW()-Fenetre&lt;6),"",IF(INDEX('Historique ajusté'!D:D,ROW()-Fenetre)="","",'Historique ajusté'!D149/INDEX('Historique ajusté'!D:D,ROW()-Fenetre)-1))</f>
        <v/>
      </c>
      <c r="E149" s="34">
        <f>IF(OR('Historique ajusté'!E149="",ROW()-Fenetre&lt;6),"",IF(INDEX('Historique ajusté'!E:E,ROW()-Fenetre)="","",'Historique ajusté'!E149/INDEX('Historique ajusté'!E:E,ROW()-Fenetre)-1))</f>
        <v/>
      </c>
      <c r="F149" s="34">
        <f>IF(OR('Historique ajusté'!F149="",ROW()-Fenetre&lt;6),"",IF(INDEX('Historique ajusté'!F:F,ROW()-Fenetre)="","",'Historique ajusté'!F149/INDEX('Historique ajusté'!F:F,ROW()-Fenetre)-1))</f>
        <v/>
      </c>
      <c r="G149" s="34">
        <f>IF(OR('Historique ajusté'!G149="",ROW()-Fenetre&lt;6),"",IF(INDEX('Historique ajusté'!G:G,ROW()-Fenetre)="","",'Historique ajusté'!G149/INDEX('Historique ajusté'!G:G,ROW()-Fenetre)-1))</f>
        <v/>
      </c>
      <c r="H149" s="34">
        <f>IF(OR('Historique ajusté'!H149="",ROW()-Fenetre&lt;6),"",IF(INDEX('Historique ajusté'!H:H,ROW()-Fenetre)="","",'Historique ajusté'!H149/INDEX('Historique ajusté'!H:H,ROW()-Fenetre)-1))</f>
        <v/>
      </c>
      <c r="I149" s="34">
        <f>IF(OR('Historique ajusté'!I149="",ROW()-Fenetre&lt;6),"",IF(INDEX('Historique ajusté'!I:I,ROW()-Fenetre)="","",'Historique ajusté'!I149/INDEX('Historique ajusté'!I:I,ROW()-Fenetre)-1))</f>
        <v/>
      </c>
      <c r="J149" s="34">
        <f>IF(OR('Historique ajusté'!J149="",ROW()-Fenetre&lt;6),"",IF(INDEX('Historique ajusté'!J:J,ROW()-Fenetre)="","",'Historique ajusté'!J149/INDEX('Historique ajusté'!J:J,ROW()-Fenetre)-1))</f>
        <v/>
      </c>
      <c r="K149" s="34">
        <f>IF(OR('Historique ajusté'!K149="",ROW()-Fenetre&lt;6),"",IF(INDEX('Historique ajusté'!K:K,ROW()-Fenetre)="","",'Historique ajusté'!K149/INDEX('Historique ajusté'!K:K,ROW()-Fenetre)-1))</f>
        <v/>
      </c>
      <c r="L149" s="34">
        <f>IF(OR('Historique ajusté'!L149="",ROW()-Fenetre&lt;6),"",IF(INDEX('Historique ajusté'!L:L,ROW()-Fenetre)="","",'Historique ajusté'!L149/INDEX('Historique ajusté'!L:L,ROW()-Fenetre)-1))</f>
        <v/>
      </c>
      <c r="M149" s="34">
        <f>IF(OR('Historique ajusté'!M149="",ROW()-Fenetre&lt;6),"",IF(INDEX('Historique ajusté'!M:M,ROW()-Fenetre)="","",'Historique ajusté'!M149/INDEX('Historique ajusté'!M:M,ROW()-Fenetre)-1))</f>
        <v/>
      </c>
      <c r="N149" s="34">
        <f>IF(OR('Historique ajusté'!N149="",ROW()-Fenetre&lt;6),"",IF(INDEX('Historique ajusté'!N:N,ROW()-Fenetre)="","",'Historique ajusté'!N149/INDEX('Historique ajusté'!N:N,ROW()-Fenetre)-1))</f>
        <v/>
      </c>
      <c r="O149" s="34">
        <f>IF(OR('Historique ajusté'!O149="",ROW()-Fenetre&lt;6),"",IF(INDEX('Historique ajusté'!O:O,ROW()-Fenetre)="","",'Historique ajusté'!O149/INDEX('Historique ajusté'!O:O,ROW()-Fenetre)-1))</f>
        <v/>
      </c>
      <c r="P149" s="34">
        <f>IF(OR('Historique ajusté'!P149="",ROW()-Fenetre&lt;6),"",IF(INDEX('Historique ajusté'!P:P,ROW()-Fenetre)="","",'Historique ajusté'!P149/INDEX('Historique ajusté'!P:P,ROW()-Fenetre)-1))</f>
        <v/>
      </c>
      <c r="Q149" s="34">
        <f>IF(OR(Composites!L149="",ROW()-Fenetre&lt;6),"",IF(INDEX(Composites!L:L,ROW()-Fenetre)="","",Composites!L149/INDEX(Composites!L:L,ROW()-Fenetre)-1))</f>
        <v/>
      </c>
      <c r="R149" s="34">
        <f>IF(OR(Composites!M149="",ROW()-Fenetre&lt;6),"",IF(INDEX(Composites!M:M,ROW()-Fenetre)="","",Composites!M149/INDEX(Composites!M:M,ROW()-Fenetre)-1))</f>
        <v/>
      </c>
      <c r="S149" s="34">
        <f>IF(OR(Composites!N149="",ROW()-Fenetre&lt;6),"",IF(INDEX(Composites!N:N,ROW()-Fenetre)="","",Composites!N149/INDEX(Composites!N:N,ROW()-Fenetre)-1))</f>
        <v/>
      </c>
      <c r="T149" s="34">
        <f>IF(OR(Composites!O149="",ROW()-Fenetre&lt;6),"",IF(INDEX(Composites!O:O,ROW()-Fenetre)="","",Composites!O149/INDEX(Composites!O:O,ROW()-Fenetre)-1))</f>
        <v/>
      </c>
      <c r="U149" s="34">
        <f>IF(OR(Composites!P149="",ROW()-Fenetre&lt;6),"",IF(INDEX(Composites!P:P,ROW()-Fenetre)="","",Composites!P149/INDEX(Composites!P:P,ROW()-Fenetre)-1))</f>
        <v/>
      </c>
      <c r="V149" s="34">
        <f>IF('Historique ajusté'!C149="","",'Historique ajusté'!C149/MAX('Historique ajusté'!C$6:C149)-1)</f>
        <v/>
      </c>
      <c r="W149" s="34">
        <f>IF('Historique ajusté'!D149="","",'Historique ajusté'!D149/MAX('Historique ajusté'!D$6:D149)-1)</f>
        <v/>
      </c>
      <c r="X149" s="34">
        <f>IF('Historique ajusté'!E149="","",'Historique ajusté'!E149/MAX('Historique ajusté'!E$6:E149)-1)</f>
        <v/>
      </c>
      <c r="Y149" s="34">
        <f>IF('Historique ajusté'!F149="","",'Historique ajusté'!F149/MAX('Historique ajusté'!F$6:F149)-1)</f>
        <v/>
      </c>
      <c r="Z149" s="34">
        <f>IF('Historique ajusté'!G149="","",'Historique ajusté'!G149/MAX('Historique ajusté'!G$6:G149)-1)</f>
        <v/>
      </c>
      <c r="AA149" s="34">
        <f>IF('Historique ajusté'!H149="","",'Historique ajusté'!H149/MAX('Historique ajusté'!H$6:H149)-1)</f>
        <v/>
      </c>
      <c r="AB149" s="34">
        <f>IF('Historique ajusté'!I149="","",'Historique ajusté'!I149/MAX('Historique ajusté'!I$6:I149)-1)</f>
        <v/>
      </c>
      <c r="AC149" s="34">
        <f>IF('Historique ajusté'!J149="","",'Historique ajusté'!J149/MAX('Historique ajusté'!J$6:J149)-1)</f>
        <v/>
      </c>
      <c r="AD149" s="34">
        <f>IF('Historique ajusté'!K149="","",'Historique ajusté'!K149/MAX('Historique ajusté'!K$6:K149)-1)</f>
        <v/>
      </c>
      <c r="AE149" s="34">
        <f>IF('Historique ajusté'!L149="","",'Historique ajusté'!L149/MAX('Historique ajusté'!L$6:L149)-1)</f>
        <v/>
      </c>
      <c r="AF149" s="34">
        <f>IF('Historique ajusté'!M149="","",'Historique ajusté'!M149/MAX('Historique ajusté'!M$6:M149)-1)</f>
        <v/>
      </c>
      <c r="AG149" s="34">
        <f>IF('Historique ajusté'!N149="","",'Historique ajusté'!N149/MAX('Historique ajusté'!N$6:N149)-1)</f>
        <v/>
      </c>
      <c r="AH149" s="34">
        <f>IF('Historique ajusté'!O149="","",'Historique ajusté'!O149/MAX('Historique ajusté'!O$6:O149)-1)</f>
        <v/>
      </c>
      <c r="AI149" s="34">
        <f>IF('Historique ajusté'!P149="","",'Historique ajusté'!P149/MAX('Historique ajusté'!P$6:P149)-1)</f>
        <v/>
      </c>
      <c r="AJ149" s="34">
        <f>IF(Composites!L149="","",Composites!L149/MAX(Composites!L$6:L149)-1)</f>
        <v/>
      </c>
      <c r="AK149" s="34">
        <f>IF(Composites!M149="","",Composites!M149/MAX(Composites!M$6:M149)-1)</f>
        <v/>
      </c>
      <c r="AL149" s="34">
        <f>IF(Composites!N149="","",Composites!N149/MAX(Composites!N$6:N149)-1)</f>
        <v/>
      </c>
      <c r="AM149" s="34">
        <f>IF(Composites!O149="","",Composites!O149/MAX(Composites!O$6:O149)-1)</f>
        <v/>
      </c>
      <c r="AN149" s="34">
        <f>IF(Composites!P149="","",Composites!P149/MAX(Composites!P$6:P149)-1)</f>
        <v/>
      </c>
    </row>
    <row r="150">
      <c r="B150" s="32">
        <f>'Historique ajusté'!B150</f>
        <v/>
      </c>
      <c r="C150" s="34">
        <f>IF(OR('Historique ajusté'!C150="",ROW()-Fenetre&lt;6),"",IF(INDEX('Historique ajusté'!C:C,ROW()-Fenetre)="","",'Historique ajusté'!C150/INDEX('Historique ajusté'!C:C,ROW()-Fenetre)-1))</f>
        <v/>
      </c>
      <c r="D150" s="34">
        <f>IF(OR('Historique ajusté'!D150="",ROW()-Fenetre&lt;6),"",IF(INDEX('Historique ajusté'!D:D,ROW()-Fenetre)="","",'Historique ajusté'!D150/INDEX('Historique ajusté'!D:D,ROW()-Fenetre)-1))</f>
        <v/>
      </c>
      <c r="E150" s="34">
        <f>IF(OR('Historique ajusté'!E150="",ROW()-Fenetre&lt;6),"",IF(INDEX('Historique ajusté'!E:E,ROW()-Fenetre)="","",'Historique ajusté'!E150/INDEX('Historique ajusté'!E:E,ROW()-Fenetre)-1))</f>
        <v/>
      </c>
      <c r="F150" s="34">
        <f>IF(OR('Historique ajusté'!F150="",ROW()-Fenetre&lt;6),"",IF(INDEX('Historique ajusté'!F:F,ROW()-Fenetre)="","",'Historique ajusté'!F150/INDEX('Historique ajusté'!F:F,ROW()-Fenetre)-1))</f>
        <v/>
      </c>
      <c r="G150" s="34">
        <f>IF(OR('Historique ajusté'!G150="",ROW()-Fenetre&lt;6),"",IF(INDEX('Historique ajusté'!G:G,ROW()-Fenetre)="","",'Historique ajusté'!G150/INDEX('Historique ajusté'!G:G,ROW()-Fenetre)-1))</f>
        <v/>
      </c>
      <c r="H150" s="34">
        <f>IF(OR('Historique ajusté'!H150="",ROW()-Fenetre&lt;6),"",IF(INDEX('Historique ajusté'!H:H,ROW()-Fenetre)="","",'Historique ajusté'!H150/INDEX('Historique ajusté'!H:H,ROW()-Fenetre)-1))</f>
        <v/>
      </c>
      <c r="I150" s="34">
        <f>IF(OR('Historique ajusté'!I150="",ROW()-Fenetre&lt;6),"",IF(INDEX('Historique ajusté'!I:I,ROW()-Fenetre)="","",'Historique ajusté'!I150/INDEX('Historique ajusté'!I:I,ROW()-Fenetre)-1))</f>
        <v/>
      </c>
      <c r="J150" s="34">
        <f>IF(OR('Historique ajusté'!J150="",ROW()-Fenetre&lt;6),"",IF(INDEX('Historique ajusté'!J:J,ROW()-Fenetre)="","",'Historique ajusté'!J150/INDEX('Historique ajusté'!J:J,ROW()-Fenetre)-1))</f>
        <v/>
      </c>
      <c r="K150" s="34">
        <f>IF(OR('Historique ajusté'!K150="",ROW()-Fenetre&lt;6),"",IF(INDEX('Historique ajusté'!K:K,ROW()-Fenetre)="","",'Historique ajusté'!K150/INDEX('Historique ajusté'!K:K,ROW()-Fenetre)-1))</f>
        <v/>
      </c>
      <c r="L150" s="34">
        <f>IF(OR('Historique ajusté'!L150="",ROW()-Fenetre&lt;6),"",IF(INDEX('Historique ajusté'!L:L,ROW()-Fenetre)="","",'Historique ajusté'!L150/INDEX('Historique ajusté'!L:L,ROW()-Fenetre)-1))</f>
        <v/>
      </c>
      <c r="M150" s="34">
        <f>IF(OR('Historique ajusté'!M150="",ROW()-Fenetre&lt;6),"",IF(INDEX('Historique ajusté'!M:M,ROW()-Fenetre)="","",'Historique ajusté'!M150/INDEX('Historique ajusté'!M:M,ROW()-Fenetre)-1))</f>
        <v/>
      </c>
      <c r="N150" s="34">
        <f>IF(OR('Historique ajusté'!N150="",ROW()-Fenetre&lt;6),"",IF(INDEX('Historique ajusté'!N:N,ROW()-Fenetre)="","",'Historique ajusté'!N150/INDEX('Historique ajusté'!N:N,ROW()-Fenetre)-1))</f>
        <v/>
      </c>
      <c r="O150" s="34">
        <f>IF(OR('Historique ajusté'!O150="",ROW()-Fenetre&lt;6),"",IF(INDEX('Historique ajusté'!O:O,ROW()-Fenetre)="","",'Historique ajusté'!O150/INDEX('Historique ajusté'!O:O,ROW()-Fenetre)-1))</f>
        <v/>
      </c>
      <c r="P150" s="34">
        <f>IF(OR('Historique ajusté'!P150="",ROW()-Fenetre&lt;6),"",IF(INDEX('Historique ajusté'!P:P,ROW()-Fenetre)="","",'Historique ajusté'!P150/INDEX('Historique ajusté'!P:P,ROW()-Fenetre)-1))</f>
        <v/>
      </c>
      <c r="Q150" s="34">
        <f>IF(OR(Composites!L150="",ROW()-Fenetre&lt;6),"",IF(INDEX(Composites!L:L,ROW()-Fenetre)="","",Composites!L150/INDEX(Composites!L:L,ROW()-Fenetre)-1))</f>
        <v/>
      </c>
      <c r="R150" s="34">
        <f>IF(OR(Composites!M150="",ROW()-Fenetre&lt;6),"",IF(INDEX(Composites!M:M,ROW()-Fenetre)="","",Composites!M150/INDEX(Composites!M:M,ROW()-Fenetre)-1))</f>
        <v/>
      </c>
      <c r="S150" s="34">
        <f>IF(OR(Composites!N150="",ROW()-Fenetre&lt;6),"",IF(INDEX(Composites!N:N,ROW()-Fenetre)="","",Composites!N150/INDEX(Composites!N:N,ROW()-Fenetre)-1))</f>
        <v/>
      </c>
      <c r="T150" s="34">
        <f>IF(OR(Composites!O150="",ROW()-Fenetre&lt;6),"",IF(INDEX(Composites!O:O,ROW()-Fenetre)="","",Composites!O150/INDEX(Composites!O:O,ROW()-Fenetre)-1))</f>
        <v/>
      </c>
      <c r="U150" s="34">
        <f>IF(OR(Composites!P150="",ROW()-Fenetre&lt;6),"",IF(INDEX(Composites!P:P,ROW()-Fenetre)="","",Composites!P150/INDEX(Composites!P:P,ROW()-Fenetre)-1))</f>
        <v/>
      </c>
      <c r="V150" s="34">
        <f>IF('Historique ajusté'!C150="","",'Historique ajusté'!C150/MAX('Historique ajusté'!C$6:C150)-1)</f>
        <v/>
      </c>
      <c r="W150" s="34">
        <f>IF('Historique ajusté'!D150="","",'Historique ajusté'!D150/MAX('Historique ajusté'!D$6:D150)-1)</f>
        <v/>
      </c>
      <c r="X150" s="34">
        <f>IF('Historique ajusté'!E150="","",'Historique ajusté'!E150/MAX('Historique ajusté'!E$6:E150)-1)</f>
        <v/>
      </c>
      <c r="Y150" s="34">
        <f>IF('Historique ajusté'!F150="","",'Historique ajusté'!F150/MAX('Historique ajusté'!F$6:F150)-1)</f>
        <v/>
      </c>
      <c r="Z150" s="34">
        <f>IF('Historique ajusté'!G150="","",'Historique ajusté'!G150/MAX('Historique ajusté'!G$6:G150)-1)</f>
        <v/>
      </c>
      <c r="AA150" s="34">
        <f>IF('Historique ajusté'!H150="","",'Historique ajusté'!H150/MAX('Historique ajusté'!H$6:H150)-1)</f>
        <v/>
      </c>
      <c r="AB150" s="34">
        <f>IF('Historique ajusté'!I150="","",'Historique ajusté'!I150/MAX('Historique ajusté'!I$6:I150)-1)</f>
        <v/>
      </c>
      <c r="AC150" s="34">
        <f>IF('Historique ajusté'!J150="","",'Historique ajusté'!J150/MAX('Historique ajusté'!J$6:J150)-1)</f>
        <v/>
      </c>
      <c r="AD150" s="34">
        <f>IF('Historique ajusté'!K150="","",'Historique ajusté'!K150/MAX('Historique ajusté'!K$6:K150)-1)</f>
        <v/>
      </c>
      <c r="AE150" s="34">
        <f>IF('Historique ajusté'!L150="","",'Historique ajusté'!L150/MAX('Historique ajusté'!L$6:L150)-1)</f>
        <v/>
      </c>
      <c r="AF150" s="34">
        <f>IF('Historique ajusté'!M150="","",'Historique ajusté'!M150/MAX('Historique ajusté'!M$6:M150)-1)</f>
        <v/>
      </c>
      <c r="AG150" s="34">
        <f>IF('Historique ajusté'!N150="","",'Historique ajusté'!N150/MAX('Historique ajusté'!N$6:N150)-1)</f>
        <v/>
      </c>
      <c r="AH150" s="34">
        <f>IF('Historique ajusté'!O150="","",'Historique ajusté'!O150/MAX('Historique ajusté'!O$6:O150)-1)</f>
        <v/>
      </c>
      <c r="AI150" s="34">
        <f>IF('Historique ajusté'!P150="","",'Historique ajusté'!P150/MAX('Historique ajusté'!P$6:P150)-1)</f>
        <v/>
      </c>
      <c r="AJ150" s="34">
        <f>IF(Composites!L150="","",Composites!L150/MAX(Composites!L$6:L150)-1)</f>
        <v/>
      </c>
      <c r="AK150" s="34">
        <f>IF(Composites!M150="","",Composites!M150/MAX(Composites!M$6:M150)-1)</f>
        <v/>
      </c>
      <c r="AL150" s="34">
        <f>IF(Composites!N150="","",Composites!N150/MAX(Composites!N$6:N150)-1)</f>
        <v/>
      </c>
      <c r="AM150" s="34">
        <f>IF(Composites!O150="","",Composites!O150/MAX(Composites!O$6:O150)-1)</f>
        <v/>
      </c>
      <c r="AN150" s="34">
        <f>IF(Composites!P150="","",Composites!P150/MAX(Composites!P$6:P150)-1)</f>
        <v/>
      </c>
    </row>
    <row r="151">
      <c r="B151" s="32">
        <f>'Historique ajusté'!B151</f>
        <v/>
      </c>
      <c r="C151" s="34">
        <f>IF(OR('Historique ajusté'!C151="",ROW()-Fenetre&lt;6),"",IF(INDEX('Historique ajusté'!C:C,ROW()-Fenetre)="","",'Historique ajusté'!C151/INDEX('Historique ajusté'!C:C,ROW()-Fenetre)-1))</f>
        <v/>
      </c>
      <c r="D151" s="34">
        <f>IF(OR('Historique ajusté'!D151="",ROW()-Fenetre&lt;6),"",IF(INDEX('Historique ajusté'!D:D,ROW()-Fenetre)="","",'Historique ajusté'!D151/INDEX('Historique ajusté'!D:D,ROW()-Fenetre)-1))</f>
        <v/>
      </c>
      <c r="E151" s="34">
        <f>IF(OR('Historique ajusté'!E151="",ROW()-Fenetre&lt;6),"",IF(INDEX('Historique ajusté'!E:E,ROW()-Fenetre)="","",'Historique ajusté'!E151/INDEX('Historique ajusté'!E:E,ROW()-Fenetre)-1))</f>
        <v/>
      </c>
      <c r="F151" s="34">
        <f>IF(OR('Historique ajusté'!F151="",ROW()-Fenetre&lt;6),"",IF(INDEX('Historique ajusté'!F:F,ROW()-Fenetre)="","",'Historique ajusté'!F151/INDEX('Historique ajusté'!F:F,ROW()-Fenetre)-1))</f>
        <v/>
      </c>
      <c r="G151" s="34">
        <f>IF(OR('Historique ajusté'!G151="",ROW()-Fenetre&lt;6),"",IF(INDEX('Historique ajusté'!G:G,ROW()-Fenetre)="","",'Historique ajusté'!G151/INDEX('Historique ajusté'!G:G,ROW()-Fenetre)-1))</f>
        <v/>
      </c>
      <c r="H151" s="34">
        <f>IF(OR('Historique ajusté'!H151="",ROW()-Fenetre&lt;6),"",IF(INDEX('Historique ajusté'!H:H,ROW()-Fenetre)="","",'Historique ajusté'!H151/INDEX('Historique ajusté'!H:H,ROW()-Fenetre)-1))</f>
        <v/>
      </c>
      <c r="I151" s="34">
        <f>IF(OR('Historique ajusté'!I151="",ROW()-Fenetre&lt;6),"",IF(INDEX('Historique ajusté'!I:I,ROW()-Fenetre)="","",'Historique ajusté'!I151/INDEX('Historique ajusté'!I:I,ROW()-Fenetre)-1))</f>
        <v/>
      </c>
      <c r="J151" s="34">
        <f>IF(OR('Historique ajusté'!J151="",ROW()-Fenetre&lt;6),"",IF(INDEX('Historique ajusté'!J:J,ROW()-Fenetre)="","",'Historique ajusté'!J151/INDEX('Historique ajusté'!J:J,ROW()-Fenetre)-1))</f>
        <v/>
      </c>
      <c r="K151" s="34">
        <f>IF(OR('Historique ajusté'!K151="",ROW()-Fenetre&lt;6),"",IF(INDEX('Historique ajusté'!K:K,ROW()-Fenetre)="","",'Historique ajusté'!K151/INDEX('Historique ajusté'!K:K,ROW()-Fenetre)-1))</f>
        <v/>
      </c>
      <c r="L151" s="34">
        <f>IF(OR('Historique ajusté'!L151="",ROW()-Fenetre&lt;6),"",IF(INDEX('Historique ajusté'!L:L,ROW()-Fenetre)="","",'Historique ajusté'!L151/INDEX('Historique ajusté'!L:L,ROW()-Fenetre)-1))</f>
        <v/>
      </c>
      <c r="M151" s="34">
        <f>IF(OR('Historique ajusté'!M151="",ROW()-Fenetre&lt;6),"",IF(INDEX('Historique ajusté'!M:M,ROW()-Fenetre)="","",'Historique ajusté'!M151/INDEX('Historique ajusté'!M:M,ROW()-Fenetre)-1))</f>
        <v/>
      </c>
      <c r="N151" s="34">
        <f>IF(OR('Historique ajusté'!N151="",ROW()-Fenetre&lt;6),"",IF(INDEX('Historique ajusté'!N:N,ROW()-Fenetre)="","",'Historique ajusté'!N151/INDEX('Historique ajusté'!N:N,ROW()-Fenetre)-1))</f>
        <v/>
      </c>
      <c r="O151" s="34">
        <f>IF(OR('Historique ajusté'!O151="",ROW()-Fenetre&lt;6),"",IF(INDEX('Historique ajusté'!O:O,ROW()-Fenetre)="","",'Historique ajusté'!O151/INDEX('Historique ajusté'!O:O,ROW()-Fenetre)-1))</f>
        <v/>
      </c>
      <c r="P151" s="34">
        <f>IF(OR('Historique ajusté'!P151="",ROW()-Fenetre&lt;6),"",IF(INDEX('Historique ajusté'!P:P,ROW()-Fenetre)="","",'Historique ajusté'!P151/INDEX('Historique ajusté'!P:P,ROW()-Fenetre)-1))</f>
        <v/>
      </c>
      <c r="Q151" s="34">
        <f>IF(OR(Composites!L151="",ROW()-Fenetre&lt;6),"",IF(INDEX(Composites!L:L,ROW()-Fenetre)="","",Composites!L151/INDEX(Composites!L:L,ROW()-Fenetre)-1))</f>
        <v/>
      </c>
      <c r="R151" s="34">
        <f>IF(OR(Composites!M151="",ROW()-Fenetre&lt;6),"",IF(INDEX(Composites!M:M,ROW()-Fenetre)="","",Composites!M151/INDEX(Composites!M:M,ROW()-Fenetre)-1))</f>
        <v/>
      </c>
      <c r="S151" s="34">
        <f>IF(OR(Composites!N151="",ROW()-Fenetre&lt;6),"",IF(INDEX(Composites!N:N,ROW()-Fenetre)="","",Composites!N151/INDEX(Composites!N:N,ROW()-Fenetre)-1))</f>
        <v/>
      </c>
      <c r="T151" s="34">
        <f>IF(OR(Composites!O151="",ROW()-Fenetre&lt;6),"",IF(INDEX(Composites!O:O,ROW()-Fenetre)="","",Composites!O151/INDEX(Composites!O:O,ROW()-Fenetre)-1))</f>
        <v/>
      </c>
      <c r="U151" s="34">
        <f>IF(OR(Composites!P151="",ROW()-Fenetre&lt;6),"",IF(INDEX(Composites!P:P,ROW()-Fenetre)="","",Composites!P151/INDEX(Composites!P:P,ROW()-Fenetre)-1))</f>
        <v/>
      </c>
      <c r="V151" s="34">
        <f>IF('Historique ajusté'!C151="","",'Historique ajusté'!C151/MAX('Historique ajusté'!C$6:C151)-1)</f>
        <v/>
      </c>
      <c r="W151" s="34">
        <f>IF('Historique ajusté'!D151="","",'Historique ajusté'!D151/MAX('Historique ajusté'!D$6:D151)-1)</f>
        <v/>
      </c>
      <c r="X151" s="34">
        <f>IF('Historique ajusté'!E151="","",'Historique ajusté'!E151/MAX('Historique ajusté'!E$6:E151)-1)</f>
        <v/>
      </c>
      <c r="Y151" s="34">
        <f>IF('Historique ajusté'!F151="","",'Historique ajusté'!F151/MAX('Historique ajusté'!F$6:F151)-1)</f>
        <v/>
      </c>
      <c r="Z151" s="34">
        <f>IF('Historique ajusté'!G151="","",'Historique ajusté'!G151/MAX('Historique ajusté'!G$6:G151)-1)</f>
        <v/>
      </c>
      <c r="AA151" s="34">
        <f>IF('Historique ajusté'!H151="","",'Historique ajusté'!H151/MAX('Historique ajusté'!H$6:H151)-1)</f>
        <v/>
      </c>
      <c r="AB151" s="34">
        <f>IF('Historique ajusté'!I151="","",'Historique ajusté'!I151/MAX('Historique ajusté'!I$6:I151)-1)</f>
        <v/>
      </c>
      <c r="AC151" s="34">
        <f>IF('Historique ajusté'!J151="","",'Historique ajusté'!J151/MAX('Historique ajusté'!J$6:J151)-1)</f>
        <v/>
      </c>
      <c r="AD151" s="34">
        <f>IF('Historique ajusté'!K151="","",'Historique ajusté'!K151/MAX('Historique ajusté'!K$6:K151)-1)</f>
        <v/>
      </c>
      <c r="AE151" s="34">
        <f>IF('Historique ajusté'!L151="","",'Historique ajusté'!L151/MAX('Historique ajusté'!L$6:L151)-1)</f>
        <v/>
      </c>
      <c r="AF151" s="34">
        <f>IF('Historique ajusté'!M151="","",'Historique ajusté'!M151/MAX('Historique ajusté'!M$6:M151)-1)</f>
        <v/>
      </c>
      <c r="AG151" s="34">
        <f>IF('Historique ajusté'!N151="","",'Historique ajusté'!N151/MAX('Historique ajusté'!N$6:N151)-1)</f>
        <v/>
      </c>
      <c r="AH151" s="34">
        <f>IF('Historique ajusté'!O151="","",'Historique ajusté'!O151/MAX('Historique ajusté'!O$6:O151)-1)</f>
        <v/>
      </c>
      <c r="AI151" s="34">
        <f>IF('Historique ajusté'!P151="","",'Historique ajusté'!P151/MAX('Historique ajusté'!P$6:P151)-1)</f>
        <v/>
      </c>
      <c r="AJ151" s="34">
        <f>IF(Composites!L151="","",Composites!L151/MAX(Composites!L$6:L151)-1)</f>
        <v/>
      </c>
      <c r="AK151" s="34">
        <f>IF(Composites!M151="","",Composites!M151/MAX(Composites!M$6:M151)-1)</f>
        <v/>
      </c>
      <c r="AL151" s="34">
        <f>IF(Composites!N151="","",Composites!N151/MAX(Composites!N$6:N151)-1)</f>
        <v/>
      </c>
      <c r="AM151" s="34">
        <f>IF(Composites!O151="","",Composites!O151/MAX(Composites!O$6:O151)-1)</f>
        <v/>
      </c>
      <c r="AN151" s="34">
        <f>IF(Composites!P151="","",Composites!P151/MAX(Composites!P$6:P151)-1)</f>
        <v/>
      </c>
    </row>
    <row r="152">
      <c r="B152" s="32">
        <f>'Historique ajusté'!B152</f>
        <v/>
      </c>
      <c r="C152" s="34">
        <f>IF(OR('Historique ajusté'!C152="",ROW()-Fenetre&lt;6),"",IF(INDEX('Historique ajusté'!C:C,ROW()-Fenetre)="","",'Historique ajusté'!C152/INDEX('Historique ajusté'!C:C,ROW()-Fenetre)-1))</f>
        <v/>
      </c>
      <c r="D152" s="34">
        <f>IF(OR('Historique ajusté'!D152="",ROW()-Fenetre&lt;6),"",IF(INDEX('Historique ajusté'!D:D,ROW()-Fenetre)="","",'Historique ajusté'!D152/INDEX('Historique ajusté'!D:D,ROW()-Fenetre)-1))</f>
        <v/>
      </c>
      <c r="E152" s="34">
        <f>IF(OR('Historique ajusté'!E152="",ROW()-Fenetre&lt;6),"",IF(INDEX('Historique ajusté'!E:E,ROW()-Fenetre)="","",'Historique ajusté'!E152/INDEX('Historique ajusté'!E:E,ROW()-Fenetre)-1))</f>
        <v/>
      </c>
      <c r="F152" s="34">
        <f>IF(OR('Historique ajusté'!F152="",ROW()-Fenetre&lt;6),"",IF(INDEX('Historique ajusté'!F:F,ROW()-Fenetre)="","",'Historique ajusté'!F152/INDEX('Historique ajusté'!F:F,ROW()-Fenetre)-1))</f>
        <v/>
      </c>
      <c r="G152" s="34">
        <f>IF(OR('Historique ajusté'!G152="",ROW()-Fenetre&lt;6),"",IF(INDEX('Historique ajusté'!G:G,ROW()-Fenetre)="","",'Historique ajusté'!G152/INDEX('Historique ajusté'!G:G,ROW()-Fenetre)-1))</f>
        <v/>
      </c>
      <c r="H152" s="34">
        <f>IF(OR('Historique ajusté'!H152="",ROW()-Fenetre&lt;6),"",IF(INDEX('Historique ajusté'!H:H,ROW()-Fenetre)="","",'Historique ajusté'!H152/INDEX('Historique ajusté'!H:H,ROW()-Fenetre)-1))</f>
        <v/>
      </c>
      <c r="I152" s="34">
        <f>IF(OR('Historique ajusté'!I152="",ROW()-Fenetre&lt;6),"",IF(INDEX('Historique ajusté'!I:I,ROW()-Fenetre)="","",'Historique ajusté'!I152/INDEX('Historique ajusté'!I:I,ROW()-Fenetre)-1))</f>
        <v/>
      </c>
      <c r="J152" s="34">
        <f>IF(OR('Historique ajusté'!J152="",ROW()-Fenetre&lt;6),"",IF(INDEX('Historique ajusté'!J:J,ROW()-Fenetre)="","",'Historique ajusté'!J152/INDEX('Historique ajusté'!J:J,ROW()-Fenetre)-1))</f>
        <v/>
      </c>
      <c r="K152" s="34">
        <f>IF(OR('Historique ajusté'!K152="",ROW()-Fenetre&lt;6),"",IF(INDEX('Historique ajusté'!K:K,ROW()-Fenetre)="","",'Historique ajusté'!K152/INDEX('Historique ajusté'!K:K,ROW()-Fenetre)-1))</f>
        <v/>
      </c>
      <c r="L152" s="34">
        <f>IF(OR('Historique ajusté'!L152="",ROW()-Fenetre&lt;6),"",IF(INDEX('Historique ajusté'!L:L,ROW()-Fenetre)="","",'Historique ajusté'!L152/INDEX('Historique ajusté'!L:L,ROW()-Fenetre)-1))</f>
        <v/>
      </c>
      <c r="M152" s="34">
        <f>IF(OR('Historique ajusté'!M152="",ROW()-Fenetre&lt;6),"",IF(INDEX('Historique ajusté'!M:M,ROW()-Fenetre)="","",'Historique ajusté'!M152/INDEX('Historique ajusté'!M:M,ROW()-Fenetre)-1))</f>
        <v/>
      </c>
      <c r="N152" s="34">
        <f>IF(OR('Historique ajusté'!N152="",ROW()-Fenetre&lt;6),"",IF(INDEX('Historique ajusté'!N:N,ROW()-Fenetre)="","",'Historique ajusté'!N152/INDEX('Historique ajusté'!N:N,ROW()-Fenetre)-1))</f>
        <v/>
      </c>
      <c r="O152" s="34">
        <f>IF(OR('Historique ajusté'!O152="",ROW()-Fenetre&lt;6),"",IF(INDEX('Historique ajusté'!O:O,ROW()-Fenetre)="","",'Historique ajusté'!O152/INDEX('Historique ajusté'!O:O,ROW()-Fenetre)-1))</f>
        <v/>
      </c>
      <c r="P152" s="34">
        <f>IF(OR('Historique ajusté'!P152="",ROW()-Fenetre&lt;6),"",IF(INDEX('Historique ajusté'!P:P,ROW()-Fenetre)="","",'Historique ajusté'!P152/INDEX('Historique ajusté'!P:P,ROW()-Fenetre)-1))</f>
        <v/>
      </c>
      <c r="Q152" s="34">
        <f>IF(OR(Composites!L152="",ROW()-Fenetre&lt;6),"",IF(INDEX(Composites!L:L,ROW()-Fenetre)="","",Composites!L152/INDEX(Composites!L:L,ROW()-Fenetre)-1))</f>
        <v/>
      </c>
      <c r="R152" s="34">
        <f>IF(OR(Composites!M152="",ROW()-Fenetre&lt;6),"",IF(INDEX(Composites!M:M,ROW()-Fenetre)="","",Composites!M152/INDEX(Composites!M:M,ROW()-Fenetre)-1))</f>
        <v/>
      </c>
      <c r="S152" s="34">
        <f>IF(OR(Composites!N152="",ROW()-Fenetre&lt;6),"",IF(INDEX(Composites!N:N,ROW()-Fenetre)="","",Composites!N152/INDEX(Composites!N:N,ROW()-Fenetre)-1))</f>
        <v/>
      </c>
      <c r="T152" s="34">
        <f>IF(OR(Composites!O152="",ROW()-Fenetre&lt;6),"",IF(INDEX(Composites!O:O,ROW()-Fenetre)="","",Composites!O152/INDEX(Composites!O:O,ROW()-Fenetre)-1))</f>
        <v/>
      </c>
      <c r="U152" s="34">
        <f>IF(OR(Composites!P152="",ROW()-Fenetre&lt;6),"",IF(INDEX(Composites!P:P,ROW()-Fenetre)="","",Composites!P152/INDEX(Composites!P:P,ROW()-Fenetre)-1))</f>
        <v/>
      </c>
      <c r="V152" s="34">
        <f>IF('Historique ajusté'!C152="","",'Historique ajusté'!C152/MAX('Historique ajusté'!C$6:C152)-1)</f>
        <v/>
      </c>
      <c r="W152" s="34">
        <f>IF('Historique ajusté'!D152="","",'Historique ajusté'!D152/MAX('Historique ajusté'!D$6:D152)-1)</f>
        <v/>
      </c>
      <c r="X152" s="34">
        <f>IF('Historique ajusté'!E152="","",'Historique ajusté'!E152/MAX('Historique ajusté'!E$6:E152)-1)</f>
        <v/>
      </c>
      <c r="Y152" s="34">
        <f>IF('Historique ajusté'!F152="","",'Historique ajusté'!F152/MAX('Historique ajusté'!F$6:F152)-1)</f>
        <v/>
      </c>
      <c r="Z152" s="34">
        <f>IF('Historique ajusté'!G152="","",'Historique ajusté'!G152/MAX('Historique ajusté'!G$6:G152)-1)</f>
        <v/>
      </c>
      <c r="AA152" s="34">
        <f>IF('Historique ajusté'!H152="","",'Historique ajusté'!H152/MAX('Historique ajusté'!H$6:H152)-1)</f>
        <v/>
      </c>
      <c r="AB152" s="34">
        <f>IF('Historique ajusté'!I152="","",'Historique ajusté'!I152/MAX('Historique ajusté'!I$6:I152)-1)</f>
        <v/>
      </c>
      <c r="AC152" s="34">
        <f>IF('Historique ajusté'!J152="","",'Historique ajusté'!J152/MAX('Historique ajusté'!J$6:J152)-1)</f>
        <v/>
      </c>
      <c r="AD152" s="34">
        <f>IF('Historique ajusté'!K152="","",'Historique ajusté'!K152/MAX('Historique ajusté'!K$6:K152)-1)</f>
        <v/>
      </c>
      <c r="AE152" s="34">
        <f>IF('Historique ajusté'!L152="","",'Historique ajusté'!L152/MAX('Historique ajusté'!L$6:L152)-1)</f>
        <v/>
      </c>
      <c r="AF152" s="34">
        <f>IF('Historique ajusté'!M152="","",'Historique ajusté'!M152/MAX('Historique ajusté'!M$6:M152)-1)</f>
        <v/>
      </c>
      <c r="AG152" s="34">
        <f>IF('Historique ajusté'!N152="","",'Historique ajusté'!N152/MAX('Historique ajusté'!N$6:N152)-1)</f>
        <v/>
      </c>
      <c r="AH152" s="34">
        <f>IF('Historique ajusté'!O152="","",'Historique ajusté'!O152/MAX('Historique ajusté'!O$6:O152)-1)</f>
        <v/>
      </c>
      <c r="AI152" s="34">
        <f>IF('Historique ajusté'!P152="","",'Historique ajusté'!P152/MAX('Historique ajusté'!P$6:P152)-1)</f>
        <v/>
      </c>
      <c r="AJ152" s="34">
        <f>IF(Composites!L152="","",Composites!L152/MAX(Composites!L$6:L152)-1)</f>
        <v/>
      </c>
      <c r="AK152" s="34">
        <f>IF(Composites!M152="","",Composites!M152/MAX(Composites!M$6:M152)-1)</f>
        <v/>
      </c>
      <c r="AL152" s="34">
        <f>IF(Composites!N152="","",Composites!N152/MAX(Composites!N$6:N152)-1)</f>
        <v/>
      </c>
      <c r="AM152" s="34">
        <f>IF(Composites!O152="","",Composites!O152/MAX(Composites!O$6:O152)-1)</f>
        <v/>
      </c>
      <c r="AN152" s="34">
        <f>IF(Composites!P152="","",Composites!P152/MAX(Composites!P$6:P152)-1)</f>
        <v/>
      </c>
    </row>
    <row r="153">
      <c r="B153" s="32">
        <f>'Historique ajusté'!B153</f>
        <v/>
      </c>
      <c r="C153" s="34">
        <f>IF(OR('Historique ajusté'!C153="",ROW()-Fenetre&lt;6),"",IF(INDEX('Historique ajusté'!C:C,ROW()-Fenetre)="","",'Historique ajusté'!C153/INDEX('Historique ajusté'!C:C,ROW()-Fenetre)-1))</f>
        <v/>
      </c>
      <c r="D153" s="34">
        <f>IF(OR('Historique ajusté'!D153="",ROW()-Fenetre&lt;6),"",IF(INDEX('Historique ajusté'!D:D,ROW()-Fenetre)="","",'Historique ajusté'!D153/INDEX('Historique ajusté'!D:D,ROW()-Fenetre)-1))</f>
        <v/>
      </c>
      <c r="E153" s="34">
        <f>IF(OR('Historique ajusté'!E153="",ROW()-Fenetre&lt;6),"",IF(INDEX('Historique ajusté'!E:E,ROW()-Fenetre)="","",'Historique ajusté'!E153/INDEX('Historique ajusté'!E:E,ROW()-Fenetre)-1))</f>
        <v/>
      </c>
      <c r="F153" s="34">
        <f>IF(OR('Historique ajusté'!F153="",ROW()-Fenetre&lt;6),"",IF(INDEX('Historique ajusté'!F:F,ROW()-Fenetre)="","",'Historique ajusté'!F153/INDEX('Historique ajusté'!F:F,ROW()-Fenetre)-1))</f>
        <v/>
      </c>
      <c r="G153" s="34">
        <f>IF(OR('Historique ajusté'!G153="",ROW()-Fenetre&lt;6),"",IF(INDEX('Historique ajusté'!G:G,ROW()-Fenetre)="","",'Historique ajusté'!G153/INDEX('Historique ajusté'!G:G,ROW()-Fenetre)-1))</f>
        <v/>
      </c>
      <c r="H153" s="34">
        <f>IF(OR('Historique ajusté'!H153="",ROW()-Fenetre&lt;6),"",IF(INDEX('Historique ajusté'!H:H,ROW()-Fenetre)="","",'Historique ajusté'!H153/INDEX('Historique ajusté'!H:H,ROW()-Fenetre)-1))</f>
        <v/>
      </c>
      <c r="I153" s="34">
        <f>IF(OR('Historique ajusté'!I153="",ROW()-Fenetre&lt;6),"",IF(INDEX('Historique ajusté'!I:I,ROW()-Fenetre)="","",'Historique ajusté'!I153/INDEX('Historique ajusté'!I:I,ROW()-Fenetre)-1))</f>
        <v/>
      </c>
      <c r="J153" s="34">
        <f>IF(OR('Historique ajusté'!J153="",ROW()-Fenetre&lt;6),"",IF(INDEX('Historique ajusté'!J:J,ROW()-Fenetre)="","",'Historique ajusté'!J153/INDEX('Historique ajusté'!J:J,ROW()-Fenetre)-1))</f>
        <v/>
      </c>
      <c r="K153" s="34">
        <f>IF(OR('Historique ajusté'!K153="",ROW()-Fenetre&lt;6),"",IF(INDEX('Historique ajusté'!K:K,ROW()-Fenetre)="","",'Historique ajusté'!K153/INDEX('Historique ajusté'!K:K,ROW()-Fenetre)-1))</f>
        <v/>
      </c>
      <c r="L153" s="34">
        <f>IF(OR('Historique ajusté'!L153="",ROW()-Fenetre&lt;6),"",IF(INDEX('Historique ajusté'!L:L,ROW()-Fenetre)="","",'Historique ajusté'!L153/INDEX('Historique ajusté'!L:L,ROW()-Fenetre)-1))</f>
        <v/>
      </c>
      <c r="M153" s="34">
        <f>IF(OR('Historique ajusté'!M153="",ROW()-Fenetre&lt;6),"",IF(INDEX('Historique ajusté'!M:M,ROW()-Fenetre)="","",'Historique ajusté'!M153/INDEX('Historique ajusté'!M:M,ROW()-Fenetre)-1))</f>
        <v/>
      </c>
      <c r="N153" s="34">
        <f>IF(OR('Historique ajusté'!N153="",ROW()-Fenetre&lt;6),"",IF(INDEX('Historique ajusté'!N:N,ROW()-Fenetre)="","",'Historique ajusté'!N153/INDEX('Historique ajusté'!N:N,ROW()-Fenetre)-1))</f>
        <v/>
      </c>
      <c r="O153" s="34">
        <f>IF(OR('Historique ajusté'!O153="",ROW()-Fenetre&lt;6),"",IF(INDEX('Historique ajusté'!O:O,ROW()-Fenetre)="","",'Historique ajusté'!O153/INDEX('Historique ajusté'!O:O,ROW()-Fenetre)-1))</f>
        <v/>
      </c>
      <c r="P153" s="34">
        <f>IF(OR('Historique ajusté'!P153="",ROW()-Fenetre&lt;6),"",IF(INDEX('Historique ajusté'!P:P,ROW()-Fenetre)="","",'Historique ajusté'!P153/INDEX('Historique ajusté'!P:P,ROW()-Fenetre)-1))</f>
        <v/>
      </c>
      <c r="Q153" s="34">
        <f>IF(OR(Composites!L153="",ROW()-Fenetre&lt;6),"",IF(INDEX(Composites!L:L,ROW()-Fenetre)="","",Composites!L153/INDEX(Composites!L:L,ROW()-Fenetre)-1))</f>
        <v/>
      </c>
      <c r="R153" s="34">
        <f>IF(OR(Composites!M153="",ROW()-Fenetre&lt;6),"",IF(INDEX(Composites!M:M,ROW()-Fenetre)="","",Composites!M153/INDEX(Composites!M:M,ROW()-Fenetre)-1))</f>
        <v/>
      </c>
      <c r="S153" s="34">
        <f>IF(OR(Composites!N153="",ROW()-Fenetre&lt;6),"",IF(INDEX(Composites!N:N,ROW()-Fenetre)="","",Composites!N153/INDEX(Composites!N:N,ROW()-Fenetre)-1))</f>
        <v/>
      </c>
      <c r="T153" s="34">
        <f>IF(OR(Composites!O153="",ROW()-Fenetre&lt;6),"",IF(INDEX(Composites!O:O,ROW()-Fenetre)="","",Composites!O153/INDEX(Composites!O:O,ROW()-Fenetre)-1))</f>
        <v/>
      </c>
      <c r="U153" s="34">
        <f>IF(OR(Composites!P153="",ROW()-Fenetre&lt;6),"",IF(INDEX(Composites!P:P,ROW()-Fenetre)="","",Composites!P153/INDEX(Composites!P:P,ROW()-Fenetre)-1))</f>
        <v/>
      </c>
      <c r="V153" s="34">
        <f>IF('Historique ajusté'!C153="","",'Historique ajusté'!C153/MAX('Historique ajusté'!C$6:C153)-1)</f>
        <v/>
      </c>
      <c r="W153" s="34">
        <f>IF('Historique ajusté'!D153="","",'Historique ajusté'!D153/MAX('Historique ajusté'!D$6:D153)-1)</f>
        <v/>
      </c>
      <c r="X153" s="34">
        <f>IF('Historique ajusté'!E153="","",'Historique ajusté'!E153/MAX('Historique ajusté'!E$6:E153)-1)</f>
        <v/>
      </c>
      <c r="Y153" s="34">
        <f>IF('Historique ajusté'!F153="","",'Historique ajusté'!F153/MAX('Historique ajusté'!F$6:F153)-1)</f>
        <v/>
      </c>
      <c r="Z153" s="34">
        <f>IF('Historique ajusté'!G153="","",'Historique ajusté'!G153/MAX('Historique ajusté'!G$6:G153)-1)</f>
        <v/>
      </c>
      <c r="AA153" s="34">
        <f>IF('Historique ajusté'!H153="","",'Historique ajusté'!H153/MAX('Historique ajusté'!H$6:H153)-1)</f>
        <v/>
      </c>
      <c r="AB153" s="34">
        <f>IF('Historique ajusté'!I153="","",'Historique ajusté'!I153/MAX('Historique ajusté'!I$6:I153)-1)</f>
        <v/>
      </c>
      <c r="AC153" s="34">
        <f>IF('Historique ajusté'!J153="","",'Historique ajusté'!J153/MAX('Historique ajusté'!J$6:J153)-1)</f>
        <v/>
      </c>
      <c r="AD153" s="34">
        <f>IF('Historique ajusté'!K153="","",'Historique ajusté'!K153/MAX('Historique ajusté'!K$6:K153)-1)</f>
        <v/>
      </c>
      <c r="AE153" s="34">
        <f>IF('Historique ajusté'!L153="","",'Historique ajusté'!L153/MAX('Historique ajusté'!L$6:L153)-1)</f>
        <v/>
      </c>
      <c r="AF153" s="34">
        <f>IF('Historique ajusté'!M153="","",'Historique ajusté'!M153/MAX('Historique ajusté'!M$6:M153)-1)</f>
        <v/>
      </c>
      <c r="AG153" s="34">
        <f>IF('Historique ajusté'!N153="","",'Historique ajusté'!N153/MAX('Historique ajusté'!N$6:N153)-1)</f>
        <v/>
      </c>
      <c r="AH153" s="34">
        <f>IF('Historique ajusté'!O153="","",'Historique ajusté'!O153/MAX('Historique ajusté'!O$6:O153)-1)</f>
        <v/>
      </c>
      <c r="AI153" s="34">
        <f>IF('Historique ajusté'!P153="","",'Historique ajusté'!P153/MAX('Historique ajusté'!P$6:P153)-1)</f>
        <v/>
      </c>
      <c r="AJ153" s="34">
        <f>IF(Composites!L153="","",Composites!L153/MAX(Composites!L$6:L153)-1)</f>
        <v/>
      </c>
      <c r="AK153" s="34">
        <f>IF(Composites!M153="","",Composites!M153/MAX(Composites!M$6:M153)-1)</f>
        <v/>
      </c>
      <c r="AL153" s="34">
        <f>IF(Composites!N153="","",Composites!N153/MAX(Composites!N$6:N153)-1)</f>
        <v/>
      </c>
      <c r="AM153" s="34">
        <f>IF(Composites!O153="","",Composites!O153/MAX(Composites!O$6:O153)-1)</f>
        <v/>
      </c>
      <c r="AN153" s="34">
        <f>IF(Composites!P153="","",Composites!P153/MAX(Composites!P$6:P153)-1)</f>
        <v/>
      </c>
    </row>
    <row r="154">
      <c r="B154" s="32">
        <f>'Historique ajusté'!B154</f>
        <v/>
      </c>
      <c r="C154" s="34">
        <f>IF(OR('Historique ajusté'!C154="",ROW()-Fenetre&lt;6),"",IF(INDEX('Historique ajusté'!C:C,ROW()-Fenetre)="","",'Historique ajusté'!C154/INDEX('Historique ajusté'!C:C,ROW()-Fenetre)-1))</f>
        <v/>
      </c>
      <c r="D154" s="34">
        <f>IF(OR('Historique ajusté'!D154="",ROW()-Fenetre&lt;6),"",IF(INDEX('Historique ajusté'!D:D,ROW()-Fenetre)="","",'Historique ajusté'!D154/INDEX('Historique ajusté'!D:D,ROW()-Fenetre)-1))</f>
        <v/>
      </c>
      <c r="E154" s="34">
        <f>IF(OR('Historique ajusté'!E154="",ROW()-Fenetre&lt;6),"",IF(INDEX('Historique ajusté'!E:E,ROW()-Fenetre)="","",'Historique ajusté'!E154/INDEX('Historique ajusté'!E:E,ROW()-Fenetre)-1))</f>
        <v/>
      </c>
      <c r="F154" s="34">
        <f>IF(OR('Historique ajusté'!F154="",ROW()-Fenetre&lt;6),"",IF(INDEX('Historique ajusté'!F:F,ROW()-Fenetre)="","",'Historique ajusté'!F154/INDEX('Historique ajusté'!F:F,ROW()-Fenetre)-1))</f>
        <v/>
      </c>
      <c r="G154" s="34">
        <f>IF(OR('Historique ajusté'!G154="",ROW()-Fenetre&lt;6),"",IF(INDEX('Historique ajusté'!G:G,ROW()-Fenetre)="","",'Historique ajusté'!G154/INDEX('Historique ajusté'!G:G,ROW()-Fenetre)-1))</f>
        <v/>
      </c>
      <c r="H154" s="34">
        <f>IF(OR('Historique ajusté'!H154="",ROW()-Fenetre&lt;6),"",IF(INDEX('Historique ajusté'!H:H,ROW()-Fenetre)="","",'Historique ajusté'!H154/INDEX('Historique ajusté'!H:H,ROW()-Fenetre)-1))</f>
        <v/>
      </c>
      <c r="I154" s="34">
        <f>IF(OR('Historique ajusté'!I154="",ROW()-Fenetre&lt;6),"",IF(INDEX('Historique ajusté'!I:I,ROW()-Fenetre)="","",'Historique ajusté'!I154/INDEX('Historique ajusté'!I:I,ROW()-Fenetre)-1))</f>
        <v/>
      </c>
      <c r="J154" s="34">
        <f>IF(OR('Historique ajusté'!J154="",ROW()-Fenetre&lt;6),"",IF(INDEX('Historique ajusté'!J:J,ROW()-Fenetre)="","",'Historique ajusté'!J154/INDEX('Historique ajusté'!J:J,ROW()-Fenetre)-1))</f>
        <v/>
      </c>
      <c r="K154" s="34">
        <f>IF(OR('Historique ajusté'!K154="",ROW()-Fenetre&lt;6),"",IF(INDEX('Historique ajusté'!K:K,ROW()-Fenetre)="","",'Historique ajusté'!K154/INDEX('Historique ajusté'!K:K,ROW()-Fenetre)-1))</f>
        <v/>
      </c>
      <c r="L154" s="34">
        <f>IF(OR('Historique ajusté'!L154="",ROW()-Fenetre&lt;6),"",IF(INDEX('Historique ajusté'!L:L,ROW()-Fenetre)="","",'Historique ajusté'!L154/INDEX('Historique ajusté'!L:L,ROW()-Fenetre)-1))</f>
        <v/>
      </c>
      <c r="M154" s="34">
        <f>IF(OR('Historique ajusté'!M154="",ROW()-Fenetre&lt;6),"",IF(INDEX('Historique ajusté'!M:M,ROW()-Fenetre)="","",'Historique ajusté'!M154/INDEX('Historique ajusté'!M:M,ROW()-Fenetre)-1))</f>
        <v/>
      </c>
      <c r="N154" s="34">
        <f>IF(OR('Historique ajusté'!N154="",ROW()-Fenetre&lt;6),"",IF(INDEX('Historique ajusté'!N:N,ROW()-Fenetre)="","",'Historique ajusté'!N154/INDEX('Historique ajusté'!N:N,ROW()-Fenetre)-1))</f>
        <v/>
      </c>
      <c r="O154" s="34">
        <f>IF(OR('Historique ajusté'!O154="",ROW()-Fenetre&lt;6),"",IF(INDEX('Historique ajusté'!O:O,ROW()-Fenetre)="","",'Historique ajusté'!O154/INDEX('Historique ajusté'!O:O,ROW()-Fenetre)-1))</f>
        <v/>
      </c>
      <c r="P154" s="34">
        <f>IF(OR('Historique ajusté'!P154="",ROW()-Fenetre&lt;6),"",IF(INDEX('Historique ajusté'!P:P,ROW()-Fenetre)="","",'Historique ajusté'!P154/INDEX('Historique ajusté'!P:P,ROW()-Fenetre)-1))</f>
        <v/>
      </c>
      <c r="Q154" s="34">
        <f>IF(OR(Composites!L154="",ROW()-Fenetre&lt;6),"",IF(INDEX(Composites!L:L,ROW()-Fenetre)="","",Composites!L154/INDEX(Composites!L:L,ROW()-Fenetre)-1))</f>
        <v/>
      </c>
      <c r="R154" s="34">
        <f>IF(OR(Composites!M154="",ROW()-Fenetre&lt;6),"",IF(INDEX(Composites!M:M,ROW()-Fenetre)="","",Composites!M154/INDEX(Composites!M:M,ROW()-Fenetre)-1))</f>
        <v/>
      </c>
      <c r="S154" s="34">
        <f>IF(OR(Composites!N154="",ROW()-Fenetre&lt;6),"",IF(INDEX(Composites!N:N,ROW()-Fenetre)="","",Composites!N154/INDEX(Composites!N:N,ROW()-Fenetre)-1))</f>
        <v/>
      </c>
      <c r="T154" s="34">
        <f>IF(OR(Composites!O154="",ROW()-Fenetre&lt;6),"",IF(INDEX(Composites!O:O,ROW()-Fenetre)="","",Composites!O154/INDEX(Composites!O:O,ROW()-Fenetre)-1))</f>
        <v/>
      </c>
      <c r="U154" s="34">
        <f>IF(OR(Composites!P154="",ROW()-Fenetre&lt;6),"",IF(INDEX(Composites!P:P,ROW()-Fenetre)="","",Composites!P154/INDEX(Composites!P:P,ROW()-Fenetre)-1))</f>
        <v/>
      </c>
      <c r="V154" s="34">
        <f>IF('Historique ajusté'!C154="","",'Historique ajusté'!C154/MAX('Historique ajusté'!C$6:C154)-1)</f>
        <v/>
      </c>
      <c r="W154" s="34">
        <f>IF('Historique ajusté'!D154="","",'Historique ajusté'!D154/MAX('Historique ajusté'!D$6:D154)-1)</f>
        <v/>
      </c>
      <c r="X154" s="34">
        <f>IF('Historique ajusté'!E154="","",'Historique ajusté'!E154/MAX('Historique ajusté'!E$6:E154)-1)</f>
        <v/>
      </c>
      <c r="Y154" s="34">
        <f>IF('Historique ajusté'!F154="","",'Historique ajusté'!F154/MAX('Historique ajusté'!F$6:F154)-1)</f>
        <v/>
      </c>
      <c r="Z154" s="34">
        <f>IF('Historique ajusté'!G154="","",'Historique ajusté'!G154/MAX('Historique ajusté'!G$6:G154)-1)</f>
        <v/>
      </c>
      <c r="AA154" s="34">
        <f>IF('Historique ajusté'!H154="","",'Historique ajusté'!H154/MAX('Historique ajusté'!H$6:H154)-1)</f>
        <v/>
      </c>
      <c r="AB154" s="34">
        <f>IF('Historique ajusté'!I154="","",'Historique ajusté'!I154/MAX('Historique ajusté'!I$6:I154)-1)</f>
        <v/>
      </c>
      <c r="AC154" s="34">
        <f>IF('Historique ajusté'!J154="","",'Historique ajusté'!J154/MAX('Historique ajusté'!J$6:J154)-1)</f>
        <v/>
      </c>
      <c r="AD154" s="34">
        <f>IF('Historique ajusté'!K154="","",'Historique ajusté'!K154/MAX('Historique ajusté'!K$6:K154)-1)</f>
        <v/>
      </c>
      <c r="AE154" s="34">
        <f>IF('Historique ajusté'!L154="","",'Historique ajusté'!L154/MAX('Historique ajusté'!L$6:L154)-1)</f>
        <v/>
      </c>
      <c r="AF154" s="34">
        <f>IF('Historique ajusté'!M154="","",'Historique ajusté'!M154/MAX('Historique ajusté'!M$6:M154)-1)</f>
        <v/>
      </c>
      <c r="AG154" s="34">
        <f>IF('Historique ajusté'!N154="","",'Historique ajusté'!N154/MAX('Historique ajusté'!N$6:N154)-1)</f>
        <v/>
      </c>
      <c r="AH154" s="34">
        <f>IF('Historique ajusté'!O154="","",'Historique ajusté'!O154/MAX('Historique ajusté'!O$6:O154)-1)</f>
        <v/>
      </c>
      <c r="AI154" s="34">
        <f>IF('Historique ajusté'!P154="","",'Historique ajusté'!P154/MAX('Historique ajusté'!P$6:P154)-1)</f>
        <v/>
      </c>
      <c r="AJ154" s="34">
        <f>IF(Composites!L154="","",Composites!L154/MAX(Composites!L$6:L154)-1)</f>
        <v/>
      </c>
      <c r="AK154" s="34">
        <f>IF(Composites!M154="","",Composites!M154/MAX(Composites!M$6:M154)-1)</f>
        <v/>
      </c>
      <c r="AL154" s="34">
        <f>IF(Composites!N154="","",Composites!N154/MAX(Composites!N$6:N154)-1)</f>
        <v/>
      </c>
      <c r="AM154" s="34">
        <f>IF(Composites!O154="","",Composites!O154/MAX(Composites!O$6:O154)-1)</f>
        <v/>
      </c>
      <c r="AN154" s="34">
        <f>IF(Composites!P154="","",Composites!P154/MAX(Composites!P$6:P154)-1)</f>
        <v/>
      </c>
    </row>
    <row r="155">
      <c r="B155" s="32">
        <f>'Historique ajusté'!B155</f>
        <v/>
      </c>
      <c r="C155" s="34">
        <f>IF(OR('Historique ajusté'!C155="",ROW()-Fenetre&lt;6),"",IF(INDEX('Historique ajusté'!C:C,ROW()-Fenetre)="","",'Historique ajusté'!C155/INDEX('Historique ajusté'!C:C,ROW()-Fenetre)-1))</f>
        <v/>
      </c>
      <c r="D155" s="34">
        <f>IF(OR('Historique ajusté'!D155="",ROW()-Fenetre&lt;6),"",IF(INDEX('Historique ajusté'!D:D,ROW()-Fenetre)="","",'Historique ajusté'!D155/INDEX('Historique ajusté'!D:D,ROW()-Fenetre)-1))</f>
        <v/>
      </c>
      <c r="E155" s="34">
        <f>IF(OR('Historique ajusté'!E155="",ROW()-Fenetre&lt;6),"",IF(INDEX('Historique ajusté'!E:E,ROW()-Fenetre)="","",'Historique ajusté'!E155/INDEX('Historique ajusté'!E:E,ROW()-Fenetre)-1))</f>
        <v/>
      </c>
      <c r="F155" s="34">
        <f>IF(OR('Historique ajusté'!F155="",ROW()-Fenetre&lt;6),"",IF(INDEX('Historique ajusté'!F:F,ROW()-Fenetre)="","",'Historique ajusté'!F155/INDEX('Historique ajusté'!F:F,ROW()-Fenetre)-1))</f>
        <v/>
      </c>
      <c r="G155" s="34">
        <f>IF(OR('Historique ajusté'!G155="",ROW()-Fenetre&lt;6),"",IF(INDEX('Historique ajusté'!G:G,ROW()-Fenetre)="","",'Historique ajusté'!G155/INDEX('Historique ajusté'!G:G,ROW()-Fenetre)-1))</f>
        <v/>
      </c>
      <c r="H155" s="34">
        <f>IF(OR('Historique ajusté'!H155="",ROW()-Fenetre&lt;6),"",IF(INDEX('Historique ajusté'!H:H,ROW()-Fenetre)="","",'Historique ajusté'!H155/INDEX('Historique ajusté'!H:H,ROW()-Fenetre)-1))</f>
        <v/>
      </c>
      <c r="I155" s="34">
        <f>IF(OR('Historique ajusté'!I155="",ROW()-Fenetre&lt;6),"",IF(INDEX('Historique ajusté'!I:I,ROW()-Fenetre)="","",'Historique ajusté'!I155/INDEX('Historique ajusté'!I:I,ROW()-Fenetre)-1))</f>
        <v/>
      </c>
      <c r="J155" s="34">
        <f>IF(OR('Historique ajusté'!J155="",ROW()-Fenetre&lt;6),"",IF(INDEX('Historique ajusté'!J:J,ROW()-Fenetre)="","",'Historique ajusté'!J155/INDEX('Historique ajusté'!J:J,ROW()-Fenetre)-1))</f>
        <v/>
      </c>
      <c r="K155" s="34">
        <f>IF(OR('Historique ajusté'!K155="",ROW()-Fenetre&lt;6),"",IF(INDEX('Historique ajusté'!K:K,ROW()-Fenetre)="","",'Historique ajusté'!K155/INDEX('Historique ajusté'!K:K,ROW()-Fenetre)-1))</f>
        <v/>
      </c>
      <c r="L155" s="34">
        <f>IF(OR('Historique ajusté'!L155="",ROW()-Fenetre&lt;6),"",IF(INDEX('Historique ajusté'!L:L,ROW()-Fenetre)="","",'Historique ajusté'!L155/INDEX('Historique ajusté'!L:L,ROW()-Fenetre)-1))</f>
        <v/>
      </c>
      <c r="M155" s="34">
        <f>IF(OR('Historique ajusté'!M155="",ROW()-Fenetre&lt;6),"",IF(INDEX('Historique ajusté'!M:M,ROW()-Fenetre)="","",'Historique ajusté'!M155/INDEX('Historique ajusté'!M:M,ROW()-Fenetre)-1))</f>
        <v/>
      </c>
      <c r="N155" s="34">
        <f>IF(OR('Historique ajusté'!N155="",ROW()-Fenetre&lt;6),"",IF(INDEX('Historique ajusté'!N:N,ROW()-Fenetre)="","",'Historique ajusté'!N155/INDEX('Historique ajusté'!N:N,ROW()-Fenetre)-1))</f>
        <v/>
      </c>
      <c r="O155" s="34">
        <f>IF(OR('Historique ajusté'!O155="",ROW()-Fenetre&lt;6),"",IF(INDEX('Historique ajusté'!O:O,ROW()-Fenetre)="","",'Historique ajusté'!O155/INDEX('Historique ajusté'!O:O,ROW()-Fenetre)-1))</f>
        <v/>
      </c>
      <c r="P155" s="34">
        <f>IF(OR('Historique ajusté'!P155="",ROW()-Fenetre&lt;6),"",IF(INDEX('Historique ajusté'!P:P,ROW()-Fenetre)="","",'Historique ajusté'!P155/INDEX('Historique ajusté'!P:P,ROW()-Fenetre)-1))</f>
        <v/>
      </c>
      <c r="Q155" s="34">
        <f>IF(OR(Composites!L155="",ROW()-Fenetre&lt;6),"",IF(INDEX(Composites!L:L,ROW()-Fenetre)="","",Composites!L155/INDEX(Composites!L:L,ROW()-Fenetre)-1))</f>
        <v/>
      </c>
      <c r="R155" s="34">
        <f>IF(OR(Composites!M155="",ROW()-Fenetre&lt;6),"",IF(INDEX(Composites!M:M,ROW()-Fenetre)="","",Composites!M155/INDEX(Composites!M:M,ROW()-Fenetre)-1))</f>
        <v/>
      </c>
      <c r="S155" s="34">
        <f>IF(OR(Composites!N155="",ROW()-Fenetre&lt;6),"",IF(INDEX(Composites!N:N,ROW()-Fenetre)="","",Composites!N155/INDEX(Composites!N:N,ROW()-Fenetre)-1))</f>
        <v/>
      </c>
      <c r="T155" s="34">
        <f>IF(OR(Composites!O155="",ROW()-Fenetre&lt;6),"",IF(INDEX(Composites!O:O,ROW()-Fenetre)="","",Composites!O155/INDEX(Composites!O:O,ROW()-Fenetre)-1))</f>
        <v/>
      </c>
      <c r="U155" s="34">
        <f>IF(OR(Composites!P155="",ROW()-Fenetre&lt;6),"",IF(INDEX(Composites!P:P,ROW()-Fenetre)="","",Composites!P155/INDEX(Composites!P:P,ROW()-Fenetre)-1))</f>
        <v/>
      </c>
      <c r="V155" s="34">
        <f>IF('Historique ajusté'!C155="","",'Historique ajusté'!C155/MAX('Historique ajusté'!C$6:C155)-1)</f>
        <v/>
      </c>
      <c r="W155" s="34">
        <f>IF('Historique ajusté'!D155="","",'Historique ajusté'!D155/MAX('Historique ajusté'!D$6:D155)-1)</f>
        <v/>
      </c>
      <c r="X155" s="34">
        <f>IF('Historique ajusté'!E155="","",'Historique ajusté'!E155/MAX('Historique ajusté'!E$6:E155)-1)</f>
        <v/>
      </c>
      <c r="Y155" s="34">
        <f>IF('Historique ajusté'!F155="","",'Historique ajusté'!F155/MAX('Historique ajusté'!F$6:F155)-1)</f>
        <v/>
      </c>
      <c r="Z155" s="34">
        <f>IF('Historique ajusté'!G155="","",'Historique ajusté'!G155/MAX('Historique ajusté'!G$6:G155)-1)</f>
        <v/>
      </c>
      <c r="AA155" s="34">
        <f>IF('Historique ajusté'!H155="","",'Historique ajusté'!H155/MAX('Historique ajusté'!H$6:H155)-1)</f>
        <v/>
      </c>
      <c r="AB155" s="34">
        <f>IF('Historique ajusté'!I155="","",'Historique ajusté'!I155/MAX('Historique ajusté'!I$6:I155)-1)</f>
        <v/>
      </c>
      <c r="AC155" s="34">
        <f>IF('Historique ajusté'!J155="","",'Historique ajusté'!J155/MAX('Historique ajusté'!J$6:J155)-1)</f>
        <v/>
      </c>
      <c r="AD155" s="34">
        <f>IF('Historique ajusté'!K155="","",'Historique ajusté'!K155/MAX('Historique ajusté'!K$6:K155)-1)</f>
        <v/>
      </c>
      <c r="AE155" s="34">
        <f>IF('Historique ajusté'!L155="","",'Historique ajusté'!L155/MAX('Historique ajusté'!L$6:L155)-1)</f>
        <v/>
      </c>
      <c r="AF155" s="34">
        <f>IF('Historique ajusté'!M155="","",'Historique ajusté'!M155/MAX('Historique ajusté'!M$6:M155)-1)</f>
        <v/>
      </c>
      <c r="AG155" s="34">
        <f>IF('Historique ajusté'!N155="","",'Historique ajusté'!N155/MAX('Historique ajusté'!N$6:N155)-1)</f>
        <v/>
      </c>
      <c r="AH155" s="34">
        <f>IF('Historique ajusté'!O155="","",'Historique ajusté'!O155/MAX('Historique ajusté'!O$6:O155)-1)</f>
        <v/>
      </c>
      <c r="AI155" s="34">
        <f>IF('Historique ajusté'!P155="","",'Historique ajusté'!P155/MAX('Historique ajusté'!P$6:P155)-1)</f>
        <v/>
      </c>
      <c r="AJ155" s="34">
        <f>IF(Composites!L155="","",Composites!L155/MAX(Composites!L$6:L155)-1)</f>
        <v/>
      </c>
      <c r="AK155" s="34">
        <f>IF(Composites!M155="","",Composites!M155/MAX(Composites!M$6:M155)-1)</f>
        <v/>
      </c>
      <c r="AL155" s="34">
        <f>IF(Composites!N155="","",Composites!N155/MAX(Composites!N$6:N155)-1)</f>
        <v/>
      </c>
      <c r="AM155" s="34">
        <f>IF(Composites!O155="","",Composites!O155/MAX(Composites!O$6:O155)-1)</f>
        <v/>
      </c>
      <c r="AN155" s="34">
        <f>IF(Composites!P155="","",Composites!P155/MAX(Composites!P$6:P155)-1)</f>
        <v/>
      </c>
    </row>
    <row r="156">
      <c r="B156" s="32">
        <f>'Historique ajusté'!B156</f>
        <v/>
      </c>
      <c r="C156" s="34">
        <f>IF(OR('Historique ajusté'!C156="",ROW()-Fenetre&lt;6),"",IF(INDEX('Historique ajusté'!C:C,ROW()-Fenetre)="","",'Historique ajusté'!C156/INDEX('Historique ajusté'!C:C,ROW()-Fenetre)-1))</f>
        <v/>
      </c>
      <c r="D156" s="34">
        <f>IF(OR('Historique ajusté'!D156="",ROW()-Fenetre&lt;6),"",IF(INDEX('Historique ajusté'!D:D,ROW()-Fenetre)="","",'Historique ajusté'!D156/INDEX('Historique ajusté'!D:D,ROW()-Fenetre)-1))</f>
        <v/>
      </c>
      <c r="E156" s="34">
        <f>IF(OR('Historique ajusté'!E156="",ROW()-Fenetre&lt;6),"",IF(INDEX('Historique ajusté'!E:E,ROW()-Fenetre)="","",'Historique ajusté'!E156/INDEX('Historique ajusté'!E:E,ROW()-Fenetre)-1))</f>
        <v/>
      </c>
      <c r="F156" s="34">
        <f>IF(OR('Historique ajusté'!F156="",ROW()-Fenetre&lt;6),"",IF(INDEX('Historique ajusté'!F:F,ROW()-Fenetre)="","",'Historique ajusté'!F156/INDEX('Historique ajusté'!F:F,ROW()-Fenetre)-1))</f>
        <v/>
      </c>
      <c r="G156" s="34">
        <f>IF(OR('Historique ajusté'!G156="",ROW()-Fenetre&lt;6),"",IF(INDEX('Historique ajusté'!G:G,ROW()-Fenetre)="","",'Historique ajusté'!G156/INDEX('Historique ajusté'!G:G,ROW()-Fenetre)-1))</f>
        <v/>
      </c>
      <c r="H156" s="34">
        <f>IF(OR('Historique ajusté'!H156="",ROW()-Fenetre&lt;6),"",IF(INDEX('Historique ajusté'!H:H,ROW()-Fenetre)="","",'Historique ajusté'!H156/INDEX('Historique ajusté'!H:H,ROW()-Fenetre)-1))</f>
        <v/>
      </c>
      <c r="I156" s="34">
        <f>IF(OR('Historique ajusté'!I156="",ROW()-Fenetre&lt;6),"",IF(INDEX('Historique ajusté'!I:I,ROW()-Fenetre)="","",'Historique ajusté'!I156/INDEX('Historique ajusté'!I:I,ROW()-Fenetre)-1))</f>
        <v/>
      </c>
      <c r="J156" s="34">
        <f>IF(OR('Historique ajusté'!J156="",ROW()-Fenetre&lt;6),"",IF(INDEX('Historique ajusté'!J:J,ROW()-Fenetre)="","",'Historique ajusté'!J156/INDEX('Historique ajusté'!J:J,ROW()-Fenetre)-1))</f>
        <v/>
      </c>
      <c r="K156" s="34">
        <f>IF(OR('Historique ajusté'!K156="",ROW()-Fenetre&lt;6),"",IF(INDEX('Historique ajusté'!K:K,ROW()-Fenetre)="","",'Historique ajusté'!K156/INDEX('Historique ajusté'!K:K,ROW()-Fenetre)-1))</f>
        <v/>
      </c>
      <c r="L156" s="34">
        <f>IF(OR('Historique ajusté'!L156="",ROW()-Fenetre&lt;6),"",IF(INDEX('Historique ajusté'!L:L,ROW()-Fenetre)="","",'Historique ajusté'!L156/INDEX('Historique ajusté'!L:L,ROW()-Fenetre)-1))</f>
        <v/>
      </c>
      <c r="M156" s="34">
        <f>IF(OR('Historique ajusté'!M156="",ROW()-Fenetre&lt;6),"",IF(INDEX('Historique ajusté'!M:M,ROW()-Fenetre)="","",'Historique ajusté'!M156/INDEX('Historique ajusté'!M:M,ROW()-Fenetre)-1))</f>
        <v/>
      </c>
      <c r="N156" s="34">
        <f>IF(OR('Historique ajusté'!N156="",ROW()-Fenetre&lt;6),"",IF(INDEX('Historique ajusté'!N:N,ROW()-Fenetre)="","",'Historique ajusté'!N156/INDEX('Historique ajusté'!N:N,ROW()-Fenetre)-1))</f>
        <v/>
      </c>
      <c r="O156" s="34">
        <f>IF(OR('Historique ajusté'!O156="",ROW()-Fenetre&lt;6),"",IF(INDEX('Historique ajusté'!O:O,ROW()-Fenetre)="","",'Historique ajusté'!O156/INDEX('Historique ajusté'!O:O,ROW()-Fenetre)-1))</f>
        <v/>
      </c>
      <c r="P156" s="34">
        <f>IF(OR('Historique ajusté'!P156="",ROW()-Fenetre&lt;6),"",IF(INDEX('Historique ajusté'!P:P,ROW()-Fenetre)="","",'Historique ajusté'!P156/INDEX('Historique ajusté'!P:P,ROW()-Fenetre)-1))</f>
        <v/>
      </c>
      <c r="Q156" s="34">
        <f>IF(OR(Composites!L156="",ROW()-Fenetre&lt;6),"",IF(INDEX(Composites!L:L,ROW()-Fenetre)="","",Composites!L156/INDEX(Composites!L:L,ROW()-Fenetre)-1))</f>
        <v/>
      </c>
      <c r="R156" s="34">
        <f>IF(OR(Composites!M156="",ROW()-Fenetre&lt;6),"",IF(INDEX(Composites!M:M,ROW()-Fenetre)="","",Composites!M156/INDEX(Composites!M:M,ROW()-Fenetre)-1))</f>
        <v/>
      </c>
      <c r="S156" s="34">
        <f>IF(OR(Composites!N156="",ROW()-Fenetre&lt;6),"",IF(INDEX(Composites!N:N,ROW()-Fenetre)="","",Composites!N156/INDEX(Composites!N:N,ROW()-Fenetre)-1))</f>
        <v/>
      </c>
      <c r="T156" s="34">
        <f>IF(OR(Composites!O156="",ROW()-Fenetre&lt;6),"",IF(INDEX(Composites!O:O,ROW()-Fenetre)="","",Composites!O156/INDEX(Composites!O:O,ROW()-Fenetre)-1))</f>
        <v/>
      </c>
      <c r="U156" s="34">
        <f>IF(OR(Composites!P156="",ROW()-Fenetre&lt;6),"",IF(INDEX(Composites!P:P,ROW()-Fenetre)="","",Composites!P156/INDEX(Composites!P:P,ROW()-Fenetre)-1))</f>
        <v/>
      </c>
      <c r="V156" s="34">
        <f>IF('Historique ajusté'!C156="","",'Historique ajusté'!C156/MAX('Historique ajusté'!C$6:C156)-1)</f>
        <v/>
      </c>
      <c r="W156" s="34">
        <f>IF('Historique ajusté'!D156="","",'Historique ajusté'!D156/MAX('Historique ajusté'!D$6:D156)-1)</f>
        <v/>
      </c>
      <c r="X156" s="34">
        <f>IF('Historique ajusté'!E156="","",'Historique ajusté'!E156/MAX('Historique ajusté'!E$6:E156)-1)</f>
        <v/>
      </c>
      <c r="Y156" s="34">
        <f>IF('Historique ajusté'!F156="","",'Historique ajusté'!F156/MAX('Historique ajusté'!F$6:F156)-1)</f>
        <v/>
      </c>
      <c r="Z156" s="34">
        <f>IF('Historique ajusté'!G156="","",'Historique ajusté'!G156/MAX('Historique ajusté'!G$6:G156)-1)</f>
        <v/>
      </c>
      <c r="AA156" s="34">
        <f>IF('Historique ajusté'!H156="","",'Historique ajusté'!H156/MAX('Historique ajusté'!H$6:H156)-1)</f>
        <v/>
      </c>
      <c r="AB156" s="34">
        <f>IF('Historique ajusté'!I156="","",'Historique ajusté'!I156/MAX('Historique ajusté'!I$6:I156)-1)</f>
        <v/>
      </c>
      <c r="AC156" s="34">
        <f>IF('Historique ajusté'!J156="","",'Historique ajusté'!J156/MAX('Historique ajusté'!J$6:J156)-1)</f>
        <v/>
      </c>
      <c r="AD156" s="34">
        <f>IF('Historique ajusté'!K156="","",'Historique ajusté'!K156/MAX('Historique ajusté'!K$6:K156)-1)</f>
        <v/>
      </c>
      <c r="AE156" s="34">
        <f>IF('Historique ajusté'!L156="","",'Historique ajusté'!L156/MAX('Historique ajusté'!L$6:L156)-1)</f>
        <v/>
      </c>
      <c r="AF156" s="34">
        <f>IF('Historique ajusté'!M156="","",'Historique ajusté'!M156/MAX('Historique ajusté'!M$6:M156)-1)</f>
        <v/>
      </c>
      <c r="AG156" s="34">
        <f>IF('Historique ajusté'!N156="","",'Historique ajusté'!N156/MAX('Historique ajusté'!N$6:N156)-1)</f>
        <v/>
      </c>
      <c r="AH156" s="34">
        <f>IF('Historique ajusté'!O156="","",'Historique ajusté'!O156/MAX('Historique ajusté'!O$6:O156)-1)</f>
        <v/>
      </c>
      <c r="AI156" s="34">
        <f>IF('Historique ajusté'!P156="","",'Historique ajusté'!P156/MAX('Historique ajusté'!P$6:P156)-1)</f>
        <v/>
      </c>
      <c r="AJ156" s="34">
        <f>IF(Composites!L156="","",Composites!L156/MAX(Composites!L$6:L156)-1)</f>
        <v/>
      </c>
      <c r="AK156" s="34">
        <f>IF(Composites!M156="","",Composites!M156/MAX(Composites!M$6:M156)-1)</f>
        <v/>
      </c>
      <c r="AL156" s="34">
        <f>IF(Composites!N156="","",Composites!N156/MAX(Composites!N$6:N156)-1)</f>
        <v/>
      </c>
      <c r="AM156" s="34">
        <f>IF(Composites!O156="","",Composites!O156/MAX(Composites!O$6:O156)-1)</f>
        <v/>
      </c>
      <c r="AN156" s="34">
        <f>IF(Composites!P156="","",Composites!P156/MAX(Composites!P$6:P156)-1)</f>
        <v/>
      </c>
    </row>
    <row r="157">
      <c r="B157" s="32">
        <f>'Historique ajusté'!B157</f>
        <v/>
      </c>
      <c r="C157" s="34">
        <f>IF(OR('Historique ajusté'!C157="",ROW()-Fenetre&lt;6),"",IF(INDEX('Historique ajusté'!C:C,ROW()-Fenetre)="","",'Historique ajusté'!C157/INDEX('Historique ajusté'!C:C,ROW()-Fenetre)-1))</f>
        <v/>
      </c>
      <c r="D157" s="34">
        <f>IF(OR('Historique ajusté'!D157="",ROW()-Fenetre&lt;6),"",IF(INDEX('Historique ajusté'!D:D,ROW()-Fenetre)="","",'Historique ajusté'!D157/INDEX('Historique ajusté'!D:D,ROW()-Fenetre)-1))</f>
        <v/>
      </c>
      <c r="E157" s="34">
        <f>IF(OR('Historique ajusté'!E157="",ROW()-Fenetre&lt;6),"",IF(INDEX('Historique ajusté'!E:E,ROW()-Fenetre)="","",'Historique ajusté'!E157/INDEX('Historique ajusté'!E:E,ROW()-Fenetre)-1))</f>
        <v/>
      </c>
      <c r="F157" s="34">
        <f>IF(OR('Historique ajusté'!F157="",ROW()-Fenetre&lt;6),"",IF(INDEX('Historique ajusté'!F:F,ROW()-Fenetre)="","",'Historique ajusté'!F157/INDEX('Historique ajusté'!F:F,ROW()-Fenetre)-1))</f>
        <v/>
      </c>
      <c r="G157" s="34">
        <f>IF(OR('Historique ajusté'!G157="",ROW()-Fenetre&lt;6),"",IF(INDEX('Historique ajusté'!G:G,ROW()-Fenetre)="","",'Historique ajusté'!G157/INDEX('Historique ajusté'!G:G,ROW()-Fenetre)-1))</f>
        <v/>
      </c>
      <c r="H157" s="34">
        <f>IF(OR('Historique ajusté'!H157="",ROW()-Fenetre&lt;6),"",IF(INDEX('Historique ajusté'!H:H,ROW()-Fenetre)="","",'Historique ajusté'!H157/INDEX('Historique ajusté'!H:H,ROW()-Fenetre)-1))</f>
        <v/>
      </c>
      <c r="I157" s="34">
        <f>IF(OR('Historique ajusté'!I157="",ROW()-Fenetre&lt;6),"",IF(INDEX('Historique ajusté'!I:I,ROW()-Fenetre)="","",'Historique ajusté'!I157/INDEX('Historique ajusté'!I:I,ROW()-Fenetre)-1))</f>
        <v/>
      </c>
      <c r="J157" s="34">
        <f>IF(OR('Historique ajusté'!J157="",ROW()-Fenetre&lt;6),"",IF(INDEX('Historique ajusté'!J:J,ROW()-Fenetre)="","",'Historique ajusté'!J157/INDEX('Historique ajusté'!J:J,ROW()-Fenetre)-1))</f>
        <v/>
      </c>
      <c r="K157" s="34">
        <f>IF(OR('Historique ajusté'!K157="",ROW()-Fenetre&lt;6),"",IF(INDEX('Historique ajusté'!K:K,ROW()-Fenetre)="","",'Historique ajusté'!K157/INDEX('Historique ajusté'!K:K,ROW()-Fenetre)-1))</f>
        <v/>
      </c>
      <c r="L157" s="34">
        <f>IF(OR('Historique ajusté'!L157="",ROW()-Fenetre&lt;6),"",IF(INDEX('Historique ajusté'!L:L,ROW()-Fenetre)="","",'Historique ajusté'!L157/INDEX('Historique ajusté'!L:L,ROW()-Fenetre)-1))</f>
        <v/>
      </c>
      <c r="M157" s="34">
        <f>IF(OR('Historique ajusté'!M157="",ROW()-Fenetre&lt;6),"",IF(INDEX('Historique ajusté'!M:M,ROW()-Fenetre)="","",'Historique ajusté'!M157/INDEX('Historique ajusté'!M:M,ROW()-Fenetre)-1))</f>
        <v/>
      </c>
      <c r="N157" s="34">
        <f>IF(OR('Historique ajusté'!N157="",ROW()-Fenetre&lt;6),"",IF(INDEX('Historique ajusté'!N:N,ROW()-Fenetre)="","",'Historique ajusté'!N157/INDEX('Historique ajusté'!N:N,ROW()-Fenetre)-1))</f>
        <v/>
      </c>
      <c r="O157" s="34">
        <f>IF(OR('Historique ajusté'!O157="",ROW()-Fenetre&lt;6),"",IF(INDEX('Historique ajusté'!O:O,ROW()-Fenetre)="","",'Historique ajusté'!O157/INDEX('Historique ajusté'!O:O,ROW()-Fenetre)-1))</f>
        <v/>
      </c>
      <c r="P157" s="34">
        <f>IF(OR('Historique ajusté'!P157="",ROW()-Fenetre&lt;6),"",IF(INDEX('Historique ajusté'!P:P,ROW()-Fenetre)="","",'Historique ajusté'!P157/INDEX('Historique ajusté'!P:P,ROW()-Fenetre)-1))</f>
        <v/>
      </c>
      <c r="Q157" s="34">
        <f>IF(OR(Composites!L157="",ROW()-Fenetre&lt;6),"",IF(INDEX(Composites!L:L,ROW()-Fenetre)="","",Composites!L157/INDEX(Composites!L:L,ROW()-Fenetre)-1))</f>
        <v/>
      </c>
      <c r="R157" s="34">
        <f>IF(OR(Composites!M157="",ROW()-Fenetre&lt;6),"",IF(INDEX(Composites!M:M,ROW()-Fenetre)="","",Composites!M157/INDEX(Composites!M:M,ROW()-Fenetre)-1))</f>
        <v/>
      </c>
      <c r="S157" s="34">
        <f>IF(OR(Composites!N157="",ROW()-Fenetre&lt;6),"",IF(INDEX(Composites!N:N,ROW()-Fenetre)="","",Composites!N157/INDEX(Composites!N:N,ROW()-Fenetre)-1))</f>
        <v/>
      </c>
      <c r="T157" s="34">
        <f>IF(OR(Composites!O157="",ROW()-Fenetre&lt;6),"",IF(INDEX(Composites!O:O,ROW()-Fenetre)="","",Composites!O157/INDEX(Composites!O:O,ROW()-Fenetre)-1))</f>
        <v/>
      </c>
      <c r="U157" s="34">
        <f>IF(OR(Composites!P157="",ROW()-Fenetre&lt;6),"",IF(INDEX(Composites!P:P,ROW()-Fenetre)="","",Composites!P157/INDEX(Composites!P:P,ROW()-Fenetre)-1))</f>
        <v/>
      </c>
      <c r="V157" s="34">
        <f>IF('Historique ajusté'!C157="","",'Historique ajusté'!C157/MAX('Historique ajusté'!C$6:C157)-1)</f>
        <v/>
      </c>
      <c r="W157" s="34">
        <f>IF('Historique ajusté'!D157="","",'Historique ajusté'!D157/MAX('Historique ajusté'!D$6:D157)-1)</f>
        <v/>
      </c>
      <c r="X157" s="34">
        <f>IF('Historique ajusté'!E157="","",'Historique ajusté'!E157/MAX('Historique ajusté'!E$6:E157)-1)</f>
        <v/>
      </c>
      <c r="Y157" s="34">
        <f>IF('Historique ajusté'!F157="","",'Historique ajusté'!F157/MAX('Historique ajusté'!F$6:F157)-1)</f>
        <v/>
      </c>
      <c r="Z157" s="34">
        <f>IF('Historique ajusté'!G157="","",'Historique ajusté'!G157/MAX('Historique ajusté'!G$6:G157)-1)</f>
        <v/>
      </c>
      <c r="AA157" s="34">
        <f>IF('Historique ajusté'!H157="","",'Historique ajusté'!H157/MAX('Historique ajusté'!H$6:H157)-1)</f>
        <v/>
      </c>
      <c r="AB157" s="34">
        <f>IF('Historique ajusté'!I157="","",'Historique ajusté'!I157/MAX('Historique ajusté'!I$6:I157)-1)</f>
        <v/>
      </c>
      <c r="AC157" s="34">
        <f>IF('Historique ajusté'!J157="","",'Historique ajusté'!J157/MAX('Historique ajusté'!J$6:J157)-1)</f>
        <v/>
      </c>
      <c r="AD157" s="34">
        <f>IF('Historique ajusté'!K157="","",'Historique ajusté'!K157/MAX('Historique ajusté'!K$6:K157)-1)</f>
        <v/>
      </c>
      <c r="AE157" s="34">
        <f>IF('Historique ajusté'!L157="","",'Historique ajusté'!L157/MAX('Historique ajusté'!L$6:L157)-1)</f>
        <v/>
      </c>
      <c r="AF157" s="34">
        <f>IF('Historique ajusté'!M157="","",'Historique ajusté'!M157/MAX('Historique ajusté'!M$6:M157)-1)</f>
        <v/>
      </c>
      <c r="AG157" s="34">
        <f>IF('Historique ajusté'!N157="","",'Historique ajusté'!N157/MAX('Historique ajusté'!N$6:N157)-1)</f>
        <v/>
      </c>
      <c r="AH157" s="34">
        <f>IF('Historique ajusté'!O157="","",'Historique ajusté'!O157/MAX('Historique ajusté'!O$6:O157)-1)</f>
        <v/>
      </c>
      <c r="AI157" s="34">
        <f>IF('Historique ajusté'!P157="","",'Historique ajusté'!P157/MAX('Historique ajusté'!P$6:P157)-1)</f>
        <v/>
      </c>
      <c r="AJ157" s="34">
        <f>IF(Composites!L157="","",Composites!L157/MAX(Composites!L$6:L157)-1)</f>
        <v/>
      </c>
      <c r="AK157" s="34">
        <f>IF(Composites!M157="","",Composites!M157/MAX(Composites!M$6:M157)-1)</f>
        <v/>
      </c>
      <c r="AL157" s="34">
        <f>IF(Composites!N157="","",Composites!N157/MAX(Composites!N$6:N157)-1)</f>
        <v/>
      </c>
      <c r="AM157" s="34">
        <f>IF(Composites!O157="","",Composites!O157/MAX(Composites!O$6:O157)-1)</f>
        <v/>
      </c>
      <c r="AN157" s="34">
        <f>IF(Composites!P157="","",Composites!P157/MAX(Composites!P$6:P157)-1)</f>
        <v/>
      </c>
    </row>
    <row r="158">
      <c r="B158" s="32">
        <f>'Historique ajusté'!B158</f>
        <v/>
      </c>
      <c r="C158" s="34">
        <f>IF(OR('Historique ajusté'!C158="",ROW()-Fenetre&lt;6),"",IF(INDEX('Historique ajusté'!C:C,ROW()-Fenetre)="","",'Historique ajusté'!C158/INDEX('Historique ajusté'!C:C,ROW()-Fenetre)-1))</f>
        <v/>
      </c>
      <c r="D158" s="34">
        <f>IF(OR('Historique ajusté'!D158="",ROW()-Fenetre&lt;6),"",IF(INDEX('Historique ajusté'!D:D,ROW()-Fenetre)="","",'Historique ajusté'!D158/INDEX('Historique ajusté'!D:D,ROW()-Fenetre)-1))</f>
        <v/>
      </c>
      <c r="E158" s="34">
        <f>IF(OR('Historique ajusté'!E158="",ROW()-Fenetre&lt;6),"",IF(INDEX('Historique ajusté'!E:E,ROW()-Fenetre)="","",'Historique ajusté'!E158/INDEX('Historique ajusté'!E:E,ROW()-Fenetre)-1))</f>
        <v/>
      </c>
      <c r="F158" s="34">
        <f>IF(OR('Historique ajusté'!F158="",ROW()-Fenetre&lt;6),"",IF(INDEX('Historique ajusté'!F:F,ROW()-Fenetre)="","",'Historique ajusté'!F158/INDEX('Historique ajusté'!F:F,ROW()-Fenetre)-1))</f>
        <v/>
      </c>
      <c r="G158" s="34">
        <f>IF(OR('Historique ajusté'!G158="",ROW()-Fenetre&lt;6),"",IF(INDEX('Historique ajusté'!G:G,ROW()-Fenetre)="","",'Historique ajusté'!G158/INDEX('Historique ajusté'!G:G,ROW()-Fenetre)-1))</f>
        <v/>
      </c>
      <c r="H158" s="34">
        <f>IF(OR('Historique ajusté'!H158="",ROW()-Fenetre&lt;6),"",IF(INDEX('Historique ajusté'!H:H,ROW()-Fenetre)="","",'Historique ajusté'!H158/INDEX('Historique ajusté'!H:H,ROW()-Fenetre)-1))</f>
        <v/>
      </c>
      <c r="I158" s="34">
        <f>IF(OR('Historique ajusté'!I158="",ROW()-Fenetre&lt;6),"",IF(INDEX('Historique ajusté'!I:I,ROW()-Fenetre)="","",'Historique ajusté'!I158/INDEX('Historique ajusté'!I:I,ROW()-Fenetre)-1))</f>
        <v/>
      </c>
      <c r="J158" s="34">
        <f>IF(OR('Historique ajusté'!J158="",ROW()-Fenetre&lt;6),"",IF(INDEX('Historique ajusté'!J:J,ROW()-Fenetre)="","",'Historique ajusté'!J158/INDEX('Historique ajusté'!J:J,ROW()-Fenetre)-1))</f>
        <v/>
      </c>
      <c r="K158" s="34">
        <f>IF(OR('Historique ajusté'!K158="",ROW()-Fenetre&lt;6),"",IF(INDEX('Historique ajusté'!K:K,ROW()-Fenetre)="","",'Historique ajusté'!K158/INDEX('Historique ajusté'!K:K,ROW()-Fenetre)-1))</f>
        <v/>
      </c>
      <c r="L158" s="34">
        <f>IF(OR('Historique ajusté'!L158="",ROW()-Fenetre&lt;6),"",IF(INDEX('Historique ajusté'!L:L,ROW()-Fenetre)="","",'Historique ajusté'!L158/INDEX('Historique ajusté'!L:L,ROW()-Fenetre)-1))</f>
        <v/>
      </c>
      <c r="M158" s="34">
        <f>IF(OR('Historique ajusté'!M158="",ROW()-Fenetre&lt;6),"",IF(INDEX('Historique ajusté'!M:M,ROW()-Fenetre)="","",'Historique ajusté'!M158/INDEX('Historique ajusté'!M:M,ROW()-Fenetre)-1))</f>
        <v/>
      </c>
      <c r="N158" s="34">
        <f>IF(OR('Historique ajusté'!N158="",ROW()-Fenetre&lt;6),"",IF(INDEX('Historique ajusté'!N:N,ROW()-Fenetre)="","",'Historique ajusté'!N158/INDEX('Historique ajusté'!N:N,ROW()-Fenetre)-1))</f>
        <v/>
      </c>
      <c r="O158" s="34">
        <f>IF(OR('Historique ajusté'!O158="",ROW()-Fenetre&lt;6),"",IF(INDEX('Historique ajusté'!O:O,ROW()-Fenetre)="","",'Historique ajusté'!O158/INDEX('Historique ajusté'!O:O,ROW()-Fenetre)-1))</f>
        <v/>
      </c>
      <c r="P158" s="34">
        <f>IF(OR('Historique ajusté'!P158="",ROW()-Fenetre&lt;6),"",IF(INDEX('Historique ajusté'!P:P,ROW()-Fenetre)="","",'Historique ajusté'!P158/INDEX('Historique ajusté'!P:P,ROW()-Fenetre)-1))</f>
        <v/>
      </c>
      <c r="Q158" s="34">
        <f>IF(OR(Composites!L158="",ROW()-Fenetre&lt;6),"",IF(INDEX(Composites!L:L,ROW()-Fenetre)="","",Composites!L158/INDEX(Composites!L:L,ROW()-Fenetre)-1))</f>
        <v/>
      </c>
      <c r="R158" s="34">
        <f>IF(OR(Composites!M158="",ROW()-Fenetre&lt;6),"",IF(INDEX(Composites!M:M,ROW()-Fenetre)="","",Composites!M158/INDEX(Composites!M:M,ROW()-Fenetre)-1))</f>
        <v/>
      </c>
      <c r="S158" s="34">
        <f>IF(OR(Composites!N158="",ROW()-Fenetre&lt;6),"",IF(INDEX(Composites!N:N,ROW()-Fenetre)="","",Composites!N158/INDEX(Composites!N:N,ROW()-Fenetre)-1))</f>
        <v/>
      </c>
      <c r="T158" s="34">
        <f>IF(OR(Composites!O158="",ROW()-Fenetre&lt;6),"",IF(INDEX(Composites!O:O,ROW()-Fenetre)="","",Composites!O158/INDEX(Composites!O:O,ROW()-Fenetre)-1))</f>
        <v/>
      </c>
      <c r="U158" s="34">
        <f>IF(OR(Composites!P158="",ROW()-Fenetre&lt;6),"",IF(INDEX(Composites!P:P,ROW()-Fenetre)="","",Composites!P158/INDEX(Composites!P:P,ROW()-Fenetre)-1))</f>
        <v/>
      </c>
      <c r="V158" s="34">
        <f>IF('Historique ajusté'!C158="","",'Historique ajusté'!C158/MAX('Historique ajusté'!C$6:C158)-1)</f>
        <v/>
      </c>
      <c r="W158" s="34">
        <f>IF('Historique ajusté'!D158="","",'Historique ajusté'!D158/MAX('Historique ajusté'!D$6:D158)-1)</f>
        <v/>
      </c>
      <c r="X158" s="34">
        <f>IF('Historique ajusté'!E158="","",'Historique ajusté'!E158/MAX('Historique ajusté'!E$6:E158)-1)</f>
        <v/>
      </c>
      <c r="Y158" s="34">
        <f>IF('Historique ajusté'!F158="","",'Historique ajusté'!F158/MAX('Historique ajusté'!F$6:F158)-1)</f>
        <v/>
      </c>
      <c r="Z158" s="34">
        <f>IF('Historique ajusté'!G158="","",'Historique ajusté'!G158/MAX('Historique ajusté'!G$6:G158)-1)</f>
        <v/>
      </c>
      <c r="AA158" s="34">
        <f>IF('Historique ajusté'!H158="","",'Historique ajusté'!H158/MAX('Historique ajusté'!H$6:H158)-1)</f>
        <v/>
      </c>
      <c r="AB158" s="34">
        <f>IF('Historique ajusté'!I158="","",'Historique ajusté'!I158/MAX('Historique ajusté'!I$6:I158)-1)</f>
        <v/>
      </c>
      <c r="AC158" s="34">
        <f>IF('Historique ajusté'!J158="","",'Historique ajusté'!J158/MAX('Historique ajusté'!J$6:J158)-1)</f>
        <v/>
      </c>
      <c r="AD158" s="34">
        <f>IF('Historique ajusté'!K158="","",'Historique ajusté'!K158/MAX('Historique ajusté'!K$6:K158)-1)</f>
        <v/>
      </c>
      <c r="AE158" s="34">
        <f>IF('Historique ajusté'!L158="","",'Historique ajusté'!L158/MAX('Historique ajusté'!L$6:L158)-1)</f>
        <v/>
      </c>
      <c r="AF158" s="34">
        <f>IF('Historique ajusté'!M158="","",'Historique ajusté'!M158/MAX('Historique ajusté'!M$6:M158)-1)</f>
        <v/>
      </c>
      <c r="AG158" s="34">
        <f>IF('Historique ajusté'!N158="","",'Historique ajusté'!N158/MAX('Historique ajusté'!N$6:N158)-1)</f>
        <v/>
      </c>
      <c r="AH158" s="34">
        <f>IF('Historique ajusté'!O158="","",'Historique ajusté'!O158/MAX('Historique ajusté'!O$6:O158)-1)</f>
        <v/>
      </c>
      <c r="AI158" s="34">
        <f>IF('Historique ajusté'!P158="","",'Historique ajusté'!P158/MAX('Historique ajusté'!P$6:P158)-1)</f>
        <v/>
      </c>
      <c r="AJ158" s="34">
        <f>IF(Composites!L158="","",Composites!L158/MAX(Composites!L$6:L158)-1)</f>
        <v/>
      </c>
      <c r="AK158" s="34">
        <f>IF(Composites!M158="","",Composites!M158/MAX(Composites!M$6:M158)-1)</f>
        <v/>
      </c>
      <c r="AL158" s="34">
        <f>IF(Composites!N158="","",Composites!N158/MAX(Composites!N$6:N158)-1)</f>
        <v/>
      </c>
      <c r="AM158" s="34">
        <f>IF(Composites!O158="","",Composites!O158/MAX(Composites!O$6:O158)-1)</f>
        <v/>
      </c>
      <c r="AN158" s="34">
        <f>IF(Composites!P158="","",Composites!P158/MAX(Composites!P$6:P158)-1)</f>
        <v/>
      </c>
    </row>
    <row r="159">
      <c r="B159" s="32">
        <f>'Historique ajusté'!B159</f>
        <v/>
      </c>
      <c r="C159" s="34">
        <f>IF(OR('Historique ajusté'!C159="",ROW()-Fenetre&lt;6),"",IF(INDEX('Historique ajusté'!C:C,ROW()-Fenetre)="","",'Historique ajusté'!C159/INDEX('Historique ajusté'!C:C,ROW()-Fenetre)-1))</f>
        <v/>
      </c>
      <c r="D159" s="34">
        <f>IF(OR('Historique ajusté'!D159="",ROW()-Fenetre&lt;6),"",IF(INDEX('Historique ajusté'!D:D,ROW()-Fenetre)="","",'Historique ajusté'!D159/INDEX('Historique ajusté'!D:D,ROW()-Fenetre)-1))</f>
        <v/>
      </c>
      <c r="E159" s="34">
        <f>IF(OR('Historique ajusté'!E159="",ROW()-Fenetre&lt;6),"",IF(INDEX('Historique ajusté'!E:E,ROW()-Fenetre)="","",'Historique ajusté'!E159/INDEX('Historique ajusté'!E:E,ROW()-Fenetre)-1))</f>
        <v/>
      </c>
      <c r="F159" s="34">
        <f>IF(OR('Historique ajusté'!F159="",ROW()-Fenetre&lt;6),"",IF(INDEX('Historique ajusté'!F:F,ROW()-Fenetre)="","",'Historique ajusté'!F159/INDEX('Historique ajusté'!F:F,ROW()-Fenetre)-1))</f>
        <v/>
      </c>
      <c r="G159" s="34">
        <f>IF(OR('Historique ajusté'!G159="",ROW()-Fenetre&lt;6),"",IF(INDEX('Historique ajusté'!G:G,ROW()-Fenetre)="","",'Historique ajusté'!G159/INDEX('Historique ajusté'!G:G,ROW()-Fenetre)-1))</f>
        <v/>
      </c>
      <c r="H159" s="34">
        <f>IF(OR('Historique ajusté'!H159="",ROW()-Fenetre&lt;6),"",IF(INDEX('Historique ajusté'!H:H,ROW()-Fenetre)="","",'Historique ajusté'!H159/INDEX('Historique ajusté'!H:H,ROW()-Fenetre)-1))</f>
        <v/>
      </c>
      <c r="I159" s="34">
        <f>IF(OR('Historique ajusté'!I159="",ROW()-Fenetre&lt;6),"",IF(INDEX('Historique ajusté'!I:I,ROW()-Fenetre)="","",'Historique ajusté'!I159/INDEX('Historique ajusté'!I:I,ROW()-Fenetre)-1))</f>
        <v/>
      </c>
      <c r="J159" s="34">
        <f>IF(OR('Historique ajusté'!J159="",ROW()-Fenetre&lt;6),"",IF(INDEX('Historique ajusté'!J:J,ROW()-Fenetre)="","",'Historique ajusté'!J159/INDEX('Historique ajusté'!J:J,ROW()-Fenetre)-1))</f>
        <v/>
      </c>
      <c r="K159" s="34">
        <f>IF(OR('Historique ajusté'!K159="",ROW()-Fenetre&lt;6),"",IF(INDEX('Historique ajusté'!K:K,ROW()-Fenetre)="","",'Historique ajusté'!K159/INDEX('Historique ajusté'!K:K,ROW()-Fenetre)-1))</f>
        <v/>
      </c>
      <c r="L159" s="34">
        <f>IF(OR('Historique ajusté'!L159="",ROW()-Fenetre&lt;6),"",IF(INDEX('Historique ajusté'!L:L,ROW()-Fenetre)="","",'Historique ajusté'!L159/INDEX('Historique ajusté'!L:L,ROW()-Fenetre)-1))</f>
        <v/>
      </c>
      <c r="M159" s="34">
        <f>IF(OR('Historique ajusté'!M159="",ROW()-Fenetre&lt;6),"",IF(INDEX('Historique ajusté'!M:M,ROW()-Fenetre)="","",'Historique ajusté'!M159/INDEX('Historique ajusté'!M:M,ROW()-Fenetre)-1))</f>
        <v/>
      </c>
      <c r="N159" s="34">
        <f>IF(OR('Historique ajusté'!N159="",ROW()-Fenetre&lt;6),"",IF(INDEX('Historique ajusté'!N:N,ROW()-Fenetre)="","",'Historique ajusté'!N159/INDEX('Historique ajusté'!N:N,ROW()-Fenetre)-1))</f>
        <v/>
      </c>
      <c r="O159" s="34">
        <f>IF(OR('Historique ajusté'!O159="",ROW()-Fenetre&lt;6),"",IF(INDEX('Historique ajusté'!O:O,ROW()-Fenetre)="","",'Historique ajusté'!O159/INDEX('Historique ajusté'!O:O,ROW()-Fenetre)-1))</f>
        <v/>
      </c>
      <c r="P159" s="34">
        <f>IF(OR('Historique ajusté'!P159="",ROW()-Fenetre&lt;6),"",IF(INDEX('Historique ajusté'!P:P,ROW()-Fenetre)="","",'Historique ajusté'!P159/INDEX('Historique ajusté'!P:P,ROW()-Fenetre)-1))</f>
        <v/>
      </c>
      <c r="Q159" s="34">
        <f>IF(OR(Composites!L159="",ROW()-Fenetre&lt;6),"",IF(INDEX(Composites!L:L,ROW()-Fenetre)="","",Composites!L159/INDEX(Composites!L:L,ROW()-Fenetre)-1))</f>
        <v/>
      </c>
      <c r="R159" s="34">
        <f>IF(OR(Composites!M159="",ROW()-Fenetre&lt;6),"",IF(INDEX(Composites!M:M,ROW()-Fenetre)="","",Composites!M159/INDEX(Composites!M:M,ROW()-Fenetre)-1))</f>
        <v/>
      </c>
      <c r="S159" s="34">
        <f>IF(OR(Composites!N159="",ROW()-Fenetre&lt;6),"",IF(INDEX(Composites!N:N,ROW()-Fenetre)="","",Composites!N159/INDEX(Composites!N:N,ROW()-Fenetre)-1))</f>
        <v/>
      </c>
      <c r="T159" s="34">
        <f>IF(OR(Composites!O159="",ROW()-Fenetre&lt;6),"",IF(INDEX(Composites!O:O,ROW()-Fenetre)="","",Composites!O159/INDEX(Composites!O:O,ROW()-Fenetre)-1))</f>
        <v/>
      </c>
      <c r="U159" s="34">
        <f>IF(OR(Composites!P159="",ROW()-Fenetre&lt;6),"",IF(INDEX(Composites!P:P,ROW()-Fenetre)="","",Composites!P159/INDEX(Composites!P:P,ROW()-Fenetre)-1))</f>
        <v/>
      </c>
      <c r="V159" s="34">
        <f>IF('Historique ajusté'!C159="","",'Historique ajusté'!C159/MAX('Historique ajusté'!C$6:C159)-1)</f>
        <v/>
      </c>
      <c r="W159" s="34">
        <f>IF('Historique ajusté'!D159="","",'Historique ajusté'!D159/MAX('Historique ajusté'!D$6:D159)-1)</f>
        <v/>
      </c>
      <c r="X159" s="34">
        <f>IF('Historique ajusté'!E159="","",'Historique ajusté'!E159/MAX('Historique ajusté'!E$6:E159)-1)</f>
        <v/>
      </c>
      <c r="Y159" s="34">
        <f>IF('Historique ajusté'!F159="","",'Historique ajusté'!F159/MAX('Historique ajusté'!F$6:F159)-1)</f>
        <v/>
      </c>
      <c r="Z159" s="34">
        <f>IF('Historique ajusté'!G159="","",'Historique ajusté'!G159/MAX('Historique ajusté'!G$6:G159)-1)</f>
        <v/>
      </c>
      <c r="AA159" s="34">
        <f>IF('Historique ajusté'!H159="","",'Historique ajusté'!H159/MAX('Historique ajusté'!H$6:H159)-1)</f>
        <v/>
      </c>
      <c r="AB159" s="34">
        <f>IF('Historique ajusté'!I159="","",'Historique ajusté'!I159/MAX('Historique ajusté'!I$6:I159)-1)</f>
        <v/>
      </c>
      <c r="AC159" s="34">
        <f>IF('Historique ajusté'!J159="","",'Historique ajusté'!J159/MAX('Historique ajusté'!J$6:J159)-1)</f>
        <v/>
      </c>
      <c r="AD159" s="34">
        <f>IF('Historique ajusté'!K159="","",'Historique ajusté'!K159/MAX('Historique ajusté'!K$6:K159)-1)</f>
        <v/>
      </c>
      <c r="AE159" s="34">
        <f>IF('Historique ajusté'!L159="","",'Historique ajusté'!L159/MAX('Historique ajusté'!L$6:L159)-1)</f>
        <v/>
      </c>
      <c r="AF159" s="34">
        <f>IF('Historique ajusté'!M159="","",'Historique ajusté'!M159/MAX('Historique ajusté'!M$6:M159)-1)</f>
        <v/>
      </c>
      <c r="AG159" s="34">
        <f>IF('Historique ajusté'!N159="","",'Historique ajusté'!N159/MAX('Historique ajusté'!N$6:N159)-1)</f>
        <v/>
      </c>
      <c r="AH159" s="34">
        <f>IF('Historique ajusté'!O159="","",'Historique ajusté'!O159/MAX('Historique ajusté'!O$6:O159)-1)</f>
        <v/>
      </c>
      <c r="AI159" s="34">
        <f>IF('Historique ajusté'!P159="","",'Historique ajusté'!P159/MAX('Historique ajusté'!P$6:P159)-1)</f>
        <v/>
      </c>
      <c r="AJ159" s="34">
        <f>IF(Composites!L159="","",Composites!L159/MAX(Composites!L$6:L159)-1)</f>
        <v/>
      </c>
      <c r="AK159" s="34">
        <f>IF(Composites!M159="","",Composites!M159/MAX(Composites!M$6:M159)-1)</f>
        <v/>
      </c>
      <c r="AL159" s="34">
        <f>IF(Composites!N159="","",Composites!N159/MAX(Composites!N$6:N159)-1)</f>
        <v/>
      </c>
      <c r="AM159" s="34">
        <f>IF(Composites!O159="","",Composites!O159/MAX(Composites!O$6:O159)-1)</f>
        <v/>
      </c>
      <c r="AN159" s="34">
        <f>IF(Composites!P159="","",Composites!P159/MAX(Composites!P$6:P159)-1)</f>
        <v/>
      </c>
    </row>
    <row r="160">
      <c r="B160" s="32">
        <f>'Historique ajusté'!B160</f>
        <v/>
      </c>
      <c r="C160" s="34">
        <f>IF(OR('Historique ajusté'!C160="",ROW()-Fenetre&lt;6),"",IF(INDEX('Historique ajusté'!C:C,ROW()-Fenetre)="","",'Historique ajusté'!C160/INDEX('Historique ajusté'!C:C,ROW()-Fenetre)-1))</f>
        <v/>
      </c>
      <c r="D160" s="34">
        <f>IF(OR('Historique ajusté'!D160="",ROW()-Fenetre&lt;6),"",IF(INDEX('Historique ajusté'!D:D,ROW()-Fenetre)="","",'Historique ajusté'!D160/INDEX('Historique ajusté'!D:D,ROW()-Fenetre)-1))</f>
        <v/>
      </c>
      <c r="E160" s="34">
        <f>IF(OR('Historique ajusté'!E160="",ROW()-Fenetre&lt;6),"",IF(INDEX('Historique ajusté'!E:E,ROW()-Fenetre)="","",'Historique ajusté'!E160/INDEX('Historique ajusté'!E:E,ROW()-Fenetre)-1))</f>
        <v/>
      </c>
      <c r="F160" s="34">
        <f>IF(OR('Historique ajusté'!F160="",ROW()-Fenetre&lt;6),"",IF(INDEX('Historique ajusté'!F:F,ROW()-Fenetre)="","",'Historique ajusté'!F160/INDEX('Historique ajusté'!F:F,ROW()-Fenetre)-1))</f>
        <v/>
      </c>
      <c r="G160" s="34">
        <f>IF(OR('Historique ajusté'!G160="",ROW()-Fenetre&lt;6),"",IF(INDEX('Historique ajusté'!G:G,ROW()-Fenetre)="","",'Historique ajusté'!G160/INDEX('Historique ajusté'!G:G,ROW()-Fenetre)-1))</f>
        <v/>
      </c>
      <c r="H160" s="34">
        <f>IF(OR('Historique ajusté'!H160="",ROW()-Fenetre&lt;6),"",IF(INDEX('Historique ajusté'!H:H,ROW()-Fenetre)="","",'Historique ajusté'!H160/INDEX('Historique ajusté'!H:H,ROW()-Fenetre)-1))</f>
        <v/>
      </c>
      <c r="I160" s="34">
        <f>IF(OR('Historique ajusté'!I160="",ROW()-Fenetre&lt;6),"",IF(INDEX('Historique ajusté'!I:I,ROW()-Fenetre)="","",'Historique ajusté'!I160/INDEX('Historique ajusté'!I:I,ROW()-Fenetre)-1))</f>
        <v/>
      </c>
      <c r="J160" s="34">
        <f>IF(OR('Historique ajusté'!J160="",ROW()-Fenetre&lt;6),"",IF(INDEX('Historique ajusté'!J:J,ROW()-Fenetre)="","",'Historique ajusté'!J160/INDEX('Historique ajusté'!J:J,ROW()-Fenetre)-1))</f>
        <v/>
      </c>
      <c r="K160" s="34">
        <f>IF(OR('Historique ajusté'!K160="",ROW()-Fenetre&lt;6),"",IF(INDEX('Historique ajusté'!K:K,ROW()-Fenetre)="","",'Historique ajusté'!K160/INDEX('Historique ajusté'!K:K,ROW()-Fenetre)-1))</f>
        <v/>
      </c>
      <c r="L160" s="34">
        <f>IF(OR('Historique ajusté'!L160="",ROW()-Fenetre&lt;6),"",IF(INDEX('Historique ajusté'!L:L,ROW()-Fenetre)="","",'Historique ajusté'!L160/INDEX('Historique ajusté'!L:L,ROW()-Fenetre)-1))</f>
        <v/>
      </c>
      <c r="M160" s="34">
        <f>IF(OR('Historique ajusté'!M160="",ROW()-Fenetre&lt;6),"",IF(INDEX('Historique ajusté'!M:M,ROW()-Fenetre)="","",'Historique ajusté'!M160/INDEX('Historique ajusté'!M:M,ROW()-Fenetre)-1))</f>
        <v/>
      </c>
      <c r="N160" s="34">
        <f>IF(OR('Historique ajusté'!N160="",ROW()-Fenetre&lt;6),"",IF(INDEX('Historique ajusté'!N:N,ROW()-Fenetre)="","",'Historique ajusté'!N160/INDEX('Historique ajusté'!N:N,ROW()-Fenetre)-1))</f>
        <v/>
      </c>
      <c r="O160" s="34">
        <f>IF(OR('Historique ajusté'!O160="",ROW()-Fenetre&lt;6),"",IF(INDEX('Historique ajusté'!O:O,ROW()-Fenetre)="","",'Historique ajusté'!O160/INDEX('Historique ajusté'!O:O,ROW()-Fenetre)-1))</f>
        <v/>
      </c>
      <c r="P160" s="34">
        <f>IF(OR('Historique ajusté'!P160="",ROW()-Fenetre&lt;6),"",IF(INDEX('Historique ajusté'!P:P,ROW()-Fenetre)="","",'Historique ajusté'!P160/INDEX('Historique ajusté'!P:P,ROW()-Fenetre)-1))</f>
        <v/>
      </c>
      <c r="Q160" s="34">
        <f>IF(OR(Composites!L160="",ROW()-Fenetre&lt;6),"",IF(INDEX(Composites!L:L,ROW()-Fenetre)="","",Composites!L160/INDEX(Composites!L:L,ROW()-Fenetre)-1))</f>
        <v/>
      </c>
      <c r="R160" s="34">
        <f>IF(OR(Composites!M160="",ROW()-Fenetre&lt;6),"",IF(INDEX(Composites!M:M,ROW()-Fenetre)="","",Composites!M160/INDEX(Composites!M:M,ROW()-Fenetre)-1))</f>
        <v/>
      </c>
      <c r="S160" s="34">
        <f>IF(OR(Composites!N160="",ROW()-Fenetre&lt;6),"",IF(INDEX(Composites!N:N,ROW()-Fenetre)="","",Composites!N160/INDEX(Composites!N:N,ROW()-Fenetre)-1))</f>
        <v/>
      </c>
      <c r="T160" s="34">
        <f>IF(OR(Composites!O160="",ROW()-Fenetre&lt;6),"",IF(INDEX(Composites!O:O,ROW()-Fenetre)="","",Composites!O160/INDEX(Composites!O:O,ROW()-Fenetre)-1))</f>
        <v/>
      </c>
      <c r="U160" s="34">
        <f>IF(OR(Composites!P160="",ROW()-Fenetre&lt;6),"",IF(INDEX(Composites!P:P,ROW()-Fenetre)="","",Composites!P160/INDEX(Composites!P:P,ROW()-Fenetre)-1))</f>
        <v/>
      </c>
      <c r="V160" s="34">
        <f>IF('Historique ajusté'!C160="","",'Historique ajusté'!C160/MAX('Historique ajusté'!C$6:C160)-1)</f>
        <v/>
      </c>
      <c r="W160" s="34">
        <f>IF('Historique ajusté'!D160="","",'Historique ajusté'!D160/MAX('Historique ajusté'!D$6:D160)-1)</f>
        <v/>
      </c>
      <c r="X160" s="34">
        <f>IF('Historique ajusté'!E160="","",'Historique ajusté'!E160/MAX('Historique ajusté'!E$6:E160)-1)</f>
        <v/>
      </c>
      <c r="Y160" s="34">
        <f>IF('Historique ajusté'!F160="","",'Historique ajusté'!F160/MAX('Historique ajusté'!F$6:F160)-1)</f>
        <v/>
      </c>
      <c r="Z160" s="34">
        <f>IF('Historique ajusté'!G160="","",'Historique ajusté'!G160/MAX('Historique ajusté'!G$6:G160)-1)</f>
        <v/>
      </c>
      <c r="AA160" s="34">
        <f>IF('Historique ajusté'!H160="","",'Historique ajusté'!H160/MAX('Historique ajusté'!H$6:H160)-1)</f>
        <v/>
      </c>
      <c r="AB160" s="34">
        <f>IF('Historique ajusté'!I160="","",'Historique ajusté'!I160/MAX('Historique ajusté'!I$6:I160)-1)</f>
        <v/>
      </c>
      <c r="AC160" s="34">
        <f>IF('Historique ajusté'!J160="","",'Historique ajusté'!J160/MAX('Historique ajusté'!J$6:J160)-1)</f>
        <v/>
      </c>
      <c r="AD160" s="34">
        <f>IF('Historique ajusté'!K160="","",'Historique ajusté'!K160/MAX('Historique ajusté'!K$6:K160)-1)</f>
        <v/>
      </c>
      <c r="AE160" s="34">
        <f>IF('Historique ajusté'!L160="","",'Historique ajusté'!L160/MAX('Historique ajusté'!L$6:L160)-1)</f>
        <v/>
      </c>
      <c r="AF160" s="34">
        <f>IF('Historique ajusté'!M160="","",'Historique ajusté'!M160/MAX('Historique ajusté'!M$6:M160)-1)</f>
        <v/>
      </c>
      <c r="AG160" s="34">
        <f>IF('Historique ajusté'!N160="","",'Historique ajusté'!N160/MAX('Historique ajusté'!N$6:N160)-1)</f>
        <v/>
      </c>
      <c r="AH160" s="34">
        <f>IF('Historique ajusté'!O160="","",'Historique ajusté'!O160/MAX('Historique ajusté'!O$6:O160)-1)</f>
        <v/>
      </c>
      <c r="AI160" s="34">
        <f>IF('Historique ajusté'!P160="","",'Historique ajusté'!P160/MAX('Historique ajusté'!P$6:P160)-1)</f>
        <v/>
      </c>
      <c r="AJ160" s="34">
        <f>IF(Composites!L160="","",Composites!L160/MAX(Composites!L$6:L160)-1)</f>
        <v/>
      </c>
      <c r="AK160" s="34">
        <f>IF(Composites!M160="","",Composites!M160/MAX(Composites!M$6:M160)-1)</f>
        <v/>
      </c>
      <c r="AL160" s="34">
        <f>IF(Composites!N160="","",Composites!N160/MAX(Composites!N$6:N160)-1)</f>
        <v/>
      </c>
      <c r="AM160" s="34">
        <f>IF(Composites!O160="","",Composites!O160/MAX(Composites!O$6:O160)-1)</f>
        <v/>
      </c>
      <c r="AN160" s="34">
        <f>IF(Composites!P160="","",Composites!P160/MAX(Composites!P$6:P160)-1)</f>
        <v/>
      </c>
    </row>
    <row r="161">
      <c r="B161" s="32">
        <f>'Historique ajusté'!B161</f>
        <v/>
      </c>
      <c r="C161" s="34">
        <f>IF(OR('Historique ajusté'!C161="",ROW()-Fenetre&lt;6),"",IF(INDEX('Historique ajusté'!C:C,ROW()-Fenetre)="","",'Historique ajusté'!C161/INDEX('Historique ajusté'!C:C,ROW()-Fenetre)-1))</f>
        <v/>
      </c>
      <c r="D161" s="34">
        <f>IF(OR('Historique ajusté'!D161="",ROW()-Fenetre&lt;6),"",IF(INDEX('Historique ajusté'!D:D,ROW()-Fenetre)="","",'Historique ajusté'!D161/INDEX('Historique ajusté'!D:D,ROW()-Fenetre)-1))</f>
        <v/>
      </c>
      <c r="E161" s="34">
        <f>IF(OR('Historique ajusté'!E161="",ROW()-Fenetre&lt;6),"",IF(INDEX('Historique ajusté'!E:E,ROW()-Fenetre)="","",'Historique ajusté'!E161/INDEX('Historique ajusté'!E:E,ROW()-Fenetre)-1))</f>
        <v/>
      </c>
      <c r="F161" s="34">
        <f>IF(OR('Historique ajusté'!F161="",ROW()-Fenetre&lt;6),"",IF(INDEX('Historique ajusté'!F:F,ROW()-Fenetre)="","",'Historique ajusté'!F161/INDEX('Historique ajusté'!F:F,ROW()-Fenetre)-1))</f>
        <v/>
      </c>
      <c r="G161" s="34">
        <f>IF(OR('Historique ajusté'!G161="",ROW()-Fenetre&lt;6),"",IF(INDEX('Historique ajusté'!G:G,ROW()-Fenetre)="","",'Historique ajusté'!G161/INDEX('Historique ajusté'!G:G,ROW()-Fenetre)-1))</f>
        <v/>
      </c>
      <c r="H161" s="34">
        <f>IF(OR('Historique ajusté'!H161="",ROW()-Fenetre&lt;6),"",IF(INDEX('Historique ajusté'!H:H,ROW()-Fenetre)="","",'Historique ajusté'!H161/INDEX('Historique ajusté'!H:H,ROW()-Fenetre)-1))</f>
        <v/>
      </c>
      <c r="I161" s="34">
        <f>IF(OR('Historique ajusté'!I161="",ROW()-Fenetre&lt;6),"",IF(INDEX('Historique ajusté'!I:I,ROW()-Fenetre)="","",'Historique ajusté'!I161/INDEX('Historique ajusté'!I:I,ROW()-Fenetre)-1))</f>
        <v/>
      </c>
      <c r="J161" s="34">
        <f>IF(OR('Historique ajusté'!J161="",ROW()-Fenetre&lt;6),"",IF(INDEX('Historique ajusté'!J:J,ROW()-Fenetre)="","",'Historique ajusté'!J161/INDEX('Historique ajusté'!J:J,ROW()-Fenetre)-1))</f>
        <v/>
      </c>
      <c r="K161" s="34">
        <f>IF(OR('Historique ajusté'!K161="",ROW()-Fenetre&lt;6),"",IF(INDEX('Historique ajusté'!K:K,ROW()-Fenetre)="","",'Historique ajusté'!K161/INDEX('Historique ajusté'!K:K,ROW()-Fenetre)-1))</f>
        <v/>
      </c>
      <c r="L161" s="34">
        <f>IF(OR('Historique ajusté'!L161="",ROW()-Fenetre&lt;6),"",IF(INDEX('Historique ajusté'!L:L,ROW()-Fenetre)="","",'Historique ajusté'!L161/INDEX('Historique ajusté'!L:L,ROW()-Fenetre)-1))</f>
        <v/>
      </c>
      <c r="M161" s="34">
        <f>IF(OR('Historique ajusté'!M161="",ROW()-Fenetre&lt;6),"",IF(INDEX('Historique ajusté'!M:M,ROW()-Fenetre)="","",'Historique ajusté'!M161/INDEX('Historique ajusté'!M:M,ROW()-Fenetre)-1))</f>
        <v/>
      </c>
      <c r="N161" s="34">
        <f>IF(OR('Historique ajusté'!N161="",ROW()-Fenetre&lt;6),"",IF(INDEX('Historique ajusté'!N:N,ROW()-Fenetre)="","",'Historique ajusté'!N161/INDEX('Historique ajusté'!N:N,ROW()-Fenetre)-1))</f>
        <v/>
      </c>
      <c r="O161" s="34">
        <f>IF(OR('Historique ajusté'!O161="",ROW()-Fenetre&lt;6),"",IF(INDEX('Historique ajusté'!O:O,ROW()-Fenetre)="","",'Historique ajusté'!O161/INDEX('Historique ajusté'!O:O,ROW()-Fenetre)-1))</f>
        <v/>
      </c>
      <c r="P161" s="34">
        <f>IF(OR('Historique ajusté'!P161="",ROW()-Fenetre&lt;6),"",IF(INDEX('Historique ajusté'!P:P,ROW()-Fenetre)="","",'Historique ajusté'!P161/INDEX('Historique ajusté'!P:P,ROW()-Fenetre)-1))</f>
        <v/>
      </c>
      <c r="Q161" s="34">
        <f>IF(OR(Composites!L161="",ROW()-Fenetre&lt;6),"",IF(INDEX(Composites!L:L,ROW()-Fenetre)="","",Composites!L161/INDEX(Composites!L:L,ROW()-Fenetre)-1))</f>
        <v/>
      </c>
      <c r="R161" s="34">
        <f>IF(OR(Composites!M161="",ROW()-Fenetre&lt;6),"",IF(INDEX(Composites!M:M,ROW()-Fenetre)="","",Composites!M161/INDEX(Composites!M:M,ROW()-Fenetre)-1))</f>
        <v/>
      </c>
      <c r="S161" s="34">
        <f>IF(OR(Composites!N161="",ROW()-Fenetre&lt;6),"",IF(INDEX(Composites!N:N,ROW()-Fenetre)="","",Composites!N161/INDEX(Composites!N:N,ROW()-Fenetre)-1))</f>
        <v/>
      </c>
      <c r="T161" s="34">
        <f>IF(OR(Composites!O161="",ROW()-Fenetre&lt;6),"",IF(INDEX(Composites!O:O,ROW()-Fenetre)="","",Composites!O161/INDEX(Composites!O:O,ROW()-Fenetre)-1))</f>
        <v/>
      </c>
      <c r="U161" s="34">
        <f>IF(OR(Composites!P161="",ROW()-Fenetre&lt;6),"",IF(INDEX(Composites!P:P,ROW()-Fenetre)="","",Composites!P161/INDEX(Composites!P:P,ROW()-Fenetre)-1))</f>
        <v/>
      </c>
      <c r="V161" s="34">
        <f>IF('Historique ajusté'!C161="","",'Historique ajusté'!C161/MAX('Historique ajusté'!C$6:C161)-1)</f>
        <v/>
      </c>
      <c r="W161" s="34">
        <f>IF('Historique ajusté'!D161="","",'Historique ajusté'!D161/MAX('Historique ajusté'!D$6:D161)-1)</f>
        <v/>
      </c>
      <c r="X161" s="34">
        <f>IF('Historique ajusté'!E161="","",'Historique ajusté'!E161/MAX('Historique ajusté'!E$6:E161)-1)</f>
        <v/>
      </c>
      <c r="Y161" s="34">
        <f>IF('Historique ajusté'!F161="","",'Historique ajusté'!F161/MAX('Historique ajusté'!F$6:F161)-1)</f>
        <v/>
      </c>
      <c r="Z161" s="34">
        <f>IF('Historique ajusté'!G161="","",'Historique ajusté'!G161/MAX('Historique ajusté'!G$6:G161)-1)</f>
        <v/>
      </c>
      <c r="AA161" s="34">
        <f>IF('Historique ajusté'!H161="","",'Historique ajusté'!H161/MAX('Historique ajusté'!H$6:H161)-1)</f>
        <v/>
      </c>
      <c r="AB161" s="34">
        <f>IF('Historique ajusté'!I161="","",'Historique ajusté'!I161/MAX('Historique ajusté'!I$6:I161)-1)</f>
        <v/>
      </c>
      <c r="AC161" s="34">
        <f>IF('Historique ajusté'!J161="","",'Historique ajusté'!J161/MAX('Historique ajusté'!J$6:J161)-1)</f>
        <v/>
      </c>
      <c r="AD161" s="34">
        <f>IF('Historique ajusté'!K161="","",'Historique ajusté'!K161/MAX('Historique ajusté'!K$6:K161)-1)</f>
        <v/>
      </c>
      <c r="AE161" s="34">
        <f>IF('Historique ajusté'!L161="","",'Historique ajusté'!L161/MAX('Historique ajusté'!L$6:L161)-1)</f>
        <v/>
      </c>
      <c r="AF161" s="34">
        <f>IF('Historique ajusté'!M161="","",'Historique ajusté'!M161/MAX('Historique ajusté'!M$6:M161)-1)</f>
        <v/>
      </c>
      <c r="AG161" s="34">
        <f>IF('Historique ajusté'!N161="","",'Historique ajusté'!N161/MAX('Historique ajusté'!N$6:N161)-1)</f>
        <v/>
      </c>
      <c r="AH161" s="34">
        <f>IF('Historique ajusté'!O161="","",'Historique ajusté'!O161/MAX('Historique ajusté'!O$6:O161)-1)</f>
        <v/>
      </c>
      <c r="AI161" s="34">
        <f>IF('Historique ajusté'!P161="","",'Historique ajusté'!P161/MAX('Historique ajusté'!P$6:P161)-1)</f>
        <v/>
      </c>
      <c r="AJ161" s="34">
        <f>IF(Composites!L161="","",Composites!L161/MAX(Composites!L$6:L161)-1)</f>
        <v/>
      </c>
      <c r="AK161" s="34">
        <f>IF(Composites!M161="","",Composites!M161/MAX(Composites!M$6:M161)-1)</f>
        <v/>
      </c>
      <c r="AL161" s="34">
        <f>IF(Composites!N161="","",Composites!N161/MAX(Composites!N$6:N161)-1)</f>
        <v/>
      </c>
      <c r="AM161" s="34">
        <f>IF(Composites!O161="","",Composites!O161/MAX(Composites!O$6:O161)-1)</f>
        <v/>
      </c>
      <c r="AN161" s="34">
        <f>IF(Composites!P161="","",Composites!P161/MAX(Composites!P$6:P161)-1)</f>
        <v/>
      </c>
    </row>
    <row r="162">
      <c r="B162" s="32">
        <f>'Historique ajusté'!B162</f>
        <v/>
      </c>
      <c r="C162" s="34">
        <f>IF(OR('Historique ajusté'!C162="",ROW()-Fenetre&lt;6),"",IF(INDEX('Historique ajusté'!C:C,ROW()-Fenetre)="","",'Historique ajusté'!C162/INDEX('Historique ajusté'!C:C,ROW()-Fenetre)-1))</f>
        <v/>
      </c>
      <c r="D162" s="34">
        <f>IF(OR('Historique ajusté'!D162="",ROW()-Fenetre&lt;6),"",IF(INDEX('Historique ajusté'!D:D,ROW()-Fenetre)="","",'Historique ajusté'!D162/INDEX('Historique ajusté'!D:D,ROW()-Fenetre)-1))</f>
        <v/>
      </c>
      <c r="E162" s="34">
        <f>IF(OR('Historique ajusté'!E162="",ROW()-Fenetre&lt;6),"",IF(INDEX('Historique ajusté'!E:E,ROW()-Fenetre)="","",'Historique ajusté'!E162/INDEX('Historique ajusté'!E:E,ROW()-Fenetre)-1))</f>
        <v/>
      </c>
      <c r="F162" s="34">
        <f>IF(OR('Historique ajusté'!F162="",ROW()-Fenetre&lt;6),"",IF(INDEX('Historique ajusté'!F:F,ROW()-Fenetre)="","",'Historique ajusté'!F162/INDEX('Historique ajusté'!F:F,ROW()-Fenetre)-1))</f>
        <v/>
      </c>
      <c r="G162" s="34">
        <f>IF(OR('Historique ajusté'!G162="",ROW()-Fenetre&lt;6),"",IF(INDEX('Historique ajusté'!G:G,ROW()-Fenetre)="","",'Historique ajusté'!G162/INDEX('Historique ajusté'!G:G,ROW()-Fenetre)-1))</f>
        <v/>
      </c>
      <c r="H162" s="34">
        <f>IF(OR('Historique ajusté'!H162="",ROW()-Fenetre&lt;6),"",IF(INDEX('Historique ajusté'!H:H,ROW()-Fenetre)="","",'Historique ajusté'!H162/INDEX('Historique ajusté'!H:H,ROW()-Fenetre)-1))</f>
        <v/>
      </c>
      <c r="I162" s="34">
        <f>IF(OR('Historique ajusté'!I162="",ROW()-Fenetre&lt;6),"",IF(INDEX('Historique ajusté'!I:I,ROW()-Fenetre)="","",'Historique ajusté'!I162/INDEX('Historique ajusté'!I:I,ROW()-Fenetre)-1))</f>
        <v/>
      </c>
      <c r="J162" s="34">
        <f>IF(OR('Historique ajusté'!J162="",ROW()-Fenetre&lt;6),"",IF(INDEX('Historique ajusté'!J:J,ROW()-Fenetre)="","",'Historique ajusté'!J162/INDEX('Historique ajusté'!J:J,ROW()-Fenetre)-1))</f>
        <v/>
      </c>
      <c r="K162" s="34">
        <f>IF(OR('Historique ajusté'!K162="",ROW()-Fenetre&lt;6),"",IF(INDEX('Historique ajusté'!K:K,ROW()-Fenetre)="","",'Historique ajusté'!K162/INDEX('Historique ajusté'!K:K,ROW()-Fenetre)-1))</f>
        <v/>
      </c>
      <c r="L162" s="34">
        <f>IF(OR('Historique ajusté'!L162="",ROW()-Fenetre&lt;6),"",IF(INDEX('Historique ajusté'!L:L,ROW()-Fenetre)="","",'Historique ajusté'!L162/INDEX('Historique ajusté'!L:L,ROW()-Fenetre)-1))</f>
        <v/>
      </c>
      <c r="M162" s="34">
        <f>IF(OR('Historique ajusté'!M162="",ROW()-Fenetre&lt;6),"",IF(INDEX('Historique ajusté'!M:M,ROW()-Fenetre)="","",'Historique ajusté'!M162/INDEX('Historique ajusté'!M:M,ROW()-Fenetre)-1))</f>
        <v/>
      </c>
      <c r="N162" s="34">
        <f>IF(OR('Historique ajusté'!N162="",ROW()-Fenetre&lt;6),"",IF(INDEX('Historique ajusté'!N:N,ROW()-Fenetre)="","",'Historique ajusté'!N162/INDEX('Historique ajusté'!N:N,ROW()-Fenetre)-1))</f>
        <v/>
      </c>
      <c r="O162" s="34">
        <f>IF(OR('Historique ajusté'!O162="",ROW()-Fenetre&lt;6),"",IF(INDEX('Historique ajusté'!O:O,ROW()-Fenetre)="","",'Historique ajusté'!O162/INDEX('Historique ajusté'!O:O,ROW()-Fenetre)-1))</f>
        <v/>
      </c>
      <c r="P162" s="34">
        <f>IF(OR('Historique ajusté'!P162="",ROW()-Fenetre&lt;6),"",IF(INDEX('Historique ajusté'!P:P,ROW()-Fenetre)="","",'Historique ajusté'!P162/INDEX('Historique ajusté'!P:P,ROW()-Fenetre)-1))</f>
        <v/>
      </c>
      <c r="Q162" s="34">
        <f>IF(OR(Composites!L162="",ROW()-Fenetre&lt;6),"",IF(INDEX(Composites!L:L,ROW()-Fenetre)="","",Composites!L162/INDEX(Composites!L:L,ROW()-Fenetre)-1))</f>
        <v/>
      </c>
      <c r="R162" s="34">
        <f>IF(OR(Composites!M162="",ROW()-Fenetre&lt;6),"",IF(INDEX(Composites!M:M,ROW()-Fenetre)="","",Composites!M162/INDEX(Composites!M:M,ROW()-Fenetre)-1))</f>
        <v/>
      </c>
      <c r="S162" s="34">
        <f>IF(OR(Composites!N162="",ROW()-Fenetre&lt;6),"",IF(INDEX(Composites!N:N,ROW()-Fenetre)="","",Composites!N162/INDEX(Composites!N:N,ROW()-Fenetre)-1))</f>
        <v/>
      </c>
      <c r="T162" s="34">
        <f>IF(OR(Composites!O162="",ROW()-Fenetre&lt;6),"",IF(INDEX(Composites!O:O,ROW()-Fenetre)="","",Composites!O162/INDEX(Composites!O:O,ROW()-Fenetre)-1))</f>
        <v/>
      </c>
      <c r="U162" s="34">
        <f>IF(OR(Composites!P162="",ROW()-Fenetre&lt;6),"",IF(INDEX(Composites!P:P,ROW()-Fenetre)="","",Composites!P162/INDEX(Composites!P:P,ROW()-Fenetre)-1))</f>
        <v/>
      </c>
      <c r="V162" s="34">
        <f>IF('Historique ajusté'!C162="","",'Historique ajusté'!C162/MAX('Historique ajusté'!C$6:C162)-1)</f>
        <v/>
      </c>
      <c r="W162" s="34">
        <f>IF('Historique ajusté'!D162="","",'Historique ajusté'!D162/MAX('Historique ajusté'!D$6:D162)-1)</f>
        <v/>
      </c>
      <c r="X162" s="34">
        <f>IF('Historique ajusté'!E162="","",'Historique ajusté'!E162/MAX('Historique ajusté'!E$6:E162)-1)</f>
        <v/>
      </c>
      <c r="Y162" s="34">
        <f>IF('Historique ajusté'!F162="","",'Historique ajusté'!F162/MAX('Historique ajusté'!F$6:F162)-1)</f>
        <v/>
      </c>
      <c r="Z162" s="34">
        <f>IF('Historique ajusté'!G162="","",'Historique ajusté'!G162/MAX('Historique ajusté'!G$6:G162)-1)</f>
        <v/>
      </c>
      <c r="AA162" s="34">
        <f>IF('Historique ajusté'!H162="","",'Historique ajusté'!H162/MAX('Historique ajusté'!H$6:H162)-1)</f>
        <v/>
      </c>
      <c r="AB162" s="34">
        <f>IF('Historique ajusté'!I162="","",'Historique ajusté'!I162/MAX('Historique ajusté'!I$6:I162)-1)</f>
        <v/>
      </c>
      <c r="AC162" s="34">
        <f>IF('Historique ajusté'!J162="","",'Historique ajusté'!J162/MAX('Historique ajusté'!J$6:J162)-1)</f>
        <v/>
      </c>
      <c r="AD162" s="34">
        <f>IF('Historique ajusté'!K162="","",'Historique ajusté'!K162/MAX('Historique ajusté'!K$6:K162)-1)</f>
        <v/>
      </c>
      <c r="AE162" s="34">
        <f>IF('Historique ajusté'!L162="","",'Historique ajusté'!L162/MAX('Historique ajusté'!L$6:L162)-1)</f>
        <v/>
      </c>
      <c r="AF162" s="34">
        <f>IF('Historique ajusté'!M162="","",'Historique ajusté'!M162/MAX('Historique ajusté'!M$6:M162)-1)</f>
        <v/>
      </c>
      <c r="AG162" s="34">
        <f>IF('Historique ajusté'!N162="","",'Historique ajusté'!N162/MAX('Historique ajusté'!N$6:N162)-1)</f>
        <v/>
      </c>
      <c r="AH162" s="34">
        <f>IF('Historique ajusté'!O162="","",'Historique ajusté'!O162/MAX('Historique ajusté'!O$6:O162)-1)</f>
        <v/>
      </c>
      <c r="AI162" s="34">
        <f>IF('Historique ajusté'!P162="","",'Historique ajusté'!P162/MAX('Historique ajusté'!P$6:P162)-1)</f>
        <v/>
      </c>
      <c r="AJ162" s="34">
        <f>IF(Composites!L162="","",Composites!L162/MAX(Composites!L$6:L162)-1)</f>
        <v/>
      </c>
      <c r="AK162" s="34">
        <f>IF(Composites!M162="","",Composites!M162/MAX(Composites!M$6:M162)-1)</f>
        <v/>
      </c>
      <c r="AL162" s="34">
        <f>IF(Composites!N162="","",Composites!N162/MAX(Composites!N$6:N162)-1)</f>
        <v/>
      </c>
      <c r="AM162" s="34">
        <f>IF(Composites!O162="","",Composites!O162/MAX(Composites!O$6:O162)-1)</f>
        <v/>
      </c>
      <c r="AN162" s="34">
        <f>IF(Composites!P162="","",Composites!P162/MAX(Composites!P$6:P162)-1)</f>
        <v/>
      </c>
    </row>
    <row r="163">
      <c r="B163" s="32">
        <f>'Historique ajusté'!B163</f>
        <v/>
      </c>
      <c r="C163" s="34">
        <f>IF(OR('Historique ajusté'!C163="",ROW()-Fenetre&lt;6),"",IF(INDEX('Historique ajusté'!C:C,ROW()-Fenetre)="","",'Historique ajusté'!C163/INDEX('Historique ajusté'!C:C,ROW()-Fenetre)-1))</f>
        <v/>
      </c>
      <c r="D163" s="34">
        <f>IF(OR('Historique ajusté'!D163="",ROW()-Fenetre&lt;6),"",IF(INDEX('Historique ajusté'!D:D,ROW()-Fenetre)="","",'Historique ajusté'!D163/INDEX('Historique ajusté'!D:D,ROW()-Fenetre)-1))</f>
        <v/>
      </c>
      <c r="E163" s="34">
        <f>IF(OR('Historique ajusté'!E163="",ROW()-Fenetre&lt;6),"",IF(INDEX('Historique ajusté'!E:E,ROW()-Fenetre)="","",'Historique ajusté'!E163/INDEX('Historique ajusté'!E:E,ROW()-Fenetre)-1))</f>
        <v/>
      </c>
      <c r="F163" s="34">
        <f>IF(OR('Historique ajusté'!F163="",ROW()-Fenetre&lt;6),"",IF(INDEX('Historique ajusté'!F:F,ROW()-Fenetre)="","",'Historique ajusté'!F163/INDEX('Historique ajusté'!F:F,ROW()-Fenetre)-1))</f>
        <v/>
      </c>
      <c r="G163" s="34">
        <f>IF(OR('Historique ajusté'!G163="",ROW()-Fenetre&lt;6),"",IF(INDEX('Historique ajusté'!G:G,ROW()-Fenetre)="","",'Historique ajusté'!G163/INDEX('Historique ajusté'!G:G,ROW()-Fenetre)-1))</f>
        <v/>
      </c>
      <c r="H163" s="34">
        <f>IF(OR('Historique ajusté'!H163="",ROW()-Fenetre&lt;6),"",IF(INDEX('Historique ajusté'!H:H,ROW()-Fenetre)="","",'Historique ajusté'!H163/INDEX('Historique ajusté'!H:H,ROW()-Fenetre)-1))</f>
        <v/>
      </c>
      <c r="I163" s="34">
        <f>IF(OR('Historique ajusté'!I163="",ROW()-Fenetre&lt;6),"",IF(INDEX('Historique ajusté'!I:I,ROW()-Fenetre)="","",'Historique ajusté'!I163/INDEX('Historique ajusté'!I:I,ROW()-Fenetre)-1))</f>
        <v/>
      </c>
      <c r="J163" s="34">
        <f>IF(OR('Historique ajusté'!J163="",ROW()-Fenetre&lt;6),"",IF(INDEX('Historique ajusté'!J:J,ROW()-Fenetre)="","",'Historique ajusté'!J163/INDEX('Historique ajusté'!J:J,ROW()-Fenetre)-1))</f>
        <v/>
      </c>
      <c r="K163" s="34">
        <f>IF(OR('Historique ajusté'!K163="",ROW()-Fenetre&lt;6),"",IF(INDEX('Historique ajusté'!K:K,ROW()-Fenetre)="","",'Historique ajusté'!K163/INDEX('Historique ajusté'!K:K,ROW()-Fenetre)-1))</f>
        <v/>
      </c>
      <c r="L163" s="34">
        <f>IF(OR('Historique ajusté'!L163="",ROW()-Fenetre&lt;6),"",IF(INDEX('Historique ajusté'!L:L,ROW()-Fenetre)="","",'Historique ajusté'!L163/INDEX('Historique ajusté'!L:L,ROW()-Fenetre)-1))</f>
        <v/>
      </c>
      <c r="M163" s="34">
        <f>IF(OR('Historique ajusté'!M163="",ROW()-Fenetre&lt;6),"",IF(INDEX('Historique ajusté'!M:M,ROW()-Fenetre)="","",'Historique ajusté'!M163/INDEX('Historique ajusté'!M:M,ROW()-Fenetre)-1))</f>
        <v/>
      </c>
      <c r="N163" s="34">
        <f>IF(OR('Historique ajusté'!N163="",ROW()-Fenetre&lt;6),"",IF(INDEX('Historique ajusté'!N:N,ROW()-Fenetre)="","",'Historique ajusté'!N163/INDEX('Historique ajusté'!N:N,ROW()-Fenetre)-1))</f>
        <v/>
      </c>
      <c r="O163" s="34">
        <f>IF(OR('Historique ajusté'!O163="",ROW()-Fenetre&lt;6),"",IF(INDEX('Historique ajusté'!O:O,ROW()-Fenetre)="","",'Historique ajusté'!O163/INDEX('Historique ajusté'!O:O,ROW()-Fenetre)-1))</f>
        <v/>
      </c>
      <c r="P163" s="34">
        <f>IF(OR('Historique ajusté'!P163="",ROW()-Fenetre&lt;6),"",IF(INDEX('Historique ajusté'!P:P,ROW()-Fenetre)="","",'Historique ajusté'!P163/INDEX('Historique ajusté'!P:P,ROW()-Fenetre)-1))</f>
        <v/>
      </c>
      <c r="Q163" s="34">
        <f>IF(OR(Composites!L163="",ROW()-Fenetre&lt;6),"",IF(INDEX(Composites!L:L,ROW()-Fenetre)="","",Composites!L163/INDEX(Composites!L:L,ROW()-Fenetre)-1))</f>
        <v/>
      </c>
      <c r="R163" s="34">
        <f>IF(OR(Composites!M163="",ROW()-Fenetre&lt;6),"",IF(INDEX(Composites!M:M,ROW()-Fenetre)="","",Composites!M163/INDEX(Composites!M:M,ROW()-Fenetre)-1))</f>
        <v/>
      </c>
      <c r="S163" s="34">
        <f>IF(OR(Composites!N163="",ROW()-Fenetre&lt;6),"",IF(INDEX(Composites!N:N,ROW()-Fenetre)="","",Composites!N163/INDEX(Composites!N:N,ROW()-Fenetre)-1))</f>
        <v/>
      </c>
      <c r="T163" s="34">
        <f>IF(OR(Composites!O163="",ROW()-Fenetre&lt;6),"",IF(INDEX(Composites!O:O,ROW()-Fenetre)="","",Composites!O163/INDEX(Composites!O:O,ROW()-Fenetre)-1))</f>
        <v/>
      </c>
      <c r="U163" s="34">
        <f>IF(OR(Composites!P163="",ROW()-Fenetre&lt;6),"",IF(INDEX(Composites!P:P,ROW()-Fenetre)="","",Composites!P163/INDEX(Composites!P:P,ROW()-Fenetre)-1))</f>
        <v/>
      </c>
      <c r="V163" s="34">
        <f>IF('Historique ajusté'!C163="","",'Historique ajusté'!C163/MAX('Historique ajusté'!C$6:C163)-1)</f>
        <v/>
      </c>
      <c r="W163" s="34">
        <f>IF('Historique ajusté'!D163="","",'Historique ajusté'!D163/MAX('Historique ajusté'!D$6:D163)-1)</f>
        <v/>
      </c>
      <c r="X163" s="34">
        <f>IF('Historique ajusté'!E163="","",'Historique ajusté'!E163/MAX('Historique ajusté'!E$6:E163)-1)</f>
        <v/>
      </c>
      <c r="Y163" s="34">
        <f>IF('Historique ajusté'!F163="","",'Historique ajusté'!F163/MAX('Historique ajusté'!F$6:F163)-1)</f>
        <v/>
      </c>
      <c r="Z163" s="34">
        <f>IF('Historique ajusté'!G163="","",'Historique ajusté'!G163/MAX('Historique ajusté'!G$6:G163)-1)</f>
        <v/>
      </c>
      <c r="AA163" s="34">
        <f>IF('Historique ajusté'!H163="","",'Historique ajusté'!H163/MAX('Historique ajusté'!H$6:H163)-1)</f>
        <v/>
      </c>
      <c r="AB163" s="34">
        <f>IF('Historique ajusté'!I163="","",'Historique ajusté'!I163/MAX('Historique ajusté'!I$6:I163)-1)</f>
        <v/>
      </c>
      <c r="AC163" s="34">
        <f>IF('Historique ajusté'!J163="","",'Historique ajusté'!J163/MAX('Historique ajusté'!J$6:J163)-1)</f>
        <v/>
      </c>
      <c r="AD163" s="34">
        <f>IF('Historique ajusté'!K163="","",'Historique ajusté'!K163/MAX('Historique ajusté'!K$6:K163)-1)</f>
        <v/>
      </c>
      <c r="AE163" s="34">
        <f>IF('Historique ajusté'!L163="","",'Historique ajusté'!L163/MAX('Historique ajusté'!L$6:L163)-1)</f>
        <v/>
      </c>
      <c r="AF163" s="34">
        <f>IF('Historique ajusté'!M163="","",'Historique ajusté'!M163/MAX('Historique ajusté'!M$6:M163)-1)</f>
        <v/>
      </c>
      <c r="AG163" s="34">
        <f>IF('Historique ajusté'!N163="","",'Historique ajusté'!N163/MAX('Historique ajusté'!N$6:N163)-1)</f>
        <v/>
      </c>
      <c r="AH163" s="34">
        <f>IF('Historique ajusté'!O163="","",'Historique ajusté'!O163/MAX('Historique ajusté'!O$6:O163)-1)</f>
        <v/>
      </c>
      <c r="AI163" s="34">
        <f>IF('Historique ajusté'!P163="","",'Historique ajusté'!P163/MAX('Historique ajusté'!P$6:P163)-1)</f>
        <v/>
      </c>
      <c r="AJ163" s="34">
        <f>IF(Composites!L163="","",Composites!L163/MAX(Composites!L$6:L163)-1)</f>
        <v/>
      </c>
      <c r="AK163" s="34">
        <f>IF(Composites!M163="","",Composites!M163/MAX(Composites!M$6:M163)-1)</f>
        <v/>
      </c>
      <c r="AL163" s="34">
        <f>IF(Composites!N163="","",Composites!N163/MAX(Composites!N$6:N163)-1)</f>
        <v/>
      </c>
      <c r="AM163" s="34">
        <f>IF(Composites!O163="","",Composites!O163/MAX(Composites!O$6:O163)-1)</f>
        <v/>
      </c>
      <c r="AN163" s="34">
        <f>IF(Composites!P163="","",Composites!P163/MAX(Composites!P$6:P163)-1)</f>
        <v/>
      </c>
    </row>
    <row r="164">
      <c r="B164" s="32">
        <f>'Historique ajusté'!B164</f>
        <v/>
      </c>
      <c r="C164" s="34">
        <f>IF(OR('Historique ajusté'!C164="",ROW()-Fenetre&lt;6),"",IF(INDEX('Historique ajusté'!C:C,ROW()-Fenetre)="","",'Historique ajusté'!C164/INDEX('Historique ajusté'!C:C,ROW()-Fenetre)-1))</f>
        <v/>
      </c>
      <c r="D164" s="34">
        <f>IF(OR('Historique ajusté'!D164="",ROW()-Fenetre&lt;6),"",IF(INDEX('Historique ajusté'!D:D,ROW()-Fenetre)="","",'Historique ajusté'!D164/INDEX('Historique ajusté'!D:D,ROW()-Fenetre)-1))</f>
        <v/>
      </c>
      <c r="E164" s="34">
        <f>IF(OR('Historique ajusté'!E164="",ROW()-Fenetre&lt;6),"",IF(INDEX('Historique ajusté'!E:E,ROW()-Fenetre)="","",'Historique ajusté'!E164/INDEX('Historique ajusté'!E:E,ROW()-Fenetre)-1))</f>
        <v/>
      </c>
      <c r="F164" s="34">
        <f>IF(OR('Historique ajusté'!F164="",ROW()-Fenetre&lt;6),"",IF(INDEX('Historique ajusté'!F:F,ROW()-Fenetre)="","",'Historique ajusté'!F164/INDEX('Historique ajusté'!F:F,ROW()-Fenetre)-1))</f>
        <v/>
      </c>
      <c r="G164" s="34">
        <f>IF(OR('Historique ajusté'!G164="",ROW()-Fenetre&lt;6),"",IF(INDEX('Historique ajusté'!G:G,ROW()-Fenetre)="","",'Historique ajusté'!G164/INDEX('Historique ajusté'!G:G,ROW()-Fenetre)-1))</f>
        <v/>
      </c>
      <c r="H164" s="34">
        <f>IF(OR('Historique ajusté'!H164="",ROW()-Fenetre&lt;6),"",IF(INDEX('Historique ajusté'!H:H,ROW()-Fenetre)="","",'Historique ajusté'!H164/INDEX('Historique ajusté'!H:H,ROW()-Fenetre)-1))</f>
        <v/>
      </c>
      <c r="I164" s="34">
        <f>IF(OR('Historique ajusté'!I164="",ROW()-Fenetre&lt;6),"",IF(INDEX('Historique ajusté'!I:I,ROW()-Fenetre)="","",'Historique ajusté'!I164/INDEX('Historique ajusté'!I:I,ROW()-Fenetre)-1))</f>
        <v/>
      </c>
      <c r="J164" s="34">
        <f>IF(OR('Historique ajusté'!J164="",ROW()-Fenetre&lt;6),"",IF(INDEX('Historique ajusté'!J:J,ROW()-Fenetre)="","",'Historique ajusté'!J164/INDEX('Historique ajusté'!J:J,ROW()-Fenetre)-1))</f>
        <v/>
      </c>
      <c r="K164" s="34">
        <f>IF(OR('Historique ajusté'!K164="",ROW()-Fenetre&lt;6),"",IF(INDEX('Historique ajusté'!K:K,ROW()-Fenetre)="","",'Historique ajusté'!K164/INDEX('Historique ajusté'!K:K,ROW()-Fenetre)-1))</f>
        <v/>
      </c>
      <c r="L164" s="34">
        <f>IF(OR('Historique ajusté'!L164="",ROW()-Fenetre&lt;6),"",IF(INDEX('Historique ajusté'!L:L,ROW()-Fenetre)="","",'Historique ajusté'!L164/INDEX('Historique ajusté'!L:L,ROW()-Fenetre)-1))</f>
        <v/>
      </c>
      <c r="M164" s="34">
        <f>IF(OR('Historique ajusté'!M164="",ROW()-Fenetre&lt;6),"",IF(INDEX('Historique ajusté'!M:M,ROW()-Fenetre)="","",'Historique ajusté'!M164/INDEX('Historique ajusté'!M:M,ROW()-Fenetre)-1))</f>
        <v/>
      </c>
      <c r="N164" s="34">
        <f>IF(OR('Historique ajusté'!N164="",ROW()-Fenetre&lt;6),"",IF(INDEX('Historique ajusté'!N:N,ROW()-Fenetre)="","",'Historique ajusté'!N164/INDEX('Historique ajusté'!N:N,ROW()-Fenetre)-1))</f>
        <v/>
      </c>
      <c r="O164" s="34">
        <f>IF(OR('Historique ajusté'!O164="",ROW()-Fenetre&lt;6),"",IF(INDEX('Historique ajusté'!O:O,ROW()-Fenetre)="","",'Historique ajusté'!O164/INDEX('Historique ajusté'!O:O,ROW()-Fenetre)-1))</f>
        <v/>
      </c>
      <c r="P164" s="34">
        <f>IF(OR('Historique ajusté'!P164="",ROW()-Fenetre&lt;6),"",IF(INDEX('Historique ajusté'!P:P,ROW()-Fenetre)="","",'Historique ajusté'!P164/INDEX('Historique ajusté'!P:P,ROW()-Fenetre)-1))</f>
        <v/>
      </c>
      <c r="Q164" s="34">
        <f>IF(OR(Composites!L164="",ROW()-Fenetre&lt;6),"",IF(INDEX(Composites!L:L,ROW()-Fenetre)="","",Composites!L164/INDEX(Composites!L:L,ROW()-Fenetre)-1))</f>
        <v/>
      </c>
      <c r="R164" s="34">
        <f>IF(OR(Composites!M164="",ROW()-Fenetre&lt;6),"",IF(INDEX(Composites!M:M,ROW()-Fenetre)="","",Composites!M164/INDEX(Composites!M:M,ROW()-Fenetre)-1))</f>
        <v/>
      </c>
      <c r="S164" s="34">
        <f>IF(OR(Composites!N164="",ROW()-Fenetre&lt;6),"",IF(INDEX(Composites!N:N,ROW()-Fenetre)="","",Composites!N164/INDEX(Composites!N:N,ROW()-Fenetre)-1))</f>
        <v/>
      </c>
      <c r="T164" s="34">
        <f>IF(OR(Composites!O164="",ROW()-Fenetre&lt;6),"",IF(INDEX(Composites!O:O,ROW()-Fenetre)="","",Composites!O164/INDEX(Composites!O:O,ROW()-Fenetre)-1))</f>
        <v/>
      </c>
      <c r="U164" s="34">
        <f>IF(OR(Composites!P164="",ROW()-Fenetre&lt;6),"",IF(INDEX(Composites!P:P,ROW()-Fenetre)="","",Composites!P164/INDEX(Composites!P:P,ROW()-Fenetre)-1))</f>
        <v/>
      </c>
      <c r="V164" s="34">
        <f>IF('Historique ajusté'!C164="","",'Historique ajusté'!C164/MAX('Historique ajusté'!C$6:C164)-1)</f>
        <v/>
      </c>
      <c r="W164" s="34">
        <f>IF('Historique ajusté'!D164="","",'Historique ajusté'!D164/MAX('Historique ajusté'!D$6:D164)-1)</f>
        <v/>
      </c>
      <c r="X164" s="34">
        <f>IF('Historique ajusté'!E164="","",'Historique ajusté'!E164/MAX('Historique ajusté'!E$6:E164)-1)</f>
        <v/>
      </c>
      <c r="Y164" s="34">
        <f>IF('Historique ajusté'!F164="","",'Historique ajusté'!F164/MAX('Historique ajusté'!F$6:F164)-1)</f>
        <v/>
      </c>
      <c r="Z164" s="34">
        <f>IF('Historique ajusté'!G164="","",'Historique ajusté'!G164/MAX('Historique ajusté'!G$6:G164)-1)</f>
        <v/>
      </c>
      <c r="AA164" s="34">
        <f>IF('Historique ajusté'!H164="","",'Historique ajusté'!H164/MAX('Historique ajusté'!H$6:H164)-1)</f>
        <v/>
      </c>
      <c r="AB164" s="34">
        <f>IF('Historique ajusté'!I164="","",'Historique ajusté'!I164/MAX('Historique ajusté'!I$6:I164)-1)</f>
        <v/>
      </c>
      <c r="AC164" s="34">
        <f>IF('Historique ajusté'!J164="","",'Historique ajusté'!J164/MAX('Historique ajusté'!J$6:J164)-1)</f>
        <v/>
      </c>
      <c r="AD164" s="34">
        <f>IF('Historique ajusté'!K164="","",'Historique ajusté'!K164/MAX('Historique ajusté'!K$6:K164)-1)</f>
        <v/>
      </c>
      <c r="AE164" s="34">
        <f>IF('Historique ajusté'!L164="","",'Historique ajusté'!L164/MAX('Historique ajusté'!L$6:L164)-1)</f>
        <v/>
      </c>
      <c r="AF164" s="34">
        <f>IF('Historique ajusté'!M164="","",'Historique ajusté'!M164/MAX('Historique ajusté'!M$6:M164)-1)</f>
        <v/>
      </c>
      <c r="AG164" s="34">
        <f>IF('Historique ajusté'!N164="","",'Historique ajusté'!N164/MAX('Historique ajusté'!N$6:N164)-1)</f>
        <v/>
      </c>
      <c r="AH164" s="34">
        <f>IF('Historique ajusté'!O164="","",'Historique ajusté'!O164/MAX('Historique ajusté'!O$6:O164)-1)</f>
        <v/>
      </c>
      <c r="AI164" s="34">
        <f>IF('Historique ajusté'!P164="","",'Historique ajusté'!P164/MAX('Historique ajusté'!P$6:P164)-1)</f>
        <v/>
      </c>
      <c r="AJ164" s="34">
        <f>IF(Composites!L164="","",Composites!L164/MAX(Composites!L$6:L164)-1)</f>
        <v/>
      </c>
      <c r="AK164" s="34">
        <f>IF(Composites!M164="","",Composites!M164/MAX(Composites!M$6:M164)-1)</f>
        <v/>
      </c>
      <c r="AL164" s="34">
        <f>IF(Composites!N164="","",Composites!N164/MAX(Composites!N$6:N164)-1)</f>
        <v/>
      </c>
      <c r="AM164" s="34">
        <f>IF(Composites!O164="","",Composites!O164/MAX(Composites!O$6:O164)-1)</f>
        <v/>
      </c>
      <c r="AN164" s="34">
        <f>IF(Composites!P164="","",Composites!P164/MAX(Composites!P$6:P164)-1)</f>
        <v/>
      </c>
    </row>
    <row r="165">
      <c r="B165" s="32">
        <f>'Historique ajusté'!B165</f>
        <v/>
      </c>
      <c r="C165" s="34">
        <f>IF(OR('Historique ajusté'!C165="",ROW()-Fenetre&lt;6),"",IF(INDEX('Historique ajusté'!C:C,ROW()-Fenetre)="","",'Historique ajusté'!C165/INDEX('Historique ajusté'!C:C,ROW()-Fenetre)-1))</f>
        <v/>
      </c>
      <c r="D165" s="34">
        <f>IF(OR('Historique ajusté'!D165="",ROW()-Fenetre&lt;6),"",IF(INDEX('Historique ajusté'!D:D,ROW()-Fenetre)="","",'Historique ajusté'!D165/INDEX('Historique ajusté'!D:D,ROW()-Fenetre)-1))</f>
        <v/>
      </c>
      <c r="E165" s="34">
        <f>IF(OR('Historique ajusté'!E165="",ROW()-Fenetre&lt;6),"",IF(INDEX('Historique ajusté'!E:E,ROW()-Fenetre)="","",'Historique ajusté'!E165/INDEX('Historique ajusté'!E:E,ROW()-Fenetre)-1))</f>
        <v/>
      </c>
      <c r="F165" s="34">
        <f>IF(OR('Historique ajusté'!F165="",ROW()-Fenetre&lt;6),"",IF(INDEX('Historique ajusté'!F:F,ROW()-Fenetre)="","",'Historique ajusté'!F165/INDEX('Historique ajusté'!F:F,ROW()-Fenetre)-1))</f>
        <v/>
      </c>
      <c r="G165" s="34">
        <f>IF(OR('Historique ajusté'!G165="",ROW()-Fenetre&lt;6),"",IF(INDEX('Historique ajusté'!G:G,ROW()-Fenetre)="","",'Historique ajusté'!G165/INDEX('Historique ajusté'!G:G,ROW()-Fenetre)-1))</f>
        <v/>
      </c>
      <c r="H165" s="34">
        <f>IF(OR('Historique ajusté'!H165="",ROW()-Fenetre&lt;6),"",IF(INDEX('Historique ajusté'!H:H,ROW()-Fenetre)="","",'Historique ajusté'!H165/INDEX('Historique ajusté'!H:H,ROW()-Fenetre)-1))</f>
        <v/>
      </c>
      <c r="I165" s="34">
        <f>IF(OR('Historique ajusté'!I165="",ROW()-Fenetre&lt;6),"",IF(INDEX('Historique ajusté'!I:I,ROW()-Fenetre)="","",'Historique ajusté'!I165/INDEX('Historique ajusté'!I:I,ROW()-Fenetre)-1))</f>
        <v/>
      </c>
      <c r="J165" s="34">
        <f>IF(OR('Historique ajusté'!J165="",ROW()-Fenetre&lt;6),"",IF(INDEX('Historique ajusté'!J:J,ROW()-Fenetre)="","",'Historique ajusté'!J165/INDEX('Historique ajusté'!J:J,ROW()-Fenetre)-1))</f>
        <v/>
      </c>
      <c r="K165" s="34">
        <f>IF(OR('Historique ajusté'!K165="",ROW()-Fenetre&lt;6),"",IF(INDEX('Historique ajusté'!K:K,ROW()-Fenetre)="","",'Historique ajusté'!K165/INDEX('Historique ajusté'!K:K,ROW()-Fenetre)-1))</f>
        <v/>
      </c>
      <c r="L165" s="34">
        <f>IF(OR('Historique ajusté'!L165="",ROW()-Fenetre&lt;6),"",IF(INDEX('Historique ajusté'!L:L,ROW()-Fenetre)="","",'Historique ajusté'!L165/INDEX('Historique ajusté'!L:L,ROW()-Fenetre)-1))</f>
        <v/>
      </c>
      <c r="M165" s="34">
        <f>IF(OR('Historique ajusté'!M165="",ROW()-Fenetre&lt;6),"",IF(INDEX('Historique ajusté'!M:M,ROW()-Fenetre)="","",'Historique ajusté'!M165/INDEX('Historique ajusté'!M:M,ROW()-Fenetre)-1))</f>
        <v/>
      </c>
      <c r="N165" s="34">
        <f>IF(OR('Historique ajusté'!N165="",ROW()-Fenetre&lt;6),"",IF(INDEX('Historique ajusté'!N:N,ROW()-Fenetre)="","",'Historique ajusté'!N165/INDEX('Historique ajusté'!N:N,ROW()-Fenetre)-1))</f>
        <v/>
      </c>
      <c r="O165" s="34">
        <f>IF(OR('Historique ajusté'!O165="",ROW()-Fenetre&lt;6),"",IF(INDEX('Historique ajusté'!O:O,ROW()-Fenetre)="","",'Historique ajusté'!O165/INDEX('Historique ajusté'!O:O,ROW()-Fenetre)-1))</f>
        <v/>
      </c>
      <c r="P165" s="34">
        <f>IF(OR('Historique ajusté'!P165="",ROW()-Fenetre&lt;6),"",IF(INDEX('Historique ajusté'!P:P,ROW()-Fenetre)="","",'Historique ajusté'!P165/INDEX('Historique ajusté'!P:P,ROW()-Fenetre)-1))</f>
        <v/>
      </c>
      <c r="Q165" s="34">
        <f>IF(OR(Composites!L165="",ROW()-Fenetre&lt;6),"",IF(INDEX(Composites!L:L,ROW()-Fenetre)="","",Composites!L165/INDEX(Composites!L:L,ROW()-Fenetre)-1))</f>
        <v/>
      </c>
      <c r="R165" s="34">
        <f>IF(OR(Composites!M165="",ROW()-Fenetre&lt;6),"",IF(INDEX(Composites!M:M,ROW()-Fenetre)="","",Composites!M165/INDEX(Composites!M:M,ROW()-Fenetre)-1))</f>
        <v/>
      </c>
      <c r="S165" s="34">
        <f>IF(OR(Composites!N165="",ROW()-Fenetre&lt;6),"",IF(INDEX(Composites!N:N,ROW()-Fenetre)="","",Composites!N165/INDEX(Composites!N:N,ROW()-Fenetre)-1))</f>
        <v/>
      </c>
      <c r="T165" s="34">
        <f>IF(OR(Composites!O165="",ROW()-Fenetre&lt;6),"",IF(INDEX(Composites!O:O,ROW()-Fenetre)="","",Composites!O165/INDEX(Composites!O:O,ROW()-Fenetre)-1))</f>
        <v/>
      </c>
      <c r="U165" s="34">
        <f>IF(OR(Composites!P165="",ROW()-Fenetre&lt;6),"",IF(INDEX(Composites!P:P,ROW()-Fenetre)="","",Composites!P165/INDEX(Composites!P:P,ROW()-Fenetre)-1))</f>
        <v/>
      </c>
      <c r="V165" s="34">
        <f>IF('Historique ajusté'!C165="","",'Historique ajusté'!C165/MAX('Historique ajusté'!C$6:C165)-1)</f>
        <v/>
      </c>
      <c r="W165" s="34">
        <f>IF('Historique ajusté'!D165="","",'Historique ajusté'!D165/MAX('Historique ajusté'!D$6:D165)-1)</f>
        <v/>
      </c>
      <c r="X165" s="34">
        <f>IF('Historique ajusté'!E165="","",'Historique ajusté'!E165/MAX('Historique ajusté'!E$6:E165)-1)</f>
        <v/>
      </c>
      <c r="Y165" s="34">
        <f>IF('Historique ajusté'!F165="","",'Historique ajusté'!F165/MAX('Historique ajusté'!F$6:F165)-1)</f>
        <v/>
      </c>
      <c r="Z165" s="34">
        <f>IF('Historique ajusté'!G165="","",'Historique ajusté'!G165/MAX('Historique ajusté'!G$6:G165)-1)</f>
        <v/>
      </c>
      <c r="AA165" s="34">
        <f>IF('Historique ajusté'!H165="","",'Historique ajusté'!H165/MAX('Historique ajusté'!H$6:H165)-1)</f>
        <v/>
      </c>
      <c r="AB165" s="34">
        <f>IF('Historique ajusté'!I165="","",'Historique ajusté'!I165/MAX('Historique ajusté'!I$6:I165)-1)</f>
        <v/>
      </c>
      <c r="AC165" s="34">
        <f>IF('Historique ajusté'!J165="","",'Historique ajusté'!J165/MAX('Historique ajusté'!J$6:J165)-1)</f>
        <v/>
      </c>
      <c r="AD165" s="34">
        <f>IF('Historique ajusté'!K165="","",'Historique ajusté'!K165/MAX('Historique ajusté'!K$6:K165)-1)</f>
        <v/>
      </c>
      <c r="AE165" s="34">
        <f>IF('Historique ajusté'!L165="","",'Historique ajusté'!L165/MAX('Historique ajusté'!L$6:L165)-1)</f>
        <v/>
      </c>
      <c r="AF165" s="34">
        <f>IF('Historique ajusté'!M165="","",'Historique ajusté'!M165/MAX('Historique ajusté'!M$6:M165)-1)</f>
        <v/>
      </c>
      <c r="AG165" s="34">
        <f>IF('Historique ajusté'!N165="","",'Historique ajusté'!N165/MAX('Historique ajusté'!N$6:N165)-1)</f>
        <v/>
      </c>
      <c r="AH165" s="34">
        <f>IF('Historique ajusté'!O165="","",'Historique ajusté'!O165/MAX('Historique ajusté'!O$6:O165)-1)</f>
        <v/>
      </c>
      <c r="AI165" s="34">
        <f>IF('Historique ajusté'!P165="","",'Historique ajusté'!P165/MAX('Historique ajusté'!P$6:P165)-1)</f>
        <v/>
      </c>
      <c r="AJ165" s="34">
        <f>IF(Composites!L165="","",Composites!L165/MAX(Composites!L$6:L165)-1)</f>
        <v/>
      </c>
      <c r="AK165" s="34">
        <f>IF(Composites!M165="","",Composites!M165/MAX(Composites!M$6:M165)-1)</f>
        <v/>
      </c>
      <c r="AL165" s="34">
        <f>IF(Composites!N165="","",Composites!N165/MAX(Composites!N$6:N165)-1)</f>
        <v/>
      </c>
      <c r="AM165" s="34">
        <f>IF(Composites!O165="","",Composites!O165/MAX(Composites!O$6:O165)-1)</f>
        <v/>
      </c>
      <c r="AN165" s="34">
        <f>IF(Composites!P165="","",Composites!P165/MAX(Composites!P$6:P165)-1)</f>
        <v/>
      </c>
    </row>
    <row r="166">
      <c r="B166" s="32">
        <f>'Historique ajusté'!B166</f>
        <v/>
      </c>
      <c r="C166" s="34">
        <f>IF(OR('Historique ajusté'!C166="",ROW()-Fenetre&lt;6),"",IF(INDEX('Historique ajusté'!C:C,ROW()-Fenetre)="","",'Historique ajusté'!C166/INDEX('Historique ajusté'!C:C,ROW()-Fenetre)-1))</f>
        <v/>
      </c>
      <c r="D166" s="34">
        <f>IF(OR('Historique ajusté'!D166="",ROW()-Fenetre&lt;6),"",IF(INDEX('Historique ajusté'!D:D,ROW()-Fenetre)="","",'Historique ajusté'!D166/INDEX('Historique ajusté'!D:D,ROW()-Fenetre)-1))</f>
        <v/>
      </c>
      <c r="E166" s="34">
        <f>IF(OR('Historique ajusté'!E166="",ROW()-Fenetre&lt;6),"",IF(INDEX('Historique ajusté'!E:E,ROW()-Fenetre)="","",'Historique ajusté'!E166/INDEX('Historique ajusté'!E:E,ROW()-Fenetre)-1))</f>
        <v/>
      </c>
      <c r="F166" s="34">
        <f>IF(OR('Historique ajusté'!F166="",ROW()-Fenetre&lt;6),"",IF(INDEX('Historique ajusté'!F:F,ROW()-Fenetre)="","",'Historique ajusté'!F166/INDEX('Historique ajusté'!F:F,ROW()-Fenetre)-1))</f>
        <v/>
      </c>
      <c r="G166" s="34">
        <f>IF(OR('Historique ajusté'!G166="",ROW()-Fenetre&lt;6),"",IF(INDEX('Historique ajusté'!G:G,ROW()-Fenetre)="","",'Historique ajusté'!G166/INDEX('Historique ajusté'!G:G,ROW()-Fenetre)-1))</f>
        <v/>
      </c>
      <c r="H166" s="34">
        <f>IF(OR('Historique ajusté'!H166="",ROW()-Fenetre&lt;6),"",IF(INDEX('Historique ajusté'!H:H,ROW()-Fenetre)="","",'Historique ajusté'!H166/INDEX('Historique ajusté'!H:H,ROW()-Fenetre)-1))</f>
        <v/>
      </c>
      <c r="I166" s="34">
        <f>IF(OR('Historique ajusté'!I166="",ROW()-Fenetre&lt;6),"",IF(INDEX('Historique ajusté'!I:I,ROW()-Fenetre)="","",'Historique ajusté'!I166/INDEX('Historique ajusté'!I:I,ROW()-Fenetre)-1))</f>
        <v/>
      </c>
      <c r="J166" s="34">
        <f>IF(OR('Historique ajusté'!J166="",ROW()-Fenetre&lt;6),"",IF(INDEX('Historique ajusté'!J:J,ROW()-Fenetre)="","",'Historique ajusté'!J166/INDEX('Historique ajusté'!J:J,ROW()-Fenetre)-1))</f>
        <v/>
      </c>
      <c r="K166" s="34">
        <f>IF(OR('Historique ajusté'!K166="",ROW()-Fenetre&lt;6),"",IF(INDEX('Historique ajusté'!K:K,ROW()-Fenetre)="","",'Historique ajusté'!K166/INDEX('Historique ajusté'!K:K,ROW()-Fenetre)-1))</f>
        <v/>
      </c>
      <c r="L166" s="34">
        <f>IF(OR('Historique ajusté'!L166="",ROW()-Fenetre&lt;6),"",IF(INDEX('Historique ajusté'!L:L,ROW()-Fenetre)="","",'Historique ajusté'!L166/INDEX('Historique ajusté'!L:L,ROW()-Fenetre)-1))</f>
        <v/>
      </c>
      <c r="M166" s="34">
        <f>IF(OR('Historique ajusté'!M166="",ROW()-Fenetre&lt;6),"",IF(INDEX('Historique ajusté'!M:M,ROW()-Fenetre)="","",'Historique ajusté'!M166/INDEX('Historique ajusté'!M:M,ROW()-Fenetre)-1))</f>
        <v/>
      </c>
      <c r="N166" s="34">
        <f>IF(OR('Historique ajusté'!N166="",ROW()-Fenetre&lt;6),"",IF(INDEX('Historique ajusté'!N:N,ROW()-Fenetre)="","",'Historique ajusté'!N166/INDEX('Historique ajusté'!N:N,ROW()-Fenetre)-1))</f>
        <v/>
      </c>
      <c r="O166" s="34">
        <f>IF(OR('Historique ajusté'!O166="",ROW()-Fenetre&lt;6),"",IF(INDEX('Historique ajusté'!O:O,ROW()-Fenetre)="","",'Historique ajusté'!O166/INDEX('Historique ajusté'!O:O,ROW()-Fenetre)-1))</f>
        <v/>
      </c>
      <c r="P166" s="34">
        <f>IF(OR('Historique ajusté'!P166="",ROW()-Fenetre&lt;6),"",IF(INDEX('Historique ajusté'!P:P,ROW()-Fenetre)="","",'Historique ajusté'!P166/INDEX('Historique ajusté'!P:P,ROW()-Fenetre)-1))</f>
        <v/>
      </c>
      <c r="Q166" s="34">
        <f>IF(OR(Composites!L166="",ROW()-Fenetre&lt;6),"",IF(INDEX(Composites!L:L,ROW()-Fenetre)="","",Composites!L166/INDEX(Composites!L:L,ROW()-Fenetre)-1))</f>
        <v/>
      </c>
      <c r="R166" s="34">
        <f>IF(OR(Composites!M166="",ROW()-Fenetre&lt;6),"",IF(INDEX(Composites!M:M,ROW()-Fenetre)="","",Composites!M166/INDEX(Composites!M:M,ROW()-Fenetre)-1))</f>
        <v/>
      </c>
      <c r="S166" s="34">
        <f>IF(OR(Composites!N166="",ROW()-Fenetre&lt;6),"",IF(INDEX(Composites!N:N,ROW()-Fenetre)="","",Composites!N166/INDEX(Composites!N:N,ROW()-Fenetre)-1))</f>
        <v/>
      </c>
      <c r="T166" s="34">
        <f>IF(OR(Composites!O166="",ROW()-Fenetre&lt;6),"",IF(INDEX(Composites!O:O,ROW()-Fenetre)="","",Composites!O166/INDEX(Composites!O:O,ROW()-Fenetre)-1))</f>
        <v/>
      </c>
      <c r="U166" s="34">
        <f>IF(OR(Composites!P166="",ROW()-Fenetre&lt;6),"",IF(INDEX(Composites!P:P,ROW()-Fenetre)="","",Composites!P166/INDEX(Composites!P:P,ROW()-Fenetre)-1))</f>
        <v/>
      </c>
      <c r="V166" s="34">
        <f>IF('Historique ajusté'!C166="","",'Historique ajusté'!C166/MAX('Historique ajusté'!C$6:C166)-1)</f>
        <v/>
      </c>
      <c r="W166" s="34">
        <f>IF('Historique ajusté'!D166="","",'Historique ajusté'!D166/MAX('Historique ajusté'!D$6:D166)-1)</f>
        <v/>
      </c>
      <c r="X166" s="34">
        <f>IF('Historique ajusté'!E166="","",'Historique ajusté'!E166/MAX('Historique ajusté'!E$6:E166)-1)</f>
        <v/>
      </c>
      <c r="Y166" s="34">
        <f>IF('Historique ajusté'!F166="","",'Historique ajusté'!F166/MAX('Historique ajusté'!F$6:F166)-1)</f>
        <v/>
      </c>
      <c r="Z166" s="34">
        <f>IF('Historique ajusté'!G166="","",'Historique ajusté'!G166/MAX('Historique ajusté'!G$6:G166)-1)</f>
        <v/>
      </c>
      <c r="AA166" s="34">
        <f>IF('Historique ajusté'!H166="","",'Historique ajusté'!H166/MAX('Historique ajusté'!H$6:H166)-1)</f>
        <v/>
      </c>
      <c r="AB166" s="34">
        <f>IF('Historique ajusté'!I166="","",'Historique ajusté'!I166/MAX('Historique ajusté'!I$6:I166)-1)</f>
        <v/>
      </c>
      <c r="AC166" s="34">
        <f>IF('Historique ajusté'!J166="","",'Historique ajusté'!J166/MAX('Historique ajusté'!J$6:J166)-1)</f>
        <v/>
      </c>
      <c r="AD166" s="34">
        <f>IF('Historique ajusté'!K166="","",'Historique ajusté'!K166/MAX('Historique ajusté'!K$6:K166)-1)</f>
        <v/>
      </c>
      <c r="AE166" s="34">
        <f>IF('Historique ajusté'!L166="","",'Historique ajusté'!L166/MAX('Historique ajusté'!L$6:L166)-1)</f>
        <v/>
      </c>
      <c r="AF166" s="34">
        <f>IF('Historique ajusté'!M166="","",'Historique ajusté'!M166/MAX('Historique ajusté'!M$6:M166)-1)</f>
        <v/>
      </c>
      <c r="AG166" s="34">
        <f>IF('Historique ajusté'!N166="","",'Historique ajusté'!N166/MAX('Historique ajusté'!N$6:N166)-1)</f>
        <v/>
      </c>
      <c r="AH166" s="34">
        <f>IF('Historique ajusté'!O166="","",'Historique ajusté'!O166/MAX('Historique ajusté'!O$6:O166)-1)</f>
        <v/>
      </c>
      <c r="AI166" s="34">
        <f>IF('Historique ajusté'!P166="","",'Historique ajusté'!P166/MAX('Historique ajusté'!P$6:P166)-1)</f>
        <v/>
      </c>
      <c r="AJ166" s="34">
        <f>IF(Composites!L166="","",Composites!L166/MAX(Composites!L$6:L166)-1)</f>
        <v/>
      </c>
      <c r="AK166" s="34">
        <f>IF(Composites!M166="","",Composites!M166/MAX(Composites!M$6:M166)-1)</f>
        <v/>
      </c>
      <c r="AL166" s="34">
        <f>IF(Composites!N166="","",Composites!N166/MAX(Composites!N$6:N166)-1)</f>
        <v/>
      </c>
      <c r="AM166" s="34">
        <f>IF(Composites!O166="","",Composites!O166/MAX(Composites!O$6:O166)-1)</f>
        <v/>
      </c>
      <c r="AN166" s="34">
        <f>IF(Composites!P166="","",Composites!P166/MAX(Composites!P$6:P166)-1)</f>
        <v/>
      </c>
    </row>
    <row r="167">
      <c r="B167" s="32">
        <f>'Historique ajusté'!B167</f>
        <v/>
      </c>
      <c r="C167" s="34">
        <f>IF(OR('Historique ajusté'!C167="",ROW()-Fenetre&lt;6),"",IF(INDEX('Historique ajusté'!C:C,ROW()-Fenetre)="","",'Historique ajusté'!C167/INDEX('Historique ajusté'!C:C,ROW()-Fenetre)-1))</f>
        <v/>
      </c>
      <c r="D167" s="34">
        <f>IF(OR('Historique ajusté'!D167="",ROW()-Fenetre&lt;6),"",IF(INDEX('Historique ajusté'!D:D,ROW()-Fenetre)="","",'Historique ajusté'!D167/INDEX('Historique ajusté'!D:D,ROW()-Fenetre)-1))</f>
        <v/>
      </c>
      <c r="E167" s="34">
        <f>IF(OR('Historique ajusté'!E167="",ROW()-Fenetre&lt;6),"",IF(INDEX('Historique ajusté'!E:E,ROW()-Fenetre)="","",'Historique ajusté'!E167/INDEX('Historique ajusté'!E:E,ROW()-Fenetre)-1))</f>
        <v/>
      </c>
      <c r="F167" s="34">
        <f>IF(OR('Historique ajusté'!F167="",ROW()-Fenetre&lt;6),"",IF(INDEX('Historique ajusté'!F:F,ROW()-Fenetre)="","",'Historique ajusté'!F167/INDEX('Historique ajusté'!F:F,ROW()-Fenetre)-1))</f>
        <v/>
      </c>
      <c r="G167" s="34">
        <f>IF(OR('Historique ajusté'!G167="",ROW()-Fenetre&lt;6),"",IF(INDEX('Historique ajusté'!G:G,ROW()-Fenetre)="","",'Historique ajusté'!G167/INDEX('Historique ajusté'!G:G,ROW()-Fenetre)-1))</f>
        <v/>
      </c>
      <c r="H167" s="34">
        <f>IF(OR('Historique ajusté'!H167="",ROW()-Fenetre&lt;6),"",IF(INDEX('Historique ajusté'!H:H,ROW()-Fenetre)="","",'Historique ajusté'!H167/INDEX('Historique ajusté'!H:H,ROW()-Fenetre)-1))</f>
        <v/>
      </c>
      <c r="I167" s="34">
        <f>IF(OR('Historique ajusté'!I167="",ROW()-Fenetre&lt;6),"",IF(INDEX('Historique ajusté'!I:I,ROW()-Fenetre)="","",'Historique ajusté'!I167/INDEX('Historique ajusté'!I:I,ROW()-Fenetre)-1))</f>
        <v/>
      </c>
      <c r="J167" s="34">
        <f>IF(OR('Historique ajusté'!J167="",ROW()-Fenetre&lt;6),"",IF(INDEX('Historique ajusté'!J:J,ROW()-Fenetre)="","",'Historique ajusté'!J167/INDEX('Historique ajusté'!J:J,ROW()-Fenetre)-1))</f>
        <v/>
      </c>
      <c r="K167" s="34">
        <f>IF(OR('Historique ajusté'!K167="",ROW()-Fenetre&lt;6),"",IF(INDEX('Historique ajusté'!K:K,ROW()-Fenetre)="","",'Historique ajusté'!K167/INDEX('Historique ajusté'!K:K,ROW()-Fenetre)-1))</f>
        <v/>
      </c>
      <c r="L167" s="34">
        <f>IF(OR('Historique ajusté'!L167="",ROW()-Fenetre&lt;6),"",IF(INDEX('Historique ajusté'!L:L,ROW()-Fenetre)="","",'Historique ajusté'!L167/INDEX('Historique ajusté'!L:L,ROW()-Fenetre)-1))</f>
        <v/>
      </c>
      <c r="M167" s="34">
        <f>IF(OR('Historique ajusté'!M167="",ROW()-Fenetre&lt;6),"",IF(INDEX('Historique ajusté'!M:M,ROW()-Fenetre)="","",'Historique ajusté'!M167/INDEX('Historique ajusté'!M:M,ROW()-Fenetre)-1))</f>
        <v/>
      </c>
      <c r="N167" s="34">
        <f>IF(OR('Historique ajusté'!N167="",ROW()-Fenetre&lt;6),"",IF(INDEX('Historique ajusté'!N:N,ROW()-Fenetre)="","",'Historique ajusté'!N167/INDEX('Historique ajusté'!N:N,ROW()-Fenetre)-1))</f>
        <v/>
      </c>
      <c r="O167" s="34">
        <f>IF(OR('Historique ajusté'!O167="",ROW()-Fenetre&lt;6),"",IF(INDEX('Historique ajusté'!O:O,ROW()-Fenetre)="","",'Historique ajusté'!O167/INDEX('Historique ajusté'!O:O,ROW()-Fenetre)-1))</f>
        <v/>
      </c>
      <c r="P167" s="34">
        <f>IF(OR('Historique ajusté'!P167="",ROW()-Fenetre&lt;6),"",IF(INDEX('Historique ajusté'!P:P,ROW()-Fenetre)="","",'Historique ajusté'!P167/INDEX('Historique ajusté'!P:P,ROW()-Fenetre)-1))</f>
        <v/>
      </c>
      <c r="Q167" s="34">
        <f>IF(OR(Composites!L167="",ROW()-Fenetre&lt;6),"",IF(INDEX(Composites!L:L,ROW()-Fenetre)="","",Composites!L167/INDEX(Composites!L:L,ROW()-Fenetre)-1))</f>
        <v/>
      </c>
      <c r="R167" s="34">
        <f>IF(OR(Composites!M167="",ROW()-Fenetre&lt;6),"",IF(INDEX(Composites!M:M,ROW()-Fenetre)="","",Composites!M167/INDEX(Composites!M:M,ROW()-Fenetre)-1))</f>
        <v/>
      </c>
      <c r="S167" s="34">
        <f>IF(OR(Composites!N167="",ROW()-Fenetre&lt;6),"",IF(INDEX(Composites!N:N,ROW()-Fenetre)="","",Composites!N167/INDEX(Composites!N:N,ROW()-Fenetre)-1))</f>
        <v/>
      </c>
      <c r="T167" s="34">
        <f>IF(OR(Composites!O167="",ROW()-Fenetre&lt;6),"",IF(INDEX(Composites!O:O,ROW()-Fenetre)="","",Composites!O167/INDEX(Composites!O:O,ROW()-Fenetre)-1))</f>
        <v/>
      </c>
      <c r="U167" s="34">
        <f>IF(OR(Composites!P167="",ROW()-Fenetre&lt;6),"",IF(INDEX(Composites!P:P,ROW()-Fenetre)="","",Composites!P167/INDEX(Composites!P:P,ROW()-Fenetre)-1))</f>
        <v/>
      </c>
      <c r="V167" s="34">
        <f>IF('Historique ajusté'!C167="","",'Historique ajusté'!C167/MAX('Historique ajusté'!C$6:C167)-1)</f>
        <v/>
      </c>
      <c r="W167" s="34">
        <f>IF('Historique ajusté'!D167="","",'Historique ajusté'!D167/MAX('Historique ajusté'!D$6:D167)-1)</f>
        <v/>
      </c>
      <c r="X167" s="34">
        <f>IF('Historique ajusté'!E167="","",'Historique ajusté'!E167/MAX('Historique ajusté'!E$6:E167)-1)</f>
        <v/>
      </c>
      <c r="Y167" s="34">
        <f>IF('Historique ajusté'!F167="","",'Historique ajusté'!F167/MAX('Historique ajusté'!F$6:F167)-1)</f>
        <v/>
      </c>
      <c r="Z167" s="34">
        <f>IF('Historique ajusté'!G167="","",'Historique ajusté'!G167/MAX('Historique ajusté'!G$6:G167)-1)</f>
        <v/>
      </c>
      <c r="AA167" s="34">
        <f>IF('Historique ajusté'!H167="","",'Historique ajusté'!H167/MAX('Historique ajusté'!H$6:H167)-1)</f>
        <v/>
      </c>
      <c r="AB167" s="34">
        <f>IF('Historique ajusté'!I167="","",'Historique ajusté'!I167/MAX('Historique ajusté'!I$6:I167)-1)</f>
        <v/>
      </c>
      <c r="AC167" s="34">
        <f>IF('Historique ajusté'!J167="","",'Historique ajusté'!J167/MAX('Historique ajusté'!J$6:J167)-1)</f>
        <v/>
      </c>
      <c r="AD167" s="34">
        <f>IF('Historique ajusté'!K167="","",'Historique ajusté'!K167/MAX('Historique ajusté'!K$6:K167)-1)</f>
        <v/>
      </c>
      <c r="AE167" s="34">
        <f>IF('Historique ajusté'!L167="","",'Historique ajusté'!L167/MAX('Historique ajusté'!L$6:L167)-1)</f>
        <v/>
      </c>
      <c r="AF167" s="34">
        <f>IF('Historique ajusté'!M167="","",'Historique ajusté'!M167/MAX('Historique ajusté'!M$6:M167)-1)</f>
        <v/>
      </c>
      <c r="AG167" s="34">
        <f>IF('Historique ajusté'!N167="","",'Historique ajusté'!N167/MAX('Historique ajusté'!N$6:N167)-1)</f>
        <v/>
      </c>
      <c r="AH167" s="34">
        <f>IF('Historique ajusté'!O167="","",'Historique ajusté'!O167/MAX('Historique ajusté'!O$6:O167)-1)</f>
        <v/>
      </c>
      <c r="AI167" s="34">
        <f>IF('Historique ajusté'!P167="","",'Historique ajusté'!P167/MAX('Historique ajusté'!P$6:P167)-1)</f>
        <v/>
      </c>
      <c r="AJ167" s="34">
        <f>IF(Composites!L167="","",Composites!L167/MAX(Composites!L$6:L167)-1)</f>
        <v/>
      </c>
      <c r="AK167" s="34">
        <f>IF(Composites!M167="","",Composites!M167/MAX(Composites!M$6:M167)-1)</f>
        <v/>
      </c>
      <c r="AL167" s="34">
        <f>IF(Composites!N167="","",Composites!N167/MAX(Composites!N$6:N167)-1)</f>
        <v/>
      </c>
      <c r="AM167" s="34">
        <f>IF(Composites!O167="","",Composites!O167/MAX(Composites!O$6:O167)-1)</f>
        <v/>
      </c>
      <c r="AN167" s="34">
        <f>IF(Composites!P167="","",Composites!P167/MAX(Composites!P$6:P167)-1)</f>
        <v/>
      </c>
    </row>
    <row r="168">
      <c r="B168" s="32">
        <f>'Historique ajusté'!B168</f>
        <v/>
      </c>
      <c r="C168" s="34">
        <f>IF(OR('Historique ajusté'!C168="",ROW()-Fenetre&lt;6),"",IF(INDEX('Historique ajusté'!C:C,ROW()-Fenetre)="","",'Historique ajusté'!C168/INDEX('Historique ajusté'!C:C,ROW()-Fenetre)-1))</f>
        <v/>
      </c>
      <c r="D168" s="34">
        <f>IF(OR('Historique ajusté'!D168="",ROW()-Fenetre&lt;6),"",IF(INDEX('Historique ajusté'!D:D,ROW()-Fenetre)="","",'Historique ajusté'!D168/INDEX('Historique ajusté'!D:D,ROW()-Fenetre)-1))</f>
        <v/>
      </c>
      <c r="E168" s="34">
        <f>IF(OR('Historique ajusté'!E168="",ROW()-Fenetre&lt;6),"",IF(INDEX('Historique ajusté'!E:E,ROW()-Fenetre)="","",'Historique ajusté'!E168/INDEX('Historique ajusté'!E:E,ROW()-Fenetre)-1))</f>
        <v/>
      </c>
      <c r="F168" s="34">
        <f>IF(OR('Historique ajusté'!F168="",ROW()-Fenetre&lt;6),"",IF(INDEX('Historique ajusté'!F:F,ROW()-Fenetre)="","",'Historique ajusté'!F168/INDEX('Historique ajusté'!F:F,ROW()-Fenetre)-1))</f>
        <v/>
      </c>
      <c r="G168" s="34">
        <f>IF(OR('Historique ajusté'!G168="",ROW()-Fenetre&lt;6),"",IF(INDEX('Historique ajusté'!G:G,ROW()-Fenetre)="","",'Historique ajusté'!G168/INDEX('Historique ajusté'!G:G,ROW()-Fenetre)-1))</f>
        <v/>
      </c>
      <c r="H168" s="34">
        <f>IF(OR('Historique ajusté'!H168="",ROW()-Fenetre&lt;6),"",IF(INDEX('Historique ajusté'!H:H,ROW()-Fenetre)="","",'Historique ajusté'!H168/INDEX('Historique ajusté'!H:H,ROW()-Fenetre)-1))</f>
        <v/>
      </c>
      <c r="I168" s="34">
        <f>IF(OR('Historique ajusté'!I168="",ROW()-Fenetre&lt;6),"",IF(INDEX('Historique ajusté'!I:I,ROW()-Fenetre)="","",'Historique ajusté'!I168/INDEX('Historique ajusté'!I:I,ROW()-Fenetre)-1))</f>
        <v/>
      </c>
      <c r="J168" s="34">
        <f>IF(OR('Historique ajusté'!J168="",ROW()-Fenetre&lt;6),"",IF(INDEX('Historique ajusté'!J:J,ROW()-Fenetre)="","",'Historique ajusté'!J168/INDEX('Historique ajusté'!J:J,ROW()-Fenetre)-1))</f>
        <v/>
      </c>
      <c r="K168" s="34">
        <f>IF(OR('Historique ajusté'!K168="",ROW()-Fenetre&lt;6),"",IF(INDEX('Historique ajusté'!K:K,ROW()-Fenetre)="","",'Historique ajusté'!K168/INDEX('Historique ajusté'!K:K,ROW()-Fenetre)-1))</f>
        <v/>
      </c>
      <c r="L168" s="34">
        <f>IF(OR('Historique ajusté'!L168="",ROW()-Fenetre&lt;6),"",IF(INDEX('Historique ajusté'!L:L,ROW()-Fenetre)="","",'Historique ajusté'!L168/INDEX('Historique ajusté'!L:L,ROW()-Fenetre)-1))</f>
        <v/>
      </c>
      <c r="M168" s="34">
        <f>IF(OR('Historique ajusté'!M168="",ROW()-Fenetre&lt;6),"",IF(INDEX('Historique ajusté'!M:M,ROW()-Fenetre)="","",'Historique ajusté'!M168/INDEX('Historique ajusté'!M:M,ROW()-Fenetre)-1))</f>
        <v/>
      </c>
      <c r="N168" s="34">
        <f>IF(OR('Historique ajusté'!N168="",ROW()-Fenetre&lt;6),"",IF(INDEX('Historique ajusté'!N:N,ROW()-Fenetre)="","",'Historique ajusté'!N168/INDEX('Historique ajusté'!N:N,ROW()-Fenetre)-1))</f>
        <v/>
      </c>
      <c r="O168" s="34">
        <f>IF(OR('Historique ajusté'!O168="",ROW()-Fenetre&lt;6),"",IF(INDEX('Historique ajusté'!O:O,ROW()-Fenetre)="","",'Historique ajusté'!O168/INDEX('Historique ajusté'!O:O,ROW()-Fenetre)-1))</f>
        <v/>
      </c>
      <c r="P168" s="34">
        <f>IF(OR('Historique ajusté'!P168="",ROW()-Fenetre&lt;6),"",IF(INDEX('Historique ajusté'!P:P,ROW()-Fenetre)="","",'Historique ajusté'!P168/INDEX('Historique ajusté'!P:P,ROW()-Fenetre)-1))</f>
        <v/>
      </c>
      <c r="Q168" s="34">
        <f>IF(OR(Composites!L168="",ROW()-Fenetre&lt;6),"",IF(INDEX(Composites!L:L,ROW()-Fenetre)="","",Composites!L168/INDEX(Composites!L:L,ROW()-Fenetre)-1))</f>
        <v/>
      </c>
      <c r="R168" s="34">
        <f>IF(OR(Composites!M168="",ROW()-Fenetre&lt;6),"",IF(INDEX(Composites!M:M,ROW()-Fenetre)="","",Composites!M168/INDEX(Composites!M:M,ROW()-Fenetre)-1))</f>
        <v/>
      </c>
      <c r="S168" s="34">
        <f>IF(OR(Composites!N168="",ROW()-Fenetre&lt;6),"",IF(INDEX(Composites!N:N,ROW()-Fenetre)="","",Composites!N168/INDEX(Composites!N:N,ROW()-Fenetre)-1))</f>
        <v/>
      </c>
      <c r="T168" s="34">
        <f>IF(OR(Composites!O168="",ROW()-Fenetre&lt;6),"",IF(INDEX(Composites!O:O,ROW()-Fenetre)="","",Composites!O168/INDEX(Composites!O:O,ROW()-Fenetre)-1))</f>
        <v/>
      </c>
      <c r="U168" s="34">
        <f>IF(OR(Composites!P168="",ROW()-Fenetre&lt;6),"",IF(INDEX(Composites!P:P,ROW()-Fenetre)="","",Composites!P168/INDEX(Composites!P:P,ROW()-Fenetre)-1))</f>
        <v/>
      </c>
      <c r="V168" s="34">
        <f>IF('Historique ajusté'!C168="","",'Historique ajusté'!C168/MAX('Historique ajusté'!C$6:C168)-1)</f>
        <v/>
      </c>
      <c r="W168" s="34">
        <f>IF('Historique ajusté'!D168="","",'Historique ajusté'!D168/MAX('Historique ajusté'!D$6:D168)-1)</f>
        <v/>
      </c>
      <c r="X168" s="34">
        <f>IF('Historique ajusté'!E168="","",'Historique ajusté'!E168/MAX('Historique ajusté'!E$6:E168)-1)</f>
        <v/>
      </c>
      <c r="Y168" s="34">
        <f>IF('Historique ajusté'!F168="","",'Historique ajusté'!F168/MAX('Historique ajusté'!F$6:F168)-1)</f>
        <v/>
      </c>
      <c r="Z168" s="34">
        <f>IF('Historique ajusté'!G168="","",'Historique ajusté'!G168/MAX('Historique ajusté'!G$6:G168)-1)</f>
        <v/>
      </c>
      <c r="AA168" s="34">
        <f>IF('Historique ajusté'!H168="","",'Historique ajusté'!H168/MAX('Historique ajusté'!H$6:H168)-1)</f>
        <v/>
      </c>
      <c r="AB168" s="34">
        <f>IF('Historique ajusté'!I168="","",'Historique ajusté'!I168/MAX('Historique ajusté'!I$6:I168)-1)</f>
        <v/>
      </c>
      <c r="AC168" s="34">
        <f>IF('Historique ajusté'!J168="","",'Historique ajusté'!J168/MAX('Historique ajusté'!J$6:J168)-1)</f>
        <v/>
      </c>
      <c r="AD168" s="34">
        <f>IF('Historique ajusté'!K168="","",'Historique ajusté'!K168/MAX('Historique ajusté'!K$6:K168)-1)</f>
        <v/>
      </c>
      <c r="AE168" s="34">
        <f>IF('Historique ajusté'!L168="","",'Historique ajusté'!L168/MAX('Historique ajusté'!L$6:L168)-1)</f>
        <v/>
      </c>
      <c r="AF168" s="34">
        <f>IF('Historique ajusté'!M168="","",'Historique ajusté'!M168/MAX('Historique ajusté'!M$6:M168)-1)</f>
        <v/>
      </c>
      <c r="AG168" s="34">
        <f>IF('Historique ajusté'!N168="","",'Historique ajusté'!N168/MAX('Historique ajusté'!N$6:N168)-1)</f>
        <v/>
      </c>
      <c r="AH168" s="34">
        <f>IF('Historique ajusté'!O168="","",'Historique ajusté'!O168/MAX('Historique ajusté'!O$6:O168)-1)</f>
        <v/>
      </c>
      <c r="AI168" s="34">
        <f>IF('Historique ajusté'!P168="","",'Historique ajusté'!P168/MAX('Historique ajusté'!P$6:P168)-1)</f>
        <v/>
      </c>
      <c r="AJ168" s="34">
        <f>IF(Composites!L168="","",Composites!L168/MAX(Composites!L$6:L168)-1)</f>
        <v/>
      </c>
      <c r="AK168" s="34">
        <f>IF(Composites!M168="","",Composites!M168/MAX(Composites!M$6:M168)-1)</f>
        <v/>
      </c>
      <c r="AL168" s="34">
        <f>IF(Composites!N168="","",Composites!N168/MAX(Composites!N$6:N168)-1)</f>
        <v/>
      </c>
      <c r="AM168" s="34">
        <f>IF(Composites!O168="","",Composites!O168/MAX(Composites!O$6:O168)-1)</f>
        <v/>
      </c>
      <c r="AN168" s="34">
        <f>IF(Composites!P168="","",Composites!P168/MAX(Composites!P$6:P168)-1)</f>
        <v/>
      </c>
    </row>
    <row r="169">
      <c r="B169" s="32">
        <f>'Historique ajusté'!B169</f>
        <v/>
      </c>
      <c r="C169" s="34">
        <f>IF(OR('Historique ajusté'!C169="",ROW()-Fenetre&lt;6),"",IF(INDEX('Historique ajusté'!C:C,ROW()-Fenetre)="","",'Historique ajusté'!C169/INDEX('Historique ajusté'!C:C,ROW()-Fenetre)-1))</f>
        <v/>
      </c>
      <c r="D169" s="34">
        <f>IF(OR('Historique ajusté'!D169="",ROW()-Fenetre&lt;6),"",IF(INDEX('Historique ajusté'!D:D,ROW()-Fenetre)="","",'Historique ajusté'!D169/INDEX('Historique ajusté'!D:D,ROW()-Fenetre)-1))</f>
        <v/>
      </c>
      <c r="E169" s="34">
        <f>IF(OR('Historique ajusté'!E169="",ROW()-Fenetre&lt;6),"",IF(INDEX('Historique ajusté'!E:E,ROW()-Fenetre)="","",'Historique ajusté'!E169/INDEX('Historique ajusté'!E:E,ROW()-Fenetre)-1))</f>
        <v/>
      </c>
      <c r="F169" s="34">
        <f>IF(OR('Historique ajusté'!F169="",ROW()-Fenetre&lt;6),"",IF(INDEX('Historique ajusté'!F:F,ROW()-Fenetre)="","",'Historique ajusté'!F169/INDEX('Historique ajusté'!F:F,ROW()-Fenetre)-1))</f>
        <v/>
      </c>
      <c r="G169" s="34">
        <f>IF(OR('Historique ajusté'!G169="",ROW()-Fenetre&lt;6),"",IF(INDEX('Historique ajusté'!G:G,ROW()-Fenetre)="","",'Historique ajusté'!G169/INDEX('Historique ajusté'!G:G,ROW()-Fenetre)-1))</f>
        <v/>
      </c>
      <c r="H169" s="34">
        <f>IF(OR('Historique ajusté'!H169="",ROW()-Fenetre&lt;6),"",IF(INDEX('Historique ajusté'!H:H,ROW()-Fenetre)="","",'Historique ajusté'!H169/INDEX('Historique ajusté'!H:H,ROW()-Fenetre)-1))</f>
        <v/>
      </c>
      <c r="I169" s="34">
        <f>IF(OR('Historique ajusté'!I169="",ROW()-Fenetre&lt;6),"",IF(INDEX('Historique ajusté'!I:I,ROW()-Fenetre)="","",'Historique ajusté'!I169/INDEX('Historique ajusté'!I:I,ROW()-Fenetre)-1))</f>
        <v/>
      </c>
      <c r="J169" s="34">
        <f>IF(OR('Historique ajusté'!J169="",ROW()-Fenetre&lt;6),"",IF(INDEX('Historique ajusté'!J:J,ROW()-Fenetre)="","",'Historique ajusté'!J169/INDEX('Historique ajusté'!J:J,ROW()-Fenetre)-1))</f>
        <v/>
      </c>
      <c r="K169" s="34">
        <f>IF(OR('Historique ajusté'!K169="",ROW()-Fenetre&lt;6),"",IF(INDEX('Historique ajusté'!K:K,ROW()-Fenetre)="","",'Historique ajusté'!K169/INDEX('Historique ajusté'!K:K,ROW()-Fenetre)-1))</f>
        <v/>
      </c>
      <c r="L169" s="34">
        <f>IF(OR('Historique ajusté'!L169="",ROW()-Fenetre&lt;6),"",IF(INDEX('Historique ajusté'!L:L,ROW()-Fenetre)="","",'Historique ajusté'!L169/INDEX('Historique ajusté'!L:L,ROW()-Fenetre)-1))</f>
        <v/>
      </c>
      <c r="M169" s="34">
        <f>IF(OR('Historique ajusté'!M169="",ROW()-Fenetre&lt;6),"",IF(INDEX('Historique ajusté'!M:M,ROW()-Fenetre)="","",'Historique ajusté'!M169/INDEX('Historique ajusté'!M:M,ROW()-Fenetre)-1))</f>
        <v/>
      </c>
      <c r="N169" s="34">
        <f>IF(OR('Historique ajusté'!N169="",ROW()-Fenetre&lt;6),"",IF(INDEX('Historique ajusté'!N:N,ROW()-Fenetre)="","",'Historique ajusté'!N169/INDEX('Historique ajusté'!N:N,ROW()-Fenetre)-1))</f>
        <v/>
      </c>
      <c r="O169" s="34">
        <f>IF(OR('Historique ajusté'!O169="",ROW()-Fenetre&lt;6),"",IF(INDEX('Historique ajusté'!O:O,ROW()-Fenetre)="","",'Historique ajusté'!O169/INDEX('Historique ajusté'!O:O,ROW()-Fenetre)-1))</f>
        <v/>
      </c>
      <c r="P169" s="34">
        <f>IF(OR('Historique ajusté'!P169="",ROW()-Fenetre&lt;6),"",IF(INDEX('Historique ajusté'!P:P,ROW()-Fenetre)="","",'Historique ajusté'!P169/INDEX('Historique ajusté'!P:P,ROW()-Fenetre)-1))</f>
        <v/>
      </c>
      <c r="Q169" s="34">
        <f>IF(OR(Composites!L169="",ROW()-Fenetre&lt;6),"",IF(INDEX(Composites!L:L,ROW()-Fenetre)="","",Composites!L169/INDEX(Composites!L:L,ROW()-Fenetre)-1))</f>
        <v/>
      </c>
      <c r="R169" s="34">
        <f>IF(OR(Composites!M169="",ROW()-Fenetre&lt;6),"",IF(INDEX(Composites!M:M,ROW()-Fenetre)="","",Composites!M169/INDEX(Composites!M:M,ROW()-Fenetre)-1))</f>
        <v/>
      </c>
      <c r="S169" s="34">
        <f>IF(OR(Composites!N169="",ROW()-Fenetre&lt;6),"",IF(INDEX(Composites!N:N,ROW()-Fenetre)="","",Composites!N169/INDEX(Composites!N:N,ROW()-Fenetre)-1))</f>
        <v/>
      </c>
      <c r="T169" s="34">
        <f>IF(OR(Composites!O169="",ROW()-Fenetre&lt;6),"",IF(INDEX(Composites!O:O,ROW()-Fenetre)="","",Composites!O169/INDEX(Composites!O:O,ROW()-Fenetre)-1))</f>
        <v/>
      </c>
      <c r="U169" s="34">
        <f>IF(OR(Composites!P169="",ROW()-Fenetre&lt;6),"",IF(INDEX(Composites!P:P,ROW()-Fenetre)="","",Composites!P169/INDEX(Composites!P:P,ROW()-Fenetre)-1))</f>
        <v/>
      </c>
      <c r="V169" s="34">
        <f>IF('Historique ajusté'!C169="","",'Historique ajusté'!C169/MAX('Historique ajusté'!C$6:C169)-1)</f>
        <v/>
      </c>
      <c r="W169" s="34">
        <f>IF('Historique ajusté'!D169="","",'Historique ajusté'!D169/MAX('Historique ajusté'!D$6:D169)-1)</f>
        <v/>
      </c>
      <c r="X169" s="34">
        <f>IF('Historique ajusté'!E169="","",'Historique ajusté'!E169/MAX('Historique ajusté'!E$6:E169)-1)</f>
        <v/>
      </c>
      <c r="Y169" s="34">
        <f>IF('Historique ajusté'!F169="","",'Historique ajusté'!F169/MAX('Historique ajusté'!F$6:F169)-1)</f>
        <v/>
      </c>
      <c r="Z169" s="34">
        <f>IF('Historique ajusté'!G169="","",'Historique ajusté'!G169/MAX('Historique ajusté'!G$6:G169)-1)</f>
        <v/>
      </c>
      <c r="AA169" s="34">
        <f>IF('Historique ajusté'!H169="","",'Historique ajusté'!H169/MAX('Historique ajusté'!H$6:H169)-1)</f>
        <v/>
      </c>
      <c r="AB169" s="34">
        <f>IF('Historique ajusté'!I169="","",'Historique ajusté'!I169/MAX('Historique ajusté'!I$6:I169)-1)</f>
        <v/>
      </c>
      <c r="AC169" s="34">
        <f>IF('Historique ajusté'!J169="","",'Historique ajusté'!J169/MAX('Historique ajusté'!J$6:J169)-1)</f>
        <v/>
      </c>
      <c r="AD169" s="34">
        <f>IF('Historique ajusté'!K169="","",'Historique ajusté'!K169/MAX('Historique ajusté'!K$6:K169)-1)</f>
        <v/>
      </c>
      <c r="AE169" s="34">
        <f>IF('Historique ajusté'!L169="","",'Historique ajusté'!L169/MAX('Historique ajusté'!L$6:L169)-1)</f>
        <v/>
      </c>
      <c r="AF169" s="34">
        <f>IF('Historique ajusté'!M169="","",'Historique ajusté'!M169/MAX('Historique ajusté'!M$6:M169)-1)</f>
        <v/>
      </c>
      <c r="AG169" s="34">
        <f>IF('Historique ajusté'!N169="","",'Historique ajusté'!N169/MAX('Historique ajusté'!N$6:N169)-1)</f>
        <v/>
      </c>
      <c r="AH169" s="34">
        <f>IF('Historique ajusté'!O169="","",'Historique ajusté'!O169/MAX('Historique ajusté'!O$6:O169)-1)</f>
        <v/>
      </c>
      <c r="AI169" s="34">
        <f>IF('Historique ajusté'!P169="","",'Historique ajusté'!P169/MAX('Historique ajusté'!P$6:P169)-1)</f>
        <v/>
      </c>
      <c r="AJ169" s="34">
        <f>IF(Composites!L169="","",Composites!L169/MAX(Composites!L$6:L169)-1)</f>
        <v/>
      </c>
      <c r="AK169" s="34">
        <f>IF(Composites!M169="","",Composites!M169/MAX(Composites!M$6:M169)-1)</f>
        <v/>
      </c>
      <c r="AL169" s="34">
        <f>IF(Composites!N169="","",Composites!N169/MAX(Composites!N$6:N169)-1)</f>
        <v/>
      </c>
      <c r="AM169" s="34">
        <f>IF(Composites!O169="","",Composites!O169/MAX(Composites!O$6:O169)-1)</f>
        <v/>
      </c>
      <c r="AN169" s="34">
        <f>IF(Composites!P169="","",Composites!P169/MAX(Composites!P$6:P169)-1)</f>
        <v/>
      </c>
    </row>
    <row r="170">
      <c r="B170" s="32">
        <f>'Historique ajusté'!B170</f>
        <v/>
      </c>
      <c r="C170" s="34">
        <f>IF(OR('Historique ajusté'!C170="",ROW()-Fenetre&lt;6),"",IF(INDEX('Historique ajusté'!C:C,ROW()-Fenetre)="","",'Historique ajusté'!C170/INDEX('Historique ajusté'!C:C,ROW()-Fenetre)-1))</f>
        <v/>
      </c>
      <c r="D170" s="34">
        <f>IF(OR('Historique ajusté'!D170="",ROW()-Fenetre&lt;6),"",IF(INDEX('Historique ajusté'!D:D,ROW()-Fenetre)="","",'Historique ajusté'!D170/INDEX('Historique ajusté'!D:D,ROW()-Fenetre)-1))</f>
        <v/>
      </c>
      <c r="E170" s="34">
        <f>IF(OR('Historique ajusté'!E170="",ROW()-Fenetre&lt;6),"",IF(INDEX('Historique ajusté'!E:E,ROW()-Fenetre)="","",'Historique ajusté'!E170/INDEX('Historique ajusté'!E:E,ROW()-Fenetre)-1))</f>
        <v/>
      </c>
      <c r="F170" s="34">
        <f>IF(OR('Historique ajusté'!F170="",ROW()-Fenetre&lt;6),"",IF(INDEX('Historique ajusté'!F:F,ROW()-Fenetre)="","",'Historique ajusté'!F170/INDEX('Historique ajusté'!F:F,ROW()-Fenetre)-1))</f>
        <v/>
      </c>
      <c r="G170" s="34">
        <f>IF(OR('Historique ajusté'!G170="",ROW()-Fenetre&lt;6),"",IF(INDEX('Historique ajusté'!G:G,ROW()-Fenetre)="","",'Historique ajusté'!G170/INDEX('Historique ajusté'!G:G,ROW()-Fenetre)-1))</f>
        <v/>
      </c>
      <c r="H170" s="34">
        <f>IF(OR('Historique ajusté'!H170="",ROW()-Fenetre&lt;6),"",IF(INDEX('Historique ajusté'!H:H,ROW()-Fenetre)="","",'Historique ajusté'!H170/INDEX('Historique ajusté'!H:H,ROW()-Fenetre)-1))</f>
        <v/>
      </c>
      <c r="I170" s="34">
        <f>IF(OR('Historique ajusté'!I170="",ROW()-Fenetre&lt;6),"",IF(INDEX('Historique ajusté'!I:I,ROW()-Fenetre)="","",'Historique ajusté'!I170/INDEX('Historique ajusté'!I:I,ROW()-Fenetre)-1))</f>
        <v/>
      </c>
      <c r="J170" s="34">
        <f>IF(OR('Historique ajusté'!J170="",ROW()-Fenetre&lt;6),"",IF(INDEX('Historique ajusté'!J:J,ROW()-Fenetre)="","",'Historique ajusté'!J170/INDEX('Historique ajusté'!J:J,ROW()-Fenetre)-1))</f>
        <v/>
      </c>
      <c r="K170" s="34">
        <f>IF(OR('Historique ajusté'!K170="",ROW()-Fenetre&lt;6),"",IF(INDEX('Historique ajusté'!K:K,ROW()-Fenetre)="","",'Historique ajusté'!K170/INDEX('Historique ajusté'!K:K,ROW()-Fenetre)-1))</f>
        <v/>
      </c>
      <c r="L170" s="34">
        <f>IF(OR('Historique ajusté'!L170="",ROW()-Fenetre&lt;6),"",IF(INDEX('Historique ajusté'!L:L,ROW()-Fenetre)="","",'Historique ajusté'!L170/INDEX('Historique ajusté'!L:L,ROW()-Fenetre)-1))</f>
        <v/>
      </c>
      <c r="M170" s="34">
        <f>IF(OR('Historique ajusté'!M170="",ROW()-Fenetre&lt;6),"",IF(INDEX('Historique ajusté'!M:M,ROW()-Fenetre)="","",'Historique ajusté'!M170/INDEX('Historique ajusté'!M:M,ROW()-Fenetre)-1))</f>
        <v/>
      </c>
      <c r="N170" s="34">
        <f>IF(OR('Historique ajusté'!N170="",ROW()-Fenetre&lt;6),"",IF(INDEX('Historique ajusté'!N:N,ROW()-Fenetre)="","",'Historique ajusté'!N170/INDEX('Historique ajusté'!N:N,ROW()-Fenetre)-1))</f>
        <v/>
      </c>
      <c r="O170" s="34">
        <f>IF(OR('Historique ajusté'!O170="",ROW()-Fenetre&lt;6),"",IF(INDEX('Historique ajusté'!O:O,ROW()-Fenetre)="","",'Historique ajusté'!O170/INDEX('Historique ajusté'!O:O,ROW()-Fenetre)-1))</f>
        <v/>
      </c>
      <c r="P170" s="34">
        <f>IF(OR('Historique ajusté'!P170="",ROW()-Fenetre&lt;6),"",IF(INDEX('Historique ajusté'!P:P,ROW()-Fenetre)="","",'Historique ajusté'!P170/INDEX('Historique ajusté'!P:P,ROW()-Fenetre)-1))</f>
        <v/>
      </c>
      <c r="Q170" s="34">
        <f>IF(OR(Composites!L170="",ROW()-Fenetre&lt;6),"",IF(INDEX(Composites!L:L,ROW()-Fenetre)="","",Composites!L170/INDEX(Composites!L:L,ROW()-Fenetre)-1))</f>
        <v/>
      </c>
      <c r="R170" s="34">
        <f>IF(OR(Composites!M170="",ROW()-Fenetre&lt;6),"",IF(INDEX(Composites!M:M,ROW()-Fenetre)="","",Composites!M170/INDEX(Composites!M:M,ROW()-Fenetre)-1))</f>
        <v/>
      </c>
      <c r="S170" s="34">
        <f>IF(OR(Composites!N170="",ROW()-Fenetre&lt;6),"",IF(INDEX(Composites!N:N,ROW()-Fenetre)="","",Composites!N170/INDEX(Composites!N:N,ROW()-Fenetre)-1))</f>
        <v/>
      </c>
      <c r="T170" s="34">
        <f>IF(OR(Composites!O170="",ROW()-Fenetre&lt;6),"",IF(INDEX(Composites!O:O,ROW()-Fenetre)="","",Composites!O170/INDEX(Composites!O:O,ROW()-Fenetre)-1))</f>
        <v/>
      </c>
      <c r="U170" s="34">
        <f>IF(OR(Composites!P170="",ROW()-Fenetre&lt;6),"",IF(INDEX(Composites!P:P,ROW()-Fenetre)="","",Composites!P170/INDEX(Composites!P:P,ROW()-Fenetre)-1))</f>
        <v/>
      </c>
      <c r="V170" s="34">
        <f>IF('Historique ajusté'!C170="","",'Historique ajusté'!C170/MAX('Historique ajusté'!C$6:C170)-1)</f>
        <v/>
      </c>
      <c r="W170" s="34">
        <f>IF('Historique ajusté'!D170="","",'Historique ajusté'!D170/MAX('Historique ajusté'!D$6:D170)-1)</f>
        <v/>
      </c>
      <c r="X170" s="34">
        <f>IF('Historique ajusté'!E170="","",'Historique ajusté'!E170/MAX('Historique ajusté'!E$6:E170)-1)</f>
        <v/>
      </c>
      <c r="Y170" s="34">
        <f>IF('Historique ajusté'!F170="","",'Historique ajusté'!F170/MAX('Historique ajusté'!F$6:F170)-1)</f>
        <v/>
      </c>
      <c r="Z170" s="34">
        <f>IF('Historique ajusté'!G170="","",'Historique ajusté'!G170/MAX('Historique ajusté'!G$6:G170)-1)</f>
        <v/>
      </c>
      <c r="AA170" s="34">
        <f>IF('Historique ajusté'!H170="","",'Historique ajusté'!H170/MAX('Historique ajusté'!H$6:H170)-1)</f>
        <v/>
      </c>
      <c r="AB170" s="34">
        <f>IF('Historique ajusté'!I170="","",'Historique ajusté'!I170/MAX('Historique ajusté'!I$6:I170)-1)</f>
        <v/>
      </c>
      <c r="AC170" s="34">
        <f>IF('Historique ajusté'!J170="","",'Historique ajusté'!J170/MAX('Historique ajusté'!J$6:J170)-1)</f>
        <v/>
      </c>
      <c r="AD170" s="34">
        <f>IF('Historique ajusté'!K170="","",'Historique ajusté'!K170/MAX('Historique ajusté'!K$6:K170)-1)</f>
        <v/>
      </c>
      <c r="AE170" s="34">
        <f>IF('Historique ajusté'!L170="","",'Historique ajusté'!L170/MAX('Historique ajusté'!L$6:L170)-1)</f>
        <v/>
      </c>
      <c r="AF170" s="34">
        <f>IF('Historique ajusté'!M170="","",'Historique ajusté'!M170/MAX('Historique ajusté'!M$6:M170)-1)</f>
        <v/>
      </c>
      <c r="AG170" s="34">
        <f>IF('Historique ajusté'!N170="","",'Historique ajusté'!N170/MAX('Historique ajusté'!N$6:N170)-1)</f>
        <v/>
      </c>
      <c r="AH170" s="34">
        <f>IF('Historique ajusté'!O170="","",'Historique ajusté'!O170/MAX('Historique ajusté'!O$6:O170)-1)</f>
        <v/>
      </c>
      <c r="AI170" s="34">
        <f>IF('Historique ajusté'!P170="","",'Historique ajusté'!P170/MAX('Historique ajusté'!P$6:P170)-1)</f>
        <v/>
      </c>
      <c r="AJ170" s="34">
        <f>IF(Composites!L170="","",Composites!L170/MAX(Composites!L$6:L170)-1)</f>
        <v/>
      </c>
      <c r="AK170" s="34">
        <f>IF(Composites!M170="","",Composites!M170/MAX(Composites!M$6:M170)-1)</f>
        <v/>
      </c>
      <c r="AL170" s="34">
        <f>IF(Composites!N170="","",Composites!N170/MAX(Composites!N$6:N170)-1)</f>
        <v/>
      </c>
      <c r="AM170" s="34">
        <f>IF(Composites!O170="","",Composites!O170/MAX(Composites!O$6:O170)-1)</f>
        <v/>
      </c>
      <c r="AN170" s="34">
        <f>IF(Composites!P170="","",Composites!P170/MAX(Composites!P$6:P170)-1)</f>
        <v/>
      </c>
    </row>
    <row r="171">
      <c r="B171" s="32">
        <f>'Historique ajusté'!B171</f>
        <v/>
      </c>
      <c r="C171" s="34">
        <f>IF(OR('Historique ajusté'!C171="",ROW()-Fenetre&lt;6),"",IF(INDEX('Historique ajusté'!C:C,ROW()-Fenetre)="","",'Historique ajusté'!C171/INDEX('Historique ajusté'!C:C,ROW()-Fenetre)-1))</f>
        <v/>
      </c>
      <c r="D171" s="34">
        <f>IF(OR('Historique ajusté'!D171="",ROW()-Fenetre&lt;6),"",IF(INDEX('Historique ajusté'!D:D,ROW()-Fenetre)="","",'Historique ajusté'!D171/INDEX('Historique ajusté'!D:D,ROW()-Fenetre)-1))</f>
        <v/>
      </c>
      <c r="E171" s="34">
        <f>IF(OR('Historique ajusté'!E171="",ROW()-Fenetre&lt;6),"",IF(INDEX('Historique ajusté'!E:E,ROW()-Fenetre)="","",'Historique ajusté'!E171/INDEX('Historique ajusté'!E:E,ROW()-Fenetre)-1))</f>
        <v/>
      </c>
      <c r="F171" s="34">
        <f>IF(OR('Historique ajusté'!F171="",ROW()-Fenetre&lt;6),"",IF(INDEX('Historique ajusté'!F:F,ROW()-Fenetre)="","",'Historique ajusté'!F171/INDEX('Historique ajusté'!F:F,ROW()-Fenetre)-1))</f>
        <v/>
      </c>
      <c r="G171" s="34">
        <f>IF(OR('Historique ajusté'!G171="",ROW()-Fenetre&lt;6),"",IF(INDEX('Historique ajusté'!G:G,ROW()-Fenetre)="","",'Historique ajusté'!G171/INDEX('Historique ajusté'!G:G,ROW()-Fenetre)-1))</f>
        <v/>
      </c>
      <c r="H171" s="34">
        <f>IF(OR('Historique ajusté'!H171="",ROW()-Fenetre&lt;6),"",IF(INDEX('Historique ajusté'!H:H,ROW()-Fenetre)="","",'Historique ajusté'!H171/INDEX('Historique ajusté'!H:H,ROW()-Fenetre)-1))</f>
        <v/>
      </c>
      <c r="I171" s="34">
        <f>IF(OR('Historique ajusté'!I171="",ROW()-Fenetre&lt;6),"",IF(INDEX('Historique ajusté'!I:I,ROW()-Fenetre)="","",'Historique ajusté'!I171/INDEX('Historique ajusté'!I:I,ROW()-Fenetre)-1))</f>
        <v/>
      </c>
      <c r="J171" s="34">
        <f>IF(OR('Historique ajusté'!J171="",ROW()-Fenetre&lt;6),"",IF(INDEX('Historique ajusté'!J:J,ROW()-Fenetre)="","",'Historique ajusté'!J171/INDEX('Historique ajusté'!J:J,ROW()-Fenetre)-1))</f>
        <v/>
      </c>
      <c r="K171" s="34">
        <f>IF(OR('Historique ajusté'!K171="",ROW()-Fenetre&lt;6),"",IF(INDEX('Historique ajusté'!K:K,ROW()-Fenetre)="","",'Historique ajusté'!K171/INDEX('Historique ajusté'!K:K,ROW()-Fenetre)-1))</f>
        <v/>
      </c>
      <c r="L171" s="34">
        <f>IF(OR('Historique ajusté'!L171="",ROW()-Fenetre&lt;6),"",IF(INDEX('Historique ajusté'!L:L,ROW()-Fenetre)="","",'Historique ajusté'!L171/INDEX('Historique ajusté'!L:L,ROW()-Fenetre)-1))</f>
        <v/>
      </c>
      <c r="M171" s="34">
        <f>IF(OR('Historique ajusté'!M171="",ROW()-Fenetre&lt;6),"",IF(INDEX('Historique ajusté'!M:M,ROW()-Fenetre)="","",'Historique ajusté'!M171/INDEX('Historique ajusté'!M:M,ROW()-Fenetre)-1))</f>
        <v/>
      </c>
      <c r="N171" s="34">
        <f>IF(OR('Historique ajusté'!N171="",ROW()-Fenetre&lt;6),"",IF(INDEX('Historique ajusté'!N:N,ROW()-Fenetre)="","",'Historique ajusté'!N171/INDEX('Historique ajusté'!N:N,ROW()-Fenetre)-1))</f>
        <v/>
      </c>
      <c r="O171" s="34">
        <f>IF(OR('Historique ajusté'!O171="",ROW()-Fenetre&lt;6),"",IF(INDEX('Historique ajusté'!O:O,ROW()-Fenetre)="","",'Historique ajusté'!O171/INDEX('Historique ajusté'!O:O,ROW()-Fenetre)-1))</f>
        <v/>
      </c>
      <c r="P171" s="34">
        <f>IF(OR('Historique ajusté'!P171="",ROW()-Fenetre&lt;6),"",IF(INDEX('Historique ajusté'!P:P,ROW()-Fenetre)="","",'Historique ajusté'!P171/INDEX('Historique ajusté'!P:P,ROW()-Fenetre)-1))</f>
        <v/>
      </c>
      <c r="Q171" s="34">
        <f>IF(OR(Composites!L171="",ROW()-Fenetre&lt;6),"",IF(INDEX(Composites!L:L,ROW()-Fenetre)="","",Composites!L171/INDEX(Composites!L:L,ROW()-Fenetre)-1))</f>
        <v/>
      </c>
      <c r="R171" s="34">
        <f>IF(OR(Composites!M171="",ROW()-Fenetre&lt;6),"",IF(INDEX(Composites!M:M,ROW()-Fenetre)="","",Composites!M171/INDEX(Composites!M:M,ROW()-Fenetre)-1))</f>
        <v/>
      </c>
      <c r="S171" s="34">
        <f>IF(OR(Composites!N171="",ROW()-Fenetre&lt;6),"",IF(INDEX(Composites!N:N,ROW()-Fenetre)="","",Composites!N171/INDEX(Composites!N:N,ROW()-Fenetre)-1))</f>
        <v/>
      </c>
      <c r="T171" s="34">
        <f>IF(OR(Composites!O171="",ROW()-Fenetre&lt;6),"",IF(INDEX(Composites!O:O,ROW()-Fenetre)="","",Composites!O171/INDEX(Composites!O:O,ROW()-Fenetre)-1))</f>
        <v/>
      </c>
      <c r="U171" s="34">
        <f>IF(OR(Composites!P171="",ROW()-Fenetre&lt;6),"",IF(INDEX(Composites!P:P,ROW()-Fenetre)="","",Composites!P171/INDEX(Composites!P:P,ROW()-Fenetre)-1))</f>
        <v/>
      </c>
      <c r="V171" s="34">
        <f>IF('Historique ajusté'!C171="","",'Historique ajusté'!C171/MAX('Historique ajusté'!C$6:C171)-1)</f>
        <v/>
      </c>
      <c r="W171" s="34">
        <f>IF('Historique ajusté'!D171="","",'Historique ajusté'!D171/MAX('Historique ajusté'!D$6:D171)-1)</f>
        <v/>
      </c>
      <c r="X171" s="34">
        <f>IF('Historique ajusté'!E171="","",'Historique ajusté'!E171/MAX('Historique ajusté'!E$6:E171)-1)</f>
        <v/>
      </c>
      <c r="Y171" s="34">
        <f>IF('Historique ajusté'!F171="","",'Historique ajusté'!F171/MAX('Historique ajusté'!F$6:F171)-1)</f>
        <v/>
      </c>
      <c r="Z171" s="34">
        <f>IF('Historique ajusté'!G171="","",'Historique ajusté'!G171/MAX('Historique ajusté'!G$6:G171)-1)</f>
        <v/>
      </c>
      <c r="AA171" s="34">
        <f>IF('Historique ajusté'!H171="","",'Historique ajusté'!H171/MAX('Historique ajusté'!H$6:H171)-1)</f>
        <v/>
      </c>
      <c r="AB171" s="34">
        <f>IF('Historique ajusté'!I171="","",'Historique ajusté'!I171/MAX('Historique ajusté'!I$6:I171)-1)</f>
        <v/>
      </c>
      <c r="AC171" s="34">
        <f>IF('Historique ajusté'!J171="","",'Historique ajusté'!J171/MAX('Historique ajusté'!J$6:J171)-1)</f>
        <v/>
      </c>
      <c r="AD171" s="34">
        <f>IF('Historique ajusté'!K171="","",'Historique ajusté'!K171/MAX('Historique ajusté'!K$6:K171)-1)</f>
        <v/>
      </c>
      <c r="AE171" s="34">
        <f>IF('Historique ajusté'!L171="","",'Historique ajusté'!L171/MAX('Historique ajusté'!L$6:L171)-1)</f>
        <v/>
      </c>
      <c r="AF171" s="34">
        <f>IF('Historique ajusté'!M171="","",'Historique ajusté'!M171/MAX('Historique ajusté'!M$6:M171)-1)</f>
        <v/>
      </c>
      <c r="AG171" s="34">
        <f>IF('Historique ajusté'!N171="","",'Historique ajusté'!N171/MAX('Historique ajusté'!N$6:N171)-1)</f>
        <v/>
      </c>
      <c r="AH171" s="34">
        <f>IF('Historique ajusté'!O171="","",'Historique ajusté'!O171/MAX('Historique ajusté'!O$6:O171)-1)</f>
        <v/>
      </c>
      <c r="AI171" s="34">
        <f>IF('Historique ajusté'!P171="","",'Historique ajusté'!P171/MAX('Historique ajusté'!P$6:P171)-1)</f>
        <v/>
      </c>
      <c r="AJ171" s="34">
        <f>IF(Composites!L171="","",Composites!L171/MAX(Composites!L$6:L171)-1)</f>
        <v/>
      </c>
      <c r="AK171" s="34">
        <f>IF(Composites!M171="","",Composites!M171/MAX(Composites!M$6:M171)-1)</f>
        <v/>
      </c>
      <c r="AL171" s="34">
        <f>IF(Composites!N171="","",Composites!N171/MAX(Composites!N$6:N171)-1)</f>
        <v/>
      </c>
      <c r="AM171" s="34">
        <f>IF(Composites!O171="","",Composites!O171/MAX(Composites!O$6:O171)-1)</f>
        <v/>
      </c>
      <c r="AN171" s="34">
        <f>IF(Composites!P171="","",Composites!P171/MAX(Composites!P$6:P171)-1)</f>
        <v/>
      </c>
    </row>
    <row r="172">
      <c r="B172" s="32">
        <f>'Historique ajusté'!B172</f>
        <v/>
      </c>
      <c r="C172" s="34">
        <f>IF(OR('Historique ajusté'!C172="",ROW()-Fenetre&lt;6),"",IF(INDEX('Historique ajusté'!C:C,ROW()-Fenetre)="","",'Historique ajusté'!C172/INDEX('Historique ajusté'!C:C,ROW()-Fenetre)-1))</f>
        <v/>
      </c>
      <c r="D172" s="34">
        <f>IF(OR('Historique ajusté'!D172="",ROW()-Fenetre&lt;6),"",IF(INDEX('Historique ajusté'!D:D,ROW()-Fenetre)="","",'Historique ajusté'!D172/INDEX('Historique ajusté'!D:D,ROW()-Fenetre)-1))</f>
        <v/>
      </c>
      <c r="E172" s="34">
        <f>IF(OR('Historique ajusté'!E172="",ROW()-Fenetre&lt;6),"",IF(INDEX('Historique ajusté'!E:E,ROW()-Fenetre)="","",'Historique ajusté'!E172/INDEX('Historique ajusté'!E:E,ROW()-Fenetre)-1))</f>
        <v/>
      </c>
      <c r="F172" s="34">
        <f>IF(OR('Historique ajusté'!F172="",ROW()-Fenetre&lt;6),"",IF(INDEX('Historique ajusté'!F:F,ROW()-Fenetre)="","",'Historique ajusté'!F172/INDEX('Historique ajusté'!F:F,ROW()-Fenetre)-1))</f>
        <v/>
      </c>
      <c r="G172" s="34">
        <f>IF(OR('Historique ajusté'!G172="",ROW()-Fenetre&lt;6),"",IF(INDEX('Historique ajusté'!G:G,ROW()-Fenetre)="","",'Historique ajusté'!G172/INDEX('Historique ajusté'!G:G,ROW()-Fenetre)-1))</f>
        <v/>
      </c>
      <c r="H172" s="34">
        <f>IF(OR('Historique ajusté'!H172="",ROW()-Fenetre&lt;6),"",IF(INDEX('Historique ajusté'!H:H,ROW()-Fenetre)="","",'Historique ajusté'!H172/INDEX('Historique ajusté'!H:H,ROW()-Fenetre)-1))</f>
        <v/>
      </c>
      <c r="I172" s="34">
        <f>IF(OR('Historique ajusté'!I172="",ROW()-Fenetre&lt;6),"",IF(INDEX('Historique ajusté'!I:I,ROW()-Fenetre)="","",'Historique ajusté'!I172/INDEX('Historique ajusté'!I:I,ROW()-Fenetre)-1))</f>
        <v/>
      </c>
      <c r="J172" s="34">
        <f>IF(OR('Historique ajusté'!J172="",ROW()-Fenetre&lt;6),"",IF(INDEX('Historique ajusté'!J:J,ROW()-Fenetre)="","",'Historique ajusté'!J172/INDEX('Historique ajusté'!J:J,ROW()-Fenetre)-1))</f>
        <v/>
      </c>
      <c r="K172" s="34">
        <f>IF(OR('Historique ajusté'!K172="",ROW()-Fenetre&lt;6),"",IF(INDEX('Historique ajusté'!K:K,ROW()-Fenetre)="","",'Historique ajusté'!K172/INDEX('Historique ajusté'!K:K,ROW()-Fenetre)-1))</f>
        <v/>
      </c>
      <c r="L172" s="34">
        <f>IF(OR('Historique ajusté'!L172="",ROW()-Fenetre&lt;6),"",IF(INDEX('Historique ajusté'!L:L,ROW()-Fenetre)="","",'Historique ajusté'!L172/INDEX('Historique ajusté'!L:L,ROW()-Fenetre)-1))</f>
        <v/>
      </c>
      <c r="M172" s="34">
        <f>IF(OR('Historique ajusté'!M172="",ROW()-Fenetre&lt;6),"",IF(INDEX('Historique ajusté'!M:M,ROW()-Fenetre)="","",'Historique ajusté'!M172/INDEX('Historique ajusté'!M:M,ROW()-Fenetre)-1))</f>
        <v/>
      </c>
      <c r="N172" s="34">
        <f>IF(OR('Historique ajusté'!N172="",ROW()-Fenetre&lt;6),"",IF(INDEX('Historique ajusté'!N:N,ROW()-Fenetre)="","",'Historique ajusté'!N172/INDEX('Historique ajusté'!N:N,ROW()-Fenetre)-1))</f>
        <v/>
      </c>
      <c r="O172" s="34">
        <f>IF(OR('Historique ajusté'!O172="",ROW()-Fenetre&lt;6),"",IF(INDEX('Historique ajusté'!O:O,ROW()-Fenetre)="","",'Historique ajusté'!O172/INDEX('Historique ajusté'!O:O,ROW()-Fenetre)-1))</f>
        <v/>
      </c>
      <c r="P172" s="34">
        <f>IF(OR('Historique ajusté'!P172="",ROW()-Fenetre&lt;6),"",IF(INDEX('Historique ajusté'!P:P,ROW()-Fenetre)="","",'Historique ajusté'!P172/INDEX('Historique ajusté'!P:P,ROW()-Fenetre)-1))</f>
        <v/>
      </c>
      <c r="Q172" s="34">
        <f>IF(OR(Composites!L172="",ROW()-Fenetre&lt;6),"",IF(INDEX(Composites!L:L,ROW()-Fenetre)="","",Composites!L172/INDEX(Composites!L:L,ROW()-Fenetre)-1))</f>
        <v/>
      </c>
      <c r="R172" s="34">
        <f>IF(OR(Composites!M172="",ROW()-Fenetre&lt;6),"",IF(INDEX(Composites!M:M,ROW()-Fenetre)="","",Composites!M172/INDEX(Composites!M:M,ROW()-Fenetre)-1))</f>
        <v/>
      </c>
      <c r="S172" s="34">
        <f>IF(OR(Composites!N172="",ROW()-Fenetre&lt;6),"",IF(INDEX(Composites!N:N,ROW()-Fenetre)="","",Composites!N172/INDEX(Composites!N:N,ROW()-Fenetre)-1))</f>
        <v/>
      </c>
      <c r="T172" s="34">
        <f>IF(OR(Composites!O172="",ROW()-Fenetre&lt;6),"",IF(INDEX(Composites!O:O,ROW()-Fenetre)="","",Composites!O172/INDEX(Composites!O:O,ROW()-Fenetre)-1))</f>
        <v/>
      </c>
      <c r="U172" s="34">
        <f>IF(OR(Composites!P172="",ROW()-Fenetre&lt;6),"",IF(INDEX(Composites!P:P,ROW()-Fenetre)="","",Composites!P172/INDEX(Composites!P:P,ROW()-Fenetre)-1))</f>
        <v/>
      </c>
      <c r="V172" s="34">
        <f>IF('Historique ajusté'!C172="","",'Historique ajusté'!C172/MAX('Historique ajusté'!C$6:C172)-1)</f>
        <v/>
      </c>
      <c r="W172" s="34">
        <f>IF('Historique ajusté'!D172="","",'Historique ajusté'!D172/MAX('Historique ajusté'!D$6:D172)-1)</f>
        <v/>
      </c>
      <c r="X172" s="34">
        <f>IF('Historique ajusté'!E172="","",'Historique ajusté'!E172/MAX('Historique ajusté'!E$6:E172)-1)</f>
        <v/>
      </c>
      <c r="Y172" s="34">
        <f>IF('Historique ajusté'!F172="","",'Historique ajusté'!F172/MAX('Historique ajusté'!F$6:F172)-1)</f>
        <v/>
      </c>
      <c r="Z172" s="34">
        <f>IF('Historique ajusté'!G172="","",'Historique ajusté'!G172/MAX('Historique ajusté'!G$6:G172)-1)</f>
        <v/>
      </c>
      <c r="AA172" s="34">
        <f>IF('Historique ajusté'!H172="","",'Historique ajusté'!H172/MAX('Historique ajusté'!H$6:H172)-1)</f>
        <v/>
      </c>
      <c r="AB172" s="34">
        <f>IF('Historique ajusté'!I172="","",'Historique ajusté'!I172/MAX('Historique ajusté'!I$6:I172)-1)</f>
        <v/>
      </c>
      <c r="AC172" s="34">
        <f>IF('Historique ajusté'!J172="","",'Historique ajusté'!J172/MAX('Historique ajusté'!J$6:J172)-1)</f>
        <v/>
      </c>
      <c r="AD172" s="34">
        <f>IF('Historique ajusté'!K172="","",'Historique ajusté'!K172/MAX('Historique ajusté'!K$6:K172)-1)</f>
        <v/>
      </c>
      <c r="AE172" s="34">
        <f>IF('Historique ajusté'!L172="","",'Historique ajusté'!L172/MAX('Historique ajusté'!L$6:L172)-1)</f>
        <v/>
      </c>
      <c r="AF172" s="34">
        <f>IF('Historique ajusté'!M172="","",'Historique ajusté'!M172/MAX('Historique ajusté'!M$6:M172)-1)</f>
        <v/>
      </c>
      <c r="AG172" s="34">
        <f>IF('Historique ajusté'!N172="","",'Historique ajusté'!N172/MAX('Historique ajusté'!N$6:N172)-1)</f>
        <v/>
      </c>
      <c r="AH172" s="34">
        <f>IF('Historique ajusté'!O172="","",'Historique ajusté'!O172/MAX('Historique ajusté'!O$6:O172)-1)</f>
        <v/>
      </c>
      <c r="AI172" s="34">
        <f>IF('Historique ajusté'!P172="","",'Historique ajusté'!P172/MAX('Historique ajusté'!P$6:P172)-1)</f>
        <v/>
      </c>
      <c r="AJ172" s="34">
        <f>IF(Composites!L172="","",Composites!L172/MAX(Composites!L$6:L172)-1)</f>
        <v/>
      </c>
      <c r="AK172" s="34">
        <f>IF(Composites!M172="","",Composites!M172/MAX(Composites!M$6:M172)-1)</f>
        <v/>
      </c>
      <c r="AL172" s="34">
        <f>IF(Composites!N172="","",Composites!N172/MAX(Composites!N$6:N172)-1)</f>
        <v/>
      </c>
      <c r="AM172" s="34">
        <f>IF(Composites!O172="","",Composites!O172/MAX(Composites!O$6:O172)-1)</f>
        <v/>
      </c>
      <c r="AN172" s="34">
        <f>IF(Composites!P172="","",Composites!P172/MAX(Composites!P$6:P172)-1)</f>
        <v/>
      </c>
    </row>
    <row r="173">
      <c r="B173" s="32">
        <f>'Historique ajusté'!B173</f>
        <v/>
      </c>
      <c r="C173" s="34">
        <f>IF(OR('Historique ajusté'!C173="",ROW()-Fenetre&lt;6),"",IF(INDEX('Historique ajusté'!C:C,ROW()-Fenetre)="","",'Historique ajusté'!C173/INDEX('Historique ajusté'!C:C,ROW()-Fenetre)-1))</f>
        <v/>
      </c>
      <c r="D173" s="34">
        <f>IF(OR('Historique ajusté'!D173="",ROW()-Fenetre&lt;6),"",IF(INDEX('Historique ajusté'!D:D,ROW()-Fenetre)="","",'Historique ajusté'!D173/INDEX('Historique ajusté'!D:D,ROW()-Fenetre)-1))</f>
        <v/>
      </c>
      <c r="E173" s="34">
        <f>IF(OR('Historique ajusté'!E173="",ROW()-Fenetre&lt;6),"",IF(INDEX('Historique ajusté'!E:E,ROW()-Fenetre)="","",'Historique ajusté'!E173/INDEX('Historique ajusté'!E:E,ROW()-Fenetre)-1))</f>
        <v/>
      </c>
      <c r="F173" s="34">
        <f>IF(OR('Historique ajusté'!F173="",ROW()-Fenetre&lt;6),"",IF(INDEX('Historique ajusté'!F:F,ROW()-Fenetre)="","",'Historique ajusté'!F173/INDEX('Historique ajusté'!F:F,ROW()-Fenetre)-1))</f>
        <v/>
      </c>
      <c r="G173" s="34">
        <f>IF(OR('Historique ajusté'!G173="",ROW()-Fenetre&lt;6),"",IF(INDEX('Historique ajusté'!G:G,ROW()-Fenetre)="","",'Historique ajusté'!G173/INDEX('Historique ajusté'!G:G,ROW()-Fenetre)-1))</f>
        <v/>
      </c>
      <c r="H173" s="34">
        <f>IF(OR('Historique ajusté'!H173="",ROW()-Fenetre&lt;6),"",IF(INDEX('Historique ajusté'!H:H,ROW()-Fenetre)="","",'Historique ajusté'!H173/INDEX('Historique ajusté'!H:H,ROW()-Fenetre)-1))</f>
        <v/>
      </c>
      <c r="I173" s="34">
        <f>IF(OR('Historique ajusté'!I173="",ROW()-Fenetre&lt;6),"",IF(INDEX('Historique ajusté'!I:I,ROW()-Fenetre)="","",'Historique ajusté'!I173/INDEX('Historique ajusté'!I:I,ROW()-Fenetre)-1))</f>
        <v/>
      </c>
      <c r="J173" s="34">
        <f>IF(OR('Historique ajusté'!J173="",ROW()-Fenetre&lt;6),"",IF(INDEX('Historique ajusté'!J:J,ROW()-Fenetre)="","",'Historique ajusté'!J173/INDEX('Historique ajusté'!J:J,ROW()-Fenetre)-1))</f>
        <v/>
      </c>
      <c r="K173" s="34">
        <f>IF(OR('Historique ajusté'!K173="",ROW()-Fenetre&lt;6),"",IF(INDEX('Historique ajusté'!K:K,ROW()-Fenetre)="","",'Historique ajusté'!K173/INDEX('Historique ajusté'!K:K,ROW()-Fenetre)-1))</f>
        <v/>
      </c>
      <c r="L173" s="34">
        <f>IF(OR('Historique ajusté'!L173="",ROW()-Fenetre&lt;6),"",IF(INDEX('Historique ajusté'!L:L,ROW()-Fenetre)="","",'Historique ajusté'!L173/INDEX('Historique ajusté'!L:L,ROW()-Fenetre)-1))</f>
        <v/>
      </c>
      <c r="M173" s="34">
        <f>IF(OR('Historique ajusté'!M173="",ROW()-Fenetre&lt;6),"",IF(INDEX('Historique ajusté'!M:M,ROW()-Fenetre)="","",'Historique ajusté'!M173/INDEX('Historique ajusté'!M:M,ROW()-Fenetre)-1))</f>
        <v/>
      </c>
      <c r="N173" s="34">
        <f>IF(OR('Historique ajusté'!N173="",ROW()-Fenetre&lt;6),"",IF(INDEX('Historique ajusté'!N:N,ROW()-Fenetre)="","",'Historique ajusté'!N173/INDEX('Historique ajusté'!N:N,ROW()-Fenetre)-1))</f>
        <v/>
      </c>
      <c r="O173" s="34">
        <f>IF(OR('Historique ajusté'!O173="",ROW()-Fenetre&lt;6),"",IF(INDEX('Historique ajusté'!O:O,ROW()-Fenetre)="","",'Historique ajusté'!O173/INDEX('Historique ajusté'!O:O,ROW()-Fenetre)-1))</f>
        <v/>
      </c>
      <c r="P173" s="34">
        <f>IF(OR('Historique ajusté'!P173="",ROW()-Fenetre&lt;6),"",IF(INDEX('Historique ajusté'!P:P,ROW()-Fenetre)="","",'Historique ajusté'!P173/INDEX('Historique ajusté'!P:P,ROW()-Fenetre)-1))</f>
        <v/>
      </c>
      <c r="Q173" s="34">
        <f>IF(OR(Composites!L173="",ROW()-Fenetre&lt;6),"",IF(INDEX(Composites!L:L,ROW()-Fenetre)="","",Composites!L173/INDEX(Composites!L:L,ROW()-Fenetre)-1))</f>
        <v/>
      </c>
      <c r="R173" s="34">
        <f>IF(OR(Composites!M173="",ROW()-Fenetre&lt;6),"",IF(INDEX(Composites!M:M,ROW()-Fenetre)="","",Composites!M173/INDEX(Composites!M:M,ROW()-Fenetre)-1))</f>
        <v/>
      </c>
      <c r="S173" s="34">
        <f>IF(OR(Composites!N173="",ROW()-Fenetre&lt;6),"",IF(INDEX(Composites!N:N,ROW()-Fenetre)="","",Composites!N173/INDEX(Composites!N:N,ROW()-Fenetre)-1))</f>
        <v/>
      </c>
      <c r="T173" s="34">
        <f>IF(OR(Composites!O173="",ROW()-Fenetre&lt;6),"",IF(INDEX(Composites!O:O,ROW()-Fenetre)="","",Composites!O173/INDEX(Composites!O:O,ROW()-Fenetre)-1))</f>
        <v/>
      </c>
      <c r="U173" s="34">
        <f>IF(OR(Composites!P173="",ROW()-Fenetre&lt;6),"",IF(INDEX(Composites!P:P,ROW()-Fenetre)="","",Composites!P173/INDEX(Composites!P:P,ROW()-Fenetre)-1))</f>
        <v/>
      </c>
      <c r="V173" s="34">
        <f>IF('Historique ajusté'!C173="","",'Historique ajusté'!C173/MAX('Historique ajusté'!C$6:C173)-1)</f>
        <v/>
      </c>
      <c r="W173" s="34">
        <f>IF('Historique ajusté'!D173="","",'Historique ajusté'!D173/MAX('Historique ajusté'!D$6:D173)-1)</f>
        <v/>
      </c>
      <c r="X173" s="34">
        <f>IF('Historique ajusté'!E173="","",'Historique ajusté'!E173/MAX('Historique ajusté'!E$6:E173)-1)</f>
        <v/>
      </c>
      <c r="Y173" s="34">
        <f>IF('Historique ajusté'!F173="","",'Historique ajusté'!F173/MAX('Historique ajusté'!F$6:F173)-1)</f>
        <v/>
      </c>
      <c r="Z173" s="34">
        <f>IF('Historique ajusté'!G173="","",'Historique ajusté'!G173/MAX('Historique ajusté'!G$6:G173)-1)</f>
        <v/>
      </c>
      <c r="AA173" s="34">
        <f>IF('Historique ajusté'!H173="","",'Historique ajusté'!H173/MAX('Historique ajusté'!H$6:H173)-1)</f>
        <v/>
      </c>
      <c r="AB173" s="34">
        <f>IF('Historique ajusté'!I173="","",'Historique ajusté'!I173/MAX('Historique ajusté'!I$6:I173)-1)</f>
        <v/>
      </c>
      <c r="AC173" s="34">
        <f>IF('Historique ajusté'!J173="","",'Historique ajusté'!J173/MAX('Historique ajusté'!J$6:J173)-1)</f>
        <v/>
      </c>
      <c r="AD173" s="34">
        <f>IF('Historique ajusté'!K173="","",'Historique ajusté'!K173/MAX('Historique ajusté'!K$6:K173)-1)</f>
        <v/>
      </c>
      <c r="AE173" s="34">
        <f>IF('Historique ajusté'!L173="","",'Historique ajusté'!L173/MAX('Historique ajusté'!L$6:L173)-1)</f>
        <v/>
      </c>
      <c r="AF173" s="34">
        <f>IF('Historique ajusté'!M173="","",'Historique ajusté'!M173/MAX('Historique ajusté'!M$6:M173)-1)</f>
        <v/>
      </c>
      <c r="AG173" s="34">
        <f>IF('Historique ajusté'!N173="","",'Historique ajusté'!N173/MAX('Historique ajusté'!N$6:N173)-1)</f>
        <v/>
      </c>
      <c r="AH173" s="34">
        <f>IF('Historique ajusté'!O173="","",'Historique ajusté'!O173/MAX('Historique ajusté'!O$6:O173)-1)</f>
        <v/>
      </c>
      <c r="AI173" s="34">
        <f>IF('Historique ajusté'!P173="","",'Historique ajusté'!P173/MAX('Historique ajusté'!P$6:P173)-1)</f>
        <v/>
      </c>
      <c r="AJ173" s="34">
        <f>IF(Composites!L173="","",Composites!L173/MAX(Composites!L$6:L173)-1)</f>
        <v/>
      </c>
      <c r="AK173" s="34">
        <f>IF(Composites!M173="","",Composites!M173/MAX(Composites!M$6:M173)-1)</f>
        <v/>
      </c>
      <c r="AL173" s="34">
        <f>IF(Composites!N173="","",Composites!N173/MAX(Composites!N$6:N173)-1)</f>
        <v/>
      </c>
      <c r="AM173" s="34">
        <f>IF(Composites!O173="","",Composites!O173/MAX(Composites!O$6:O173)-1)</f>
        <v/>
      </c>
      <c r="AN173" s="34">
        <f>IF(Composites!P173="","",Composites!P173/MAX(Composites!P$6:P173)-1)</f>
        <v/>
      </c>
    </row>
    <row r="174">
      <c r="B174" s="32">
        <f>'Historique ajusté'!B174</f>
        <v/>
      </c>
      <c r="C174" s="34">
        <f>IF(OR('Historique ajusté'!C174="",ROW()-Fenetre&lt;6),"",IF(INDEX('Historique ajusté'!C:C,ROW()-Fenetre)="","",'Historique ajusté'!C174/INDEX('Historique ajusté'!C:C,ROW()-Fenetre)-1))</f>
        <v/>
      </c>
      <c r="D174" s="34">
        <f>IF(OR('Historique ajusté'!D174="",ROW()-Fenetre&lt;6),"",IF(INDEX('Historique ajusté'!D:D,ROW()-Fenetre)="","",'Historique ajusté'!D174/INDEX('Historique ajusté'!D:D,ROW()-Fenetre)-1))</f>
        <v/>
      </c>
      <c r="E174" s="34">
        <f>IF(OR('Historique ajusté'!E174="",ROW()-Fenetre&lt;6),"",IF(INDEX('Historique ajusté'!E:E,ROW()-Fenetre)="","",'Historique ajusté'!E174/INDEX('Historique ajusté'!E:E,ROW()-Fenetre)-1))</f>
        <v/>
      </c>
      <c r="F174" s="34">
        <f>IF(OR('Historique ajusté'!F174="",ROW()-Fenetre&lt;6),"",IF(INDEX('Historique ajusté'!F:F,ROW()-Fenetre)="","",'Historique ajusté'!F174/INDEX('Historique ajusté'!F:F,ROW()-Fenetre)-1))</f>
        <v/>
      </c>
      <c r="G174" s="34">
        <f>IF(OR('Historique ajusté'!G174="",ROW()-Fenetre&lt;6),"",IF(INDEX('Historique ajusté'!G:G,ROW()-Fenetre)="","",'Historique ajusté'!G174/INDEX('Historique ajusté'!G:G,ROW()-Fenetre)-1))</f>
        <v/>
      </c>
      <c r="H174" s="34">
        <f>IF(OR('Historique ajusté'!H174="",ROW()-Fenetre&lt;6),"",IF(INDEX('Historique ajusté'!H:H,ROW()-Fenetre)="","",'Historique ajusté'!H174/INDEX('Historique ajusté'!H:H,ROW()-Fenetre)-1))</f>
        <v/>
      </c>
      <c r="I174" s="34">
        <f>IF(OR('Historique ajusté'!I174="",ROW()-Fenetre&lt;6),"",IF(INDEX('Historique ajusté'!I:I,ROW()-Fenetre)="","",'Historique ajusté'!I174/INDEX('Historique ajusté'!I:I,ROW()-Fenetre)-1))</f>
        <v/>
      </c>
      <c r="J174" s="34">
        <f>IF(OR('Historique ajusté'!J174="",ROW()-Fenetre&lt;6),"",IF(INDEX('Historique ajusté'!J:J,ROW()-Fenetre)="","",'Historique ajusté'!J174/INDEX('Historique ajusté'!J:J,ROW()-Fenetre)-1))</f>
        <v/>
      </c>
      <c r="K174" s="34">
        <f>IF(OR('Historique ajusté'!K174="",ROW()-Fenetre&lt;6),"",IF(INDEX('Historique ajusté'!K:K,ROW()-Fenetre)="","",'Historique ajusté'!K174/INDEX('Historique ajusté'!K:K,ROW()-Fenetre)-1))</f>
        <v/>
      </c>
      <c r="L174" s="34">
        <f>IF(OR('Historique ajusté'!L174="",ROW()-Fenetre&lt;6),"",IF(INDEX('Historique ajusté'!L:L,ROW()-Fenetre)="","",'Historique ajusté'!L174/INDEX('Historique ajusté'!L:L,ROW()-Fenetre)-1))</f>
        <v/>
      </c>
      <c r="M174" s="34">
        <f>IF(OR('Historique ajusté'!M174="",ROW()-Fenetre&lt;6),"",IF(INDEX('Historique ajusté'!M:M,ROW()-Fenetre)="","",'Historique ajusté'!M174/INDEX('Historique ajusté'!M:M,ROW()-Fenetre)-1))</f>
        <v/>
      </c>
      <c r="N174" s="34">
        <f>IF(OR('Historique ajusté'!N174="",ROW()-Fenetre&lt;6),"",IF(INDEX('Historique ajusté'!N:N,ROW()-Fenetre)="","",'Historique ajusté'!N174/INDEX('Historique ajusté'!N:N,ROW()-Fenetre)-1))</f>
        <v/>
      </c>
      <c r="O174" s="34">
        <f>IF(OR('Historique ajusté'!O174="",ROW()-Fenetre&lt;6),"",IF(INDEX('Historique ajusté'!O:O,ROW()-Fenetre)="","",'Historique ajusté'!O174/INDEX('Historique ajusté'!O:O,ROW()-Fenetre)-1))</f>
        <v/>
      </c>
      <c r="P174" s="34">
        <f>IF(OR('Historique ajusté'!P174="",ROW()-Fenetre&lt;6),"",IF(INDEX('Historique ajusté'!P:P,ROW()-Fenetre)="","",'Historique ajusté'!P174/INDEX('Historique ajusté'!P:P,ROW()-Fenetre)-1))</f>
        <v/>
      </c>
      <c r="Q174" s="34">
        <f>IF(OR(Composites!L174="",ROW()-Fenetre&lt;6),"",IF(INDEX(Composites!L:L,ROW()-Fenetre)="","",Composites!L174/INDEX(Composites!L:L,ROW()-Fenetre)-1))</f>
        <v/>
      </c>
      <c r="R174" s="34">
        <f>IF(OR(Composites!M174="",ROW()-Fenetre&lt;6),"",IF(INDEX(Composites!M:M,ROW()-Fenetre)="","",Composites!M174/INDEX(Composites!M:M,ROW()-Fenetre)-1))</f>
        <v/>
      </c>
      <c r="S174" s="34">
        <f>IF(OR(Composites!N174="",ROW()-Fenetre&lt;6),"",IF(INDEX(Composites!N:N,ROW()-Fenetre)="","",Composites!N174/INDEX(Composites!N:N,ROW()-Fenetre)-1))</f>
        <v/>
      </c>
      <c r="T174" s="34">
        <f>IF(OR(Composites!O174="",ROW()-Fenetre&lt;6),"",IF(INDEX(Composites!O:O,ROW()-Fenetre)="","",Composites!O174/INDEX(Composites!O:O,ROW()-Fenetre)-1))</f>
        <v/>
      </c>
      <c r="U174" s="34">
        <f>IF(OR(Composites!P174="",ROW()-Fenetre&lt;6),"",IF(INDEX(Composites!P:P,ROW()-Fenetre)="","",Composites!P174/INDEX(Composites!P:P,ROW()-Fenetre)-1))</f>
        <v/>
      </c>
      <c r="V174" s="34">
        <f>IF('Historique ajusté'!C174="","",'Historique ajusté'!C174/MAX('Historique ajusté'!C$6:C174)-1)</f>
        <v/>
      </c>
      <c r="W174" s="34">
        <f>IF('Historique ajusté'!D174="","",'Historique ajusté'!D174/MAX('Historique ajusté'!D$6:D174)-1)</f>
        <v/>
      </c>
      <c r="X174" s="34">
        <f>IF('Historique ajusté'!E174="","",'Historique ajusté'!E174/MAX('Historique ajusté'!E$6:E174)-1)</f>
        <v/>
      </c>
      <c r="Y174" s="34">
        <f>IF('Historique ajusté'!F174="","",'Historique ajusté'!F174/MAX('Historique ajusté'!F$6:F174)-1)</f>
        <v/>
      </c>
      <c r="Z174" s="34">
        <f>IF('Historique ajusté'!G174="","",'Historique ajusté'!G174/MAX('Historique ajusté'!G$6:G174)-1)</f>
        <v/>
      </c>
      <c r="AA174" s="34">
        <f>IF('Historique ajusté'!H174="","",'Historique ajusté'!H174/MAX('Historique ajusté'!H$6:H174)-1)</f>
        <v/>
      </c>
      <c r="AB174" s="34">
        <f>IF('Historique ajusté'!I174="","",'Historique ajusté'!I174/MAX('Historique ajusté'!I$6:I174)-1)</f>
        <v/>
      </c>
      <c r="AC174" s="34">
        <f>IF('Historique ajusté'!J174="","",'Historique ajusté'!J174/MAX('Historique ajusté'!J$6:J174)-1)</f>
        <v/>
      </c>
      <c r="AD174" s="34">
        <f>IF('Historique ajusté'!K174="","",'Historique ajusté'!K174/MAX('Historique ajusté'!K$6:K174)-1)</f>
        <v/>
      </c>
      <c r="AE174" s="34">
        <f>IF('Historique ajusté'!L174="","",'Historique ajusté'!L174/MAX('Historique ajusté'!L$6:L174)-1)</f>
        <v/>
      </c>
      <c r="AF174" s="34">
        <f>IF('Historique ajusté'!M174="","",'Historique ajusté'!M174/MAX('Historique ajusté'!M$6:M174)-1)</f>
        <v/>
      </c>
      <c r="AG174" s="34">
        <f>IF('Historique ajusté'!N174="","",'Historique ajusté'!N174/MAX('Historique ajusté'!N$6:N174)-1)</f>
        <v/>
      </c>
      <c r="AH174" s="34">
        <f>IF('Historique ajusté'!O174="","",'Historique ajusté'!O174/MAX('Historique ajusté'!O$6:O174)-1)</f>
        <v/>
      </c>
      <c r="AI174" s="34">
        <f>IF('Historique ajusté'!P174="","",'Historique ajusté'!P174/MAX('Historique ajusté'!P$6:P174)-1)</f>
        <v/>
      </c>
      <c r="AJ174" s="34">
        <f>IF(Composites!L174="","",Composites!L174/MAX(Composites!L$6:L174)-1)</f>
        <v/>
      </c>
      <c r="AK174" s="34">
        <f>IF(Composites!M174="","",Composites!M174/MAX(Composites!M$6:M174)-1)</f>
        <v/>
      </c>
      <c r="AL174" s="34">
        <f>IF(Composites!N174="","",Composites!N174/MAX(Composites!N$6:N174)-1)</f>
        <v/>
      </c>
      <c r="AM174" s="34">
        <f>IF(Composites!O174="","",Composites!O174/MAX(Composites!O$6:O174)-1)</f>
        <v/>
      </c>
      <c r="AN174" s="34">
        <f>IF(Composites!P174="","",Composites!P174/MAX(Composites!P$6:P174)-1)</f>
        <v/>
      </c>
    </row>
    <row r="175">
      <c r="B175" s="32">
        <f>'Historique ajusté'!B175</f>
        <v/>
      </c>
      <c r="C175" s="34">
        <f>IF(OR('Historique ajusté'!C175="",ROW()-Fenetre&lt;6),"",IF(INDEX('Historique ajusté'!C:C,ROW()-Fenetre)="","",'Historique ajusté'!C175/INDEX('Historique ajusté'!C:C,ROW()-Fenetre)-1))</f>
        <v/>
      </c>
      <c r="D175" s="34">
        <f>IF(OR('Historique ajusté'!D175="",ROW()-Fenetre&lt;6),"",IF(INDEX('Historique ajusté'!D:D,ROW()-Fenetre)="","",'Historique ajusté'!D175/INDEX('Historique ajusté'!D:D,ROW()-Fenetre)-1))</f>
        <v/>
      </c>
      <c r="E175" s="34">
        <f>IF(OR('Historique ajusté'!E175="",ROW()-Fenetre&lt;6),"",IF(INDEX('Historique ajusté'!E:E,ROW()-Fenetre)="","",'Historique ajusté'!E175/INDEX('Historique ajusté'!E:E,ROW()-Fenetre)-1))</f>
        <v/>
      </c>
      <c r="F175" s="34">
        <f>IF(OR('Historique ajusté'!F175="",ROW()-Fenetre&lt;6),"",IF(INDEX('Historique ajusté'!F:F,ROW()-Fenetre)="","",'Historique ajusté'!F175/INDEX('Historique ajusté'!F:F,ROW()-Fenetre)-1))</f>
        <v/>
      </c>
      <c r="G175" s="34">
        <f>IF(OR('Historique ajusté'!G175="",ROW()-Fenetre&lt;6),"",IF(INDEX('Historique ajusté'!G:G,ROW()-Fenetre)="","",'Historique ajusté'!G175/INDEX('Historique ajusté'!G:G,ROW()-Fenetre)-1))</f>
        <v/>
      </c>
      <c r="H175" s="34">
        <f>IF(OR('Historique ajusté'!H175="",ROW()-Fenetre&lt;6),"",IF(INDEX('Historique ajusté'!H:H,ROW()-Fenetre)="","",'Historique ajusté'!H175/INDEX('Historique ajusté'!H:H,ROW()-Fenetre)-1))</f>
        <v/>
      </c>
      <c r="I175" s="34">
        <f>IF(OR('Historique ajusté'!I175="",ROW()-Fenetre&lt;6),"",IF(INDEX('Historique ajusté'!I:I,ROW()-Fenetre)="","",'Historique ajusté'!I175/INDEX('Historique ajusté'!I:I,ROW()-Fenetre)-1))</f>
        <v/>
      </c>
      <c r="J175" s="34">
        <f>IF(OR('Historique ajusté'!J175="",ROW()-Fenetre&lt;6),"",IF(INDEX('Historique ajusté'!J:J,ROW()-Fenetre)="","",'Historique ajusté'!J175/INDEX('Historique ajusté'!J:J,ROW()-Fenetre)-1))</f>
        <v/>
      </c>
      <c r="K175" s="34">
        <f>IF(OR('Historique ajusté'!K175="",ROW()-Fenetre&lt;6),"",IF(INDEX('Historique ajusté'!K:K,ROW()-Fenetre)="","",'Historique ajusté'!K175/INDEX('Historique ajusté'!K:K,ROW()-Fenetre)-1))</f>
        <v/>
      </c>
      <c r="L175" s="34">
        <f>IF(OR('Historique ajusté'!L175="",ROW()-Fenetre&lt;6),"",IF(INDEX('Historique ajusté'!L:L,ROW()-Fenetre)="","",'Historique ajusté'!L175/INDEX('Historique ajusté'!L:L,ROW()-Fenetre)-1))</f>
        <v/>
      </c>
      <c r="M175" s="34">
        <f>IF(OR('Historique ajusté'!M175="",ROW()-Fenetre&lt;6),"",IF(INDEX('Historique ajusté'!M:M,ROW()-Fenetre)="","",'Historique ajusté'!M175/INDEX('Historique ajusté'!M:M,ROW()-Fenetre)-1))</f>
        <v/>
      </c>
      <c r="N175" s="34">
        <f>IF(OR('Historique ajusté'!N175="",ROW()-Fenetre&lt;6),"",IF(INDEX('Historique ajusté'!N:N,ROW()-Fenetre)="","",'Historique ajusté'!N175/INDEX('Historique ajusté'!N:N,ROW()-Fenetre)-1))</f>
        <v/>
      </c>
      <c r="O175" s="34">
        <f>IF(OR('Historique ajusté'!O175="",ROW()-Fenetre&lt;6),"",IF(INDEX('Historique ajusté'!O:O,ROW()-Fenetre)="","",'Historique ajusté'!O175/INDEX('Historique ajusté'!O:O,ROW()-Fenetre)-1))</f>
        <v/>
      </c>
      <c r="P175" s="34">
        <f>IF(OR('Historique ajusté'!P175="",ROW()-Fenetre&lt;6),"",IF(INDEX('Historique ajusté'!P:P,ROW()-Fenetre)="","",'Historique ajusté'!P175/INDEX('Historique ajusté'!P:P,ROW()-Fenetre)-1))</f>
        <v/>
      </c>
      <c r="Q175" s="34">
        <f>IF(OR(Composites!L175="",ROW()-Fenetre&lt;6),"",IF(INDEX(Composites!L:L,ROW()-Fenetre)="","",Composites!L175/INDEX(Composites!L:L,ROW()-Fenetre)-1))</f>
        <v/>
      </c>
      <c r="R175" s="34">
        <f>IF(OR(Composites!M175="",ROW()-Fenetre&lt;6),"",IF(INDEX(Composites!M:M,ROW()-Fenetre)="","",Composites!M175/INDEX(Composites!M:M,ROW()-Fenetre)-1))</f>
        <v/>
      </c>
      <c r="S175" s="34">
        <f>IF(OR(Composites!N175="",ROW()-Fenetre&lt;6),"",IF(INDEX(Composites!N:N,ROW()-Fenetre)="","",Composites!N175/INDEX(Composites!N:N,ROW()-Fenetre)-1))</f>
        <v/>
      </c>
      <c r="T175" s="34">
        <f>IF(OR(Composites!O175="",ROW()-Fenetre&lt;6),"",IF(INDEX(Composites!O:O,ROW()-Fenetre)="","",Composites!O175/INDEX(Composites!O:O,ROW()-Fenetre)-1))</f>
        <v/>
      </c>
      <c r="U175" s="34">
        <f>IF(OR(Composites!P175="",ROW()-Fenetre&lt;6),"",IF(INDEX(Composites!P:P,ROW()-Fenetre)="","",Composites!P175/INDEX(Composites!P:P,ROW()-Fenetre)-1))</f>
        <v/>
      </c>
      <c r="V175" s="34">
        <f>IF('Historique ajusté'!C175="","",'Historique ajusté'!C175/MAX('Historique ajusté'!C$6:C175)-1)</f>
        <v/>
      </c>
      <c r="W175" s="34">
        <f>IF('Historique ajusté'!D175="","",'Historique ajusté'!D175/MAX('Historique ajusté'!D$6:D175)-1)</f>
        <v/>
      </c>
      <c r="X175" s="34">
        <f>IF('Historique ajusté'!E175="","",'Historique ajusté'!E175/MAX('Historique ajusté'!E$6:E175)-1)</f>
        <v/>
      </c>
      <c r="Y175" s="34">
        <f>IF('Historique ajusté'!F175="","",'Historique ajusté'!F175/MAX('Historique ajusté'!F$6:F175)-1)</f>
        <v/>
      </c>
      <c r="Z175" s="34">
        <f>IF('Historique ajusté'!G175="","",'Historique ajusté'!G175/MAX('Historique ajusté'!G$6:G175)-1)</f>
        <v/>
      </c>
      <c r="AA175" s="34">
        <f>IF('Historique ajusté'!H175="","",'Historique ajusté'!H175/MAX('Historique ajusté'!H$6:H175)-1)</f>
        <v/>
      </c>
      <c r="AB175" s="34">
        <f>IF('Historique ajusté'!I175="","",'Historique ajusté'!I175/MAX('Historique ajusté'!I$6:I175)-1)</f>
        <v/>
      </c>
      <c r="AC175" s="34">
        <f>IF('Historique ajusté'!J175="","",'Historique ajusté'!J175/MAX('Historique ajusté'!J$6:J175)-1)</f>
        <v/>
      </c>
      <c r="AD175" s="34">
        <f>IF('Historique ajusté'!K175="","",'Historique ajusté'!K175/MAX('Historique ajusté'!K$6:K175)-1)</f>
        <v/>
      </c>
      <c r="AE175" s="34">
        <f>IF('Historique ajusté'!L175="","",'Historique ajusté'!L175/MAX('Historique ajusté'!L$6:L175)-1)</f>
        <v/>
      </c>
      <c r="AF175" s="34">
        <f>IF('Historique ajusté'!M175="","",'Historique ajusté'!M175/MAX('Historique ajusté'!M$6:M175)-1)</f>
        <v/>
      </c>
      <c r="AG175" s="34">
        <f>IF('Historique ajusté'!N175="","",'Historique ajusté'!N175/MAX('Historique ajusté'!N$6:N175)-1)</f>
        <v/>
      </c>
      <c r="AH175" s="34">
        <f>IF('Historique ajusté'!O175="","",'Historique ajusté'!O175/MAX('Historique ajusté'!O$6:O175)-1)</f>
        <v/>
      </c>
      <c r="AI175" s="34">
        <f>IF('Historique ajusté'!P175="","",'Historique ajusté'!P175/MAX('Historique ajusté'!P$6:P175)-1)</f>
        <v/>
      </c>
      <c r="AJ175" s="34">
        <f>IF(Composites!L175="","",Composites!L175/MAX(Composites!L$6:L175)-1)</f>
        <v/>
      </c>
      <c r="AK175" s="34">
        <f>IF(Composites!M175="","",Composites!M175/MAX(Composites!M$6:M175)-1)</f>
        <v/>
      </c>
      <c r="AL175" s="34">
        <f>IF(Composites!N175="","",Composites!N175/MAX(Composites!N$6:N175)-1)</f>
        <v/>
      </c>
      <c r="AM175" s="34">
        <f>IF(Composites!O175="","",Composites!O175/MAX(Composites!O$6:O175)-1)</f>
        <v/>
      </c>
      <c r="AN175" s="34">
        <f>IF(Composites!P175="","",Composites!P175/MAX(Composites!P$6:P175)-1)</f>
        <v/>
      </c>
    </row>
    <row r="176">
      <c r="B176" s="32">
        <f>'Historique ajusté'!B176</f>
        <v/>
      </c>
      <c r="C176" s="34">
        <f>IF(OR('Historique ajusté'!C176="",ROW()-Fenetre&lt;6),"",IF(INDEX('Historique ajusté'!C:C,ROW()-Fenetre)="","",'Historique ajusté'!C176/INDEX('Historique ajusté'!C:C,ROW()-Fenetre)-1))</f>
        <v/>
      </c>
      <c r="D176" s="34">
        <f>IF(OR('Historique ajusté'!D176="",ROW()-Fenetre&lt;6),"",IF(INDEX('Historique ajusté'!D:D,ROW()-Fenetre)="","",'Historique ajusté'!D176/INDEX('Historique ajusté'!D:D,ROW()-Fenetre)-1))</f>
        <v/>
      </c>
      <c r="E176" s="34">
        <f>IF(OR('Historique ajusté'!E176="",ROW()-Fenetre&lt;6),"",IF(INDEX('Historique ajusté'!E:E,ROW()-Fenetre)="","",'Historique ajusté'!E176/INDEX('Historique ajusté'!E:E,ROW()-Fenetre)-1))</f>
        <v/>
      </c>
      <c r="F176" s="34">
        <f>IF(OR('Historique ajusté'!F176="",ROW()-Fenetre&lt;6),"",IF(INDEX('Historique ajusté'!F:F,ROW()-Fenetre)="","",'Historique ajusté'!F176/INDEX('Historique ajusté'!F:F,ROW()-Fenetre)-1))</f>
        <v/>
      </c>
      <c r="G176" s="34">
        <f>IF(OR('Historique ajusté'!G176="",ROW()-Fenetre&lt;6),"",IF(INDEX('Historique ajusté'!G:G,ROW()-Fenetre)="","",'Historique ajusté'!G176/INDEX('Historique ajusté'!G:G,ROW()-Fenetre)-1))</f>
        <v/>
      </c>
      <c r="H176" s="34">
        <f>IF(OR('Historique ajusté'!H176="",ROW()-Fenetre&lt;6),"",IF(INDEX('Historique ajusté'!H:H,ROW()-Fenetre)="","",'Historique ajusté'!H176/INDEX('Historique ajusté'!H:H,ROW()-Fenetre)-1))</f>
        <v/>
      </c>
      <c r="I176" s="34">
        <f>IF(OR('Historique ajusté'!I176="",ROW()-Fenetre&lt;6),"",IF(INDEX('Historique ajusté'!I:I,ROW()-Fenetre)="","",'Historique ajusté'!I176/INDEX('Historique ajusté'!I:I,ROW()-Fenetre)-1))</f>
        <v/>
      </c>
      <c r="J176" s="34">
        <f>IF(OR('Historique ajusté'!J176="",ROW()-Fenetre&lt;6),"",IF(INDEX('Historique ajusté'!J:J,ROW()-Fenetre)="","",'Historique ajusté'!J176/INDEX('Historique ajusté'!J:J,ROW()-Fenetre)-1))</f>
        <v/>
      </c>
      <c r="K176" s="34">
        <f>IF(OR('Historique ajusté'!K176="",ROW()-Fenetre&lt;6),"",IF(INDEX('Historique ajusté'!K:K,ROW()-Fenetre)="","",'Historique ajusté'!K176/INDEX('Historique ajusté'!K:K,ROW()-Fenetre)-1))</f>
        <v/>
      </c>
      <c r="L176" s="34">
        <f>IF(OR('Historique ajusté'!L176="",ROW()-Fenetre&lt;6),"",IF(INDEX('Historique ajusté'!L:L,ROW()-Fenetre)="","",'Historique ajusté'!L176/INDEX('Historique ajusté'!L:L,ROW()-Fenetre)-1))</f>
        <v/>
      </c>
      <c r="M176" s="34">
        <f>IF(OR('Historique ajusté'!M176="",ROW()-Fenetre&lt;6),"",IF(INDEX('Historique ajusté'!M:M,ROW()-Fenetre)="","",'Historique ajusté'!M176/INDEX('Historique ajusté'!M:M,ROW()-Fenetre)-1))</f>
        <v/>
      </c>
      <c r="N176" s="34">
        <f>IF(OR('Historique ajusté'!N176="",ROW()-Fenetre&lt;6),"",IF(INDEX('Historique ajusté'!N:N,ROW()-Fenetre)="","",'Historique ajusté'!N176/INDEX('Historique ajusté'!N:N,ROW()-Fenetre)-1))</f>
        <v/>
      </c>
      <c r="O176" s="34">
        <f>IF(OR('Historique ajusté'!O176="",ROW()-Fenetre&lt;6),"",IF(INDEX('Historique ajusté'!O:O,ROW()-Fenetre)="","",'Historique ajusté'!O176/INDEX('Historique ajusté'!O:O,ROW()-Fenetre)-1))</f>
        <v/>
      </c>
      <c r="P176" s="34">
        <f>IF(OR('Historique ajusté'!P176="",ROW()-Fenetre&lt;6),"",IF(INDEX('Historique ajusté'!P:P,ROW()-Fenetre)="","",'Historique ajusté'!P176/INDEX('Historique ajusté'!P:P,ROW()-Fenetre)-1))</f>
        <v/>
      </c>
      <c r="Q176" s="34">
        <f>IF(OR(Composites!L176="",ROW()-Fenetre&lt;6),"",IF(INDEX(Composites!L:L,ROW()-Fenetre)="","",Composites!L176/INDEX(Composites!L:L,ROW()-Fenetre)-1))</f>
        <v/>
      </c>
      <c r="R176" s="34">
        <f>IF(OR(Composites!M176="",ROW()-Fenetre&lt;6),"",IF(INDEX(Composites!M:M,ROW()-Fenetre)="","",Composites!M176/INDEX(Composites!M:M,ROW()-Fenetre)-1))</f>
        <v/>
      </c>
      <c r="S176" s="34">
        <f>IF(OR(Composites!N176="",ROW()-Fenetre&lt;6),"",IF(INDEX(Composites!N:N,ROW()-Fenetre)="","",Composites!N176/INDEX(Composites!N:N,ROW()-Fenetre)-1))</f>
        <v/>
      </c>
      <c r="T176" s="34">
        <f>IF(OR(Composites!O176="",ROW()-Fenetre&lt;6),"",IF(INDEX(Composites!O:O,ROW()-Fenetre)="","",Composites!O176/INDEX(Composites!O:O,ROW()-Fenetre)-1))</f>
        <v/>
      </c>
      <c r="U176" s="34">
        <f>IF(OR(Composites!P176="",ROW()-Fenetre&lt;6),"",IF(INDEX(Composites!P:P,ROW()-Fenetre)="","",Composites!P176/INDEX(Composites!P:P,ROW()-Fenetre)-1))</f>
        <v/>
      </c>
      <c r="V176" s="34">
        <f>IF('Historique ajusté'!C176="","",'Historique ajusté'!C176/MAX('Historique ajusté'!C$6:C176)-1)</f>
        <v/>
      </c>
      <c r="W176" s="34">
        <f>IF('Historique ajusté'!D176="","",'Historique ajusté'!D176/MAX('Historique ajusté'!D$6:D176)-1)</f>
        <v/>
      </c>
      <c r="X176" s="34">
        <f>IF('Historique ajusté'!E176="","",'Historique ajusté'!E176/MAX('Historique ajusté'!E$6:E176)-1)</f>
        <v/>
      </c>
      <c r="Y176" s="34">
        <f>IF('Historique ajusté'!F176="","",'Historique ajusté'!F176/MAX('Historique ajusté'!F$6:F176)-1)</f>
        <v/>
      </c>
      <c r="Z176" s="34">
        <f>IF('Historique ajusté'!G176="","",'Historique ajusté'!G176/MAX('Historique ajusté'!G$6:G176)-1)</f>
        <v/>
      </c>
      <c r="AA176" s="34">
        <f>IF('Historique ajusté'!H176="","",'Historique ajusté'!H176/MAX('Historique ajusté'!H$6:H176)-1)</f>
        <v/>
      </c>
      <c r="AB176" s="34">
        <f>IF('Historique ajusté'!I176="","",'Historique ajusté'!I176/MAX('Historique ajusté'!I$6:I176)-1)</f>
        <v/>
      </c>
      <c r="AC176" s="34">
        <f>IF('Historique ajusté'!J176="","",'Historique ajusté'!J176/MAX('Historique ajusté'!J$6:J176)-1)</f>
        <v/>
      </c>
      <c r="AD176" s="34">
        <f>IF('Historique ajusté'!K176="","",'Historique ajusté'!K176/MAX('Historique ajusté'!K$6:K176)-1)</f>
        <v/>
      </c>
      <c r="AE176" s="34">
        <f>IF('Historique ajusté'!L176="","",'Historique ajusté'!L176/MAX('Historique ajusté'!L$6:L176)-1)</f>
        <v/>
      </c>
      <c r="AF176" s="34">
        <f>IF('Historique ajusté'!M176="","",'Historique ajusté'!M176/MAX('Historique ajusté'!M$6:M176)-1)</f>
        <v/>
      </c>
      <c r="AG176" s="34">
        <f>IF('Historique ajusté'!N176="","",'Historique ajusté'!N176/MAX('Historique ajusté'!N$6:N176)-1)</f>
        <v/>
      </c>
      <c r="AH176" s="34">
        <f>IF('Historique ajusté'!O176="","",'Historique ajusté'!O176/MAX('Historique ajusté'!O$6:O176)-1)</f>
        <v/>
      </c>
      <c r="AI176" s="34">
        <f>IF('Historique ajusté'!P176="","",'Historique ajusté'!P176/MAX('Historique ajusté'!P$6:P176)-1)</f>
        <v/>
      </c>
      <c r="AJ176" s="34">
        <f>IF(Composites!L176="","",Composites!L176/MAX(Composites!L$6:L176)-1)</f>
        <v/>
      </c>
      <c r="AK176" s="34">
        <f>IF(Composites!M176="","",Composites!M176/MAX(Composites!M$6:M176)-1)</f>
        <v/>
      </c>
      <c r="AL176" s="34">
        <f>IF(Composites!N176="","",Composites!N176/MAX(Composites!N$6:N176)-1)</f>
        <v/>
      </c>
      <c r="AM176" s="34">
        <f>IF(Composites!O176="","",Composites!O176/MAX(Composites!O$6:O176)-1)</f>
        <v/>
      </c>
      <c r="AN176" s="34">
        <f>IF(Composites!P176="","",Composites!P176/MAX(Composites!P$6:P176)-1)</f>
        <v/>
      </c>
    </row>
    <row r="177">
      <c r="B177" s="32">
        <f>'Historique ajusté'!B177</f>
        <v/>
      </c>
      <c r="C177" s="34">
        <f>IF(OR('Historique ajusté'!C177="",ROW()-Fenetre&lt;6),"",IF(INDEX('Historique ajusté'!C:C,ROW()-Fenetre)="","",'Historique ajusté'!C177/INDEX('Historique ajusté'!C:C,ROW()-Fenetre)-1))</f>
        <v/>
      </c>
      <c r="D177" s="34">
        <f>IF(OR('Historique ajusté'!D177="",ROW()-Fenetre&lt;6),"",IF(INDEX('Historique ajusté'!D:D,ROW()-Fenetre)="","",'Historique ajusté'!D177/INDEX('Historique ajusté'!D:D,ROW()-Fenetre)-1))</f>
        <v/>
      </c>
      <c r="E177" s="34">
        <f>IF(OR('Historique ajusté'!E177="",ROW()-Fenetre&lt;6),"",IF(INDEX('Historique ajusté'!E:E,ROW()-Fenetre)="","",'Historique ajusté'!E177/INDEX('Historique ajusté'!E:E,ROW()-Fenetre)-1))</f>
        <v/>
      </c>
      <c r="F177" s="34">
        <f>IF(OR('Historique ajusté'!F177="",ROW()-Fenetre&lt;6),"",IF(INDEX('Historique ajusté'!F:F,ROW()-Fenetre)="","",'Historique ajusté'!F177/INDEX('Historique ajusté'!F:F,ROW()-Fenetre)-1))</f>
        <v/>
      </c>
      <c r="G177" s="34">
        <f>IF(OR('Historique ajusté'!G177="",ROW()-Fenetre&lt;6),"",IF(INDEX('Historique ajusté'!G:G,ROW()-Fenetre)="","",'Historique ajusté'!G177/INDEX('Historique ajusté'!G:G,ROW()-Fenetre)-1))</f>
        <v/>
      </c>
      <c r="H177" s="34">
        <f>IF(OR('Historique ajusté'!H177="",ROW()-Fenetre&lt;6),"",IF(INDEX('Historique ajusté'!H:H,ROW()-Fenetre)="","",'Historique ajusté'!H177/INDEX('Historique ajusté'!H:H,ROW()-Fenetre)-1))</f>
        <v/>
      </c>
      <c r="I177" s="34">
        <f>IF(OR('Historique ajusté'!I177="",ROW()-Fenetre&lt;6),"",IF(INDEX('Historique ajusté'!I:I,ROW()-Fenetre)="","",'Historique ajusté'!I177/INDEX('Historique ajusté'!I:I,ROW()-Fenetre)-1))</f>
        <v/>
      </c>
      <c r="J177" s="34">
        <f>IF(OR('Historique ajusté'!J177="",ROW()-Fenetre&lt;6),"",IF(INDEX('Historique ajusté'!J:J,ROW()-Fenetre)="","",'Historique ajusté'!J177/INDEX('Historique ajusté'!J:J,ROW()-Fenetre)-1))</f>
        <v/>
      </c>
      <c r="K177" s="34">
        <f>IF(OR('Historique ajusté'!K177="",ROW()-Fenetre&lt;6),"",IF(INDEX('Historique ajusté'!K:K,ROW()-Fenetre)="","",'Historique ajusté'!K177/INDEX('Historique ajusté'!K:K,ROW()-Fenetre)-1))</f>
        <v/>
      </c>
      <c r="L177" s="34">
        <f>IF(OR('Historique ajusté'!L177="",ROW()-Fenetre&lt;6),"",IF(INDEX('Historique ajusté'!L:L,ROW()-Fenetre)="","",'Historique ajusté'!L177/INDEX('Historique ajusté'!L:L,ROW()-Fenetre)-1))</f>
        <v/>
      </c>
      <c r="M177" s="34">
        <f>IF(OR('Historique ajusté'!M177="",ROW()-Fenetre&lt;6),"",IF(INDEX('Historique ajusté'!M:M,ROW()-Fenetre)="","",'Historique ajusté'!M177/INDEX('Historique ajusté'!M:M,ROW()-Fenetre)-1))</f>
        <v/>
      </c>
      <c r="N177" s="34">
        <f>IF(OR('Historique ajusté'!N177="",ROW()-Fenetre&lt;6),"",IF(INDEX('Historique ajusté'!N:N,ROW()-Fenetre)="","",'Historique ajusté'!N177/INDEX('Historique ajusté'!N:N,ROW()-Fenetre)-1))</f>
        <v/>
      </c>
      <c r="O177" s="34">
        <f>IF(OR('Historique ajusté'!O177="",ROW()-Fenetre&lt;6),"",IF(INDEX('Historique ajusté'!O:O,ROW()-Fenetre)="","",'Historique ajusté'!O177/INDEX('Historique ajusté'!O:O,ROW()-Fenetre)-1))</f>
        <v/>
      </c>
      <c r="P177" s="34">
        <f>IF(OR('Historique ajusté'!P177="",ROW()-Fenetre&lt;6),"",IF(INDEX('Historique ajusté'!P:P,ROW()-Fenetre)="","",'Historique ajusté'!P177/INDEX('Historique ajusté'!P:P,ROW()-Fenetre)-1))</f>
        <v/>
      </c>
      <c r="Q177" s="34">
        <f>IF(OR(Composites!L177="",ROW()-Fenetre&lt;6),"",IF(INDEX(Composites!L:L,ROW()-Fenetre)="","",Composites!L177/INDEX(Composites!L:L,ROW()-Fenetre)-1))</f>
        <v/>
      </c>
      <c r="R177" s="34">
        <f>IF(OR(Composites!M177="",ROW()-Fenetre&lt;6),"",IF(INDEX(Composites!M:M,ROW()-Fenetre)="","",Composites!M177/INDEX(Composites!M:M,ROW()-Fenetre)-1))</f>
        <v/>
      </c>
      <c r="S177" s="34">
        <f>IF(OR(Composites!N177="",ROW()-Fenetre&lt;6),"",IF(INDEX(Composites!N:N,ROW()-Fenetre)="","",Composites!N177/INDEX(Composites!N:N,ROW()-Fenetre)-1))</f>
        <v/>
      </c>
      <c r="T177" s="34">
        <f>IF(OR(Composites!O177="",ROW()-Fenetre&lt;6),"",IF(INDEX(Composites!O:O,ROW()-Fenetre)="","",Composites!O177/INDEX(Composites!O:O,ROW()-Fenetre)-1))</f>
        <v/>
      </c>
      <c r="U177" s="34">
        <f>IF(OR(Composites!P177="",ROW()-Fenetre&lt;6),"",IF(INDEX(Composites!P:P,ROW()-Fenetre)="","",Composites!P177/INDEX(Composites!P:P,ROW()-Fenetre)-1))</f>
        <v/>
      </c>
      <c r="V177" s="34">
        <f>IF('Historique ajusté'!C177="","",'Historique ajusté'!C177/MAX('Historique ajusté'!C$6:C177)-1)</f>
        <v/>
      </c>
      <c r="W177" s="34">
        <f>IF('Historique ajusté'!D177="","",'Historique ajusté'!D177/MAX('Historique ajusté'!D$6:D177)-1)</f>
        <v/>
      </c>
      <c r="X177" s="34">
        <f>IF('Historique ajusté'!E177="","",'Historique ajusté'!E177/MAX('Historique ajusté'!E$6:E177)-1)</f>
        <v/>
      </c>
      <c r="Y177" s="34">
        <f>IF('Historique ajusté'!F177="","",'Historique ajusté'!F177/MAX('Historique ajusté'!F$6:F177)-1)</f>
        <v/>
      </c>
      <c r="Z177" s="34">
        <f>IF('Historique ajusté'!G177="","",'Historique ajusté'!G177/MAX('Historique ajusté'!G$6:G177)-1)</f>
        <v/>
      </c>
      <c r="AA177" s="34">
        <f>IF('Historique ajusté'!H177="","",'Historique ajusté'!H177/MAX('Historique ajusté'!H$6:H177)-1)</f>
        <v/>
      </c>
      <c r="AB177" s="34">
        <f>IF('Historique ajusté'!I177="","",'Historique ajusté'!I177/MAX('Historique ajusté'!I$6:I177)-1)</f>
        <v/>
      </c>
      <c r="AC177" s="34">
        <f>IF('Historique ajusté'!J177="","",'Historique ajusté'!J177/MAX('Historique ajusté'!J$6:J177)-1)</f>
        <v/>
      </c>
      <c r="AD177" s="34">
        <f>IF('Historique ajusté'!K177="","",'Historique ajusté'!K177/MAX('Historique ajusté'!K$6:K177)-1)</f>
        <v/>
      </c>
      <c r="AE177" s="34">
        <f>IF('Historique ajusté'!L177="","",'Historique ajusté'!L177/MAX('Historique ajusté'!L$6:L177)-1)</f>
        <v/>
      </c>
      <c r="AF177" s="34">
        <f>IF('Historique ajusté'!M177="","",'Historique ajusté'!M177/MAX('Historique ajusté'!M$6:M177)-1)</f>
        <v/>
      </c>
      <c r="AG177" s="34">
        <f>IF('Historique ajusté'!N177="","",'Historique ajusté'!N177/MAX('Historique ajusté'!N$6:N177)-1)</f>
        <v/>
      </c>
      <c r="AH177" s="34">
        <f>IF('Historique ajusté'!O177="","",'Historique ajusté'!O177/MAX('Historique ajusté'!O$6:O177)-1)</f>
        <v/>
      </c>
      <c r="AI177" s="34">
        <f>IF('Historique ajusté'!P177="","",'Historique ajusté'!P177/MAX('Historique ajusté'!P$6:P177)-1)</f>
        <v/>
      </c>
      <c r="AJ177" s="34">
        <f>IF(Composites!L177="","",Composites!L177/MAX(Composites!L$6:L177)-1)</f>
        <v/>
      </c>
      <c r="AK177" s="34">
        <f>IF(Composites!M177="","",Composites!M177/MAX(Composites!M$6:M177)-1)</f>
        <v/>
      </c>
      <c r="AL177" s="34">
        <f>IF(Composites!N177="","",Composites!N177/MAX(Composites!N$6:N177)-1)</f>
        <v/>
      </c>
      <c r="AM177" s="34">
        <f>IF(Composites!O177="","",Composites!O177/MAX(Composites!O$6:O177)-1)</f>
        <v/>
      </c>
      <c r="AN177" s="34">
        <f>IF(Composites!P177="","",Composites!P177/MAX(Composites!P$6:P177)-1)</f>
        <v/>
      </c>
    </row>
    <row r="178">
      <c r="B178" s="32">
        <f>'Historique ajusté'!B178</f>
        <v/>
      </c>
      <c r="C178" s="34">
        <f>IF(OR('Historique ajusté'!C178="",ROW()-Fenetre&lt;6),"",IF(INDEX('Historique ajusté'!C:C,ROW()-Fenetre)="","",'Historique ajusté'!C178/INDEX('Historique ajusté'!C:C,ROW()-Fenetre)-1))</f>
        <v/>
      </c>
      <c r="D178" s="34">
        <f>IF(OR('Historique ajusté'!D178="",ROW()-Fenetre&lt;6),"",IF(INDEX('Historique ajusté'!D:D,ROW()-Fenetre)="","",'Historique ajusté'!D178/INDEX('Historique ajusté'!D:D,ROW()-Fenetre)-1))</f>
        <v/>
      </c>
      <c r="E178" s="34">
        <f>IF(OR('Historique ajusté'!E178="",ROW()-Fenetre&lt;6),"",IF(INDEX('Historique ajusté'!E:E,ROW()-Fenetre)="","",'Historique ajusté'!E178/INDEX('Historique ajusté'!E:E,ROW()-Fenetre)-1))</f>
        <v/>
      </c>
      <c r="F178" s="34">
        <f>IF(OR('Historique ajusté'!F178="",ROW()-Fenetre&lt;6),"",IF(INDEX('Historique ajusté'!F:F,ROW()-Fenetre)="","",'Historique ajusté'!F178/INDEX('Historique ajusté'!F:F,ROW()-Fenetre)-1))</f>
        <v/>
      </c>
      <c r="G178" s="34">
        <f>IF(OR('Historique ajusté'!G178="",ROW()-Fenetre&lt;6),"",IF(INDEX('Historique ajusté'!G:G,ROW()-Fenetre)="","",'Historique ajusté'!G178/INDEX('Historique ajusté'!G:G,ROW()-Fenetre)-1))</f>
        <v/>
      </c>
      <c r="H178" s="34">
        <f>IF(OR('Historique ajusté'!H178="",ROW()-Fenetre&lt;6),"",IF(INDEX('Historique ajusté'!H:H,ROW()-Fenetre)="","",'Historique ajusté'!H178/INDEX('Historique ajusté'!H:H,ROW()-Fenetre)-1))</f>
        <v/>
      </c>
      <c r="I178" s="34">
        <f>IF(OR('Historique ajusté'!I178="",ROW()-Fenetre&lt;6),"",IF(INDEX('Historique ajusté'!I:I,ROW()-Fenetre)="","",'Historique ajusté'!I178/INDEX('Historique ajusté'!I:I,ROW()-Fenetre)-1))</f>
        <v/>
      </c>
      <c r="J178" s="34">
        <f>IF(OR('Historique ajusté'!J178="",ROW()-Fenetre&lt;6),"",IF(INDEX('Historique ajusté'!J:J,ROW()-Fenetre)="","",'Historique ajusté'!J178/INDEX('Historique ajusté'!J:J,ROW()-Fenetre)-1))</f>
        <v/>
      </c>
      <c r="K178" s="34">
        <f>IF(OR('Historique ajusté'!K178="",ROW()-Fenetre&lt;6),"",IF(INDEX('Historique ajusté'!K:K,ROW()-Fenetre)="","",'Historique ajusté'!K178/INDEX('Historique ajusté'!K:K,ROW()-Fenetre)-1))</f>
        <v/>
      </c>
      <c r="L178" s="34">
        <f>IF(OR('Historique ajusté'!L178="",ROW()-Fenetre&lt;6),"",IF(INDEX('Historique ajusté'!L:L,ROW()-Fenetre)="","",'Historique ajusté'!L178/INDEX('Historique ajusté'!L:L,ROW()-Fenetre)-1))</f>
        <v/>
      </c>
      <c r="M178" s="34">
        <f>IF(OR('Historique ajusté'!M178="",ROW()-Fenetre&lt;6),"",IF(INDEX('Historique ajusté'!M:M,ROW()-Fenetre)="","",'Historique ajusté'!M178/INDEX('Historique ajusté'!M:M,ROW()-Fenetre)-1))</f>
        <v/>
      </c>
      <c r="N178" s="34">
        <f>IF(OR('Historique ajusté'!N178="",ROW()-Fenetre&lt;6),"",IF(INDEX('Historique ajusté'!N:N,ROW()-Fenetre)="","",'Historique ajusté'!N178/INDEX('Historique ajusté'!N:N,ROW()-Fenetre)-1))</f>
        <v/>
      </c>
      <c r="O178" s="34">
        <f>IF(OR('Historique ajusté'!O178="",ROW()-Fenetre&lt;6),"",IF(INDEX('Historique ajusté'!O:O,ROW()-Fenetre)="","",'Historique ajusté'!O178/INDEX('Historique ajusté'!O:O,ROW()-Fenetre)-1))</f>
        <v/>
      </c>
      <c r="P178" s="34">
        <f>IF(OR('Historique ajusté'!P178="",ROW()-Fenetre&lt;6),"",IF(INDEX('Historique ajusté'!P:P,ROW()-Fenetre)="","",'Historique ajusté'!P178/INDEX('Historique ajusté'!P:P,ROW()-Fenetre)-1))</f>
        <v/>
      </c>
      <c r="Q178" s="34">
        <f>IF(OR(Composites!L178="",ROW()-Fenetre&lt;6),"",IF(INDEX(Composites!L:L,ROW()-Fenetre)="","",Composites!L178/INDEX(Composites!L:L,ROW()-Fenetre)-1))</f>
        <v/>
      </c>
      <c r="R178" s="34">
        <f>IF(OR(Composites!M178="",ROW()-Fenetre&lt;6),"",IF(INDEX(Composites!M:M,ROW()-Fenetre)="","",Composites!M178/INDEX(Composites!M:M,ROW()-Fenetre)-1))</f>
        <v/>
      </c>
      <c r="S178" s="34">
        <f>IF(OR(Composites!N178="",ROW()-Fenetre&lt;6),"",IF(INDEX(Composites!N:N,ROW()-Fenetre)="","",Composites!N178/INDEX(Composites!N:N,ROW()-Fenetre)-1))</f>
        <v/>
      </c>
      <c r="T178" s="34">
        <f>IF(OR(Composites!O178="",ROW()-Fenetre&lt;6),"",IF(INDEX(Composites!O:O,ROW()-Fenetre)="","",Composites!O178/INDEX(Composites!O:O,ROW()-Fenetre)-1))</f>
        <v/>
      </c>
      <c r="U178" s="34">
        <f>IF(OR(Composites!P178="",ROW()-Fenetre&lt;6),"",IF(INDEX(Composites!P:P,ROW()-Fenetre)="","",Composites!P178/INDEX(Composites!P:P,ROW()-Fenetre)-1))</f>
        <v/>
      </c>
      <c r="V178" s="34">
        <f>IF('Historique ajusté'!C178="","",'Historique ajusté'!C178/MAX('Historique ajusté'!C$6:C178)-1)</f>
        <v/>
      </c>
      <c r="W178" s="34">
        <f>IF('Historique ajusté'!D178="","",'Historique ajusté'!D178/MAX('Historique ajusté'!D$6:D178)-1)</f>
        <v/>
      </c>
      <c r="X178" s="34">
        <f>IF('Historique ajusté'!E178="","",'Historique ajusté'!E178/MAX('Historique ajusté'!E$6:E178)-1)</f>
        <v/>
      </c>
      <c r="Y178" s="34">
        <f>IF('Historique ajusté'!F178="","",'Historique ajusté'!F178/MAX('Historique ajusté'!F$6:F178)-1)</f>
        <v/>
      </c>
      <c r="Z178" s="34">
        <f>IF('Historique ajusté'!G178="","",'Historique ajusté'!G178/MAX('Historique ajusté'!G$6:G178)-1)</f>
        <v/>
      </c>
      <c r="AA178" s="34">
        <f>IF('Historique ajusté'!H178="","",'Historique ajusté'!H178/MAX('Historique ajusté'!H$6:H178)-1)</f>
        <v/>
      </c>
      <c r="AB178" s="34">
        <f>IF('Historique ajusté'!I178="","",'Historique ajusté'!I178/MAX('Historique ajusté'!I$6:I178)-1)</f>
        <v/>
      </c>
      <c r="AC178" s="34">
        <f>IF('Historique ajusté'!J178="","",'Historique ajusté'!J178/MAX('Historique ajusté'!J$6:J178)-1)</f>
        <v/>
      </c>
      <c r="AD178" s="34">
        <f>IF('Historique ajusté'!K178="","",'Historique ajusté'!K178/MAX('Historique ajusté'!K$6:K178)-1)</f>
        <v/>
      </c>
      <c r="AE178" s="34">
        <f>IF('Historique ajusté'!L178="","",'Historique ajusté'!L178/MAX('Historique ajusté'!L$6:L178)-1)</f>
        <v/>
      </c>
      <c r="AF178" s="34">
        <f>IF('Historique ajusté'!M178="","",'Historique ajusté'!M178/MAX('Historique ajusté'!M$6:M178)-1)</f>
        <v/>
      </c>
      <c r="AG178" s="34">
        <f>IF('Historique ajusté'!N178="","",'Historique ajusté'!N178/MAX('Historique ajusté'!N$6:N178)-1)</f>
        <v/>
      </c>
      <c r="AH178" s="34">
        <f>IF('Historique ajusté'!O178="","",'Historique ajusté'!O178/MAX('Historique ajusté'!O$6:O178)-1)</f>
        <v/>
      </c>
      <c r="AI178" s="34">
        <f>IF('Historique ajusté'!P178="","",'Historique ajusté'!P178/MAX('Historique ajusté'!P$6:P178)-1)</f>
        <v/>
      </c>
      <c r="AJ178" s="34">
        <f>IF(Composites!L178="","",Composites!L178/MAX(Composites!L$6:L178)-1)</f>
        <v/>
      </c>
      <c r="AK178" s="34">
        <f>IF(Composites!M178="","",Composites!M178/MAX(Composites!M$6:M178)-1)</f>
        <v/>
      </c>
      <c r="AL178" s="34">
        <f>IF(Composites!N178="","",Composites!N178/MAX(Composites!N$6:N178)-1)</f>
        <v/>
      </c>
      <c r="AM178" s="34">
        <f>IF(Composites!O178="","",Composites!O178/MAX(Composites!O$6:O178)-1)</f>
        <v/>
      </c>
      <c r="AN178" s="34">
        <f>IF(Composites!P178="","",Composites!P178/MAX(Composites!P$6:P178)-1)</f>
        <v/>
      </c>
    </row>
    <row r="179">
      <c r="B179" s="32">
        <f>'Historique ajusté'!B179</f>
        <v/>
      </c>
      <c r="C179" s="34">
        <f>IF(OR('Historique ajusté'!C179="",ROW()-Fenetre&lt;6),"",IF(INDEX('Historique ajusté'!C:C,ROW()-Fenetre)="","",'Historique ajusté'!C179/INDEX('Historique ajusté'!C:C,ROW()-Fenetre)-1))</f>
        <v/>
      </c>
      <c r="D179" s="34">
        <f>IF(OR('Historique ajusté'!D179="",ROW()-Fenetre&lt;6),"",IF(INDEX('Historique ajusté'!D:D,ROW()-Fenetre)="","",'Historique ajusté'!D179/INDEX('Historique ajusté'!D:D,ROW()-Fenetre)-1))</f>
        <v/>
      </c>
      <c r="E179" s="34">
        <f>IF(OR('Historique ajusté'!E179="",ROW()-Fenetre&lt;6),"",IF(INDEX('Historique ajusté'!E:E,ROW()-Fenetre)="","",'Historique ajusté'!E179/INDEX('Historique ajusté'!E:E,ROW()-Fenetre)-1))</f>
        <v/>
      </c>
      <c r="F179" s="34">
        <f>IF(OR('Historique ajusté'!F179="",ROW()-Fenetre&lt;6),"",IF(INDEX('Historique ajusté'!F:F,ROW()-Fenetre)="","",'Historique ajusté'!F179/INDEX('Historique ajusté'!F:F,ROW()-Fenetre)-1))</f>
        <v/>
      </c>
      <c r="G179" s="34">
        <f>IF(OR('Historique ajusté'!G179="",ROW()-Fenetre&lt;6),"",IF(INDEX('Historique ajusté'!G:G,ROW()-Fenetre)="","",'Historique ajusté'!G179/INDEX('Historique ajusté'!G:G,ROW()-Fenetre)-1))</f>
        <v/>
      </c>
      <c r="H179" s="34">
        <f>IF(OR('Historique ajusté'!H179="",ROW()-Fenetre&lt;6),"",IF(INDEX('Historique ajusté'!H:H,ROW()-Fenetre)="","",'Historique ajusté'!H179/INDEX('Historique ajusté'!H:H,ROW()-Fenetre)-1))</f>
        <v/>
      </c>
      <c r="I179" s="34">
        <f>IF(OR('Historique ajusté'!I179="",ROW()-Fenetre&lt;6),"",IF(INDEX('Historique ajusté'!I:I,ROW()-Fenetre)="","",'Historique ajusté'!I179/INDEX('Historique ajusté'!I:I,ROW()-Fenetre)-1))</f>
        <v/>
      </c>
      <c r="J179" s="34">
        <f>IF(OR('Historique ajusté'!J179="",ROW()-Fenetre&lt;6),"",IF(INDEX('Historique ajusté'!J:J,ROW()-Fenetre)="","",'Historique ajusté'!J179/INDEX('Historique ajusté'!J:J,ROW()-Fenetre)-1))</f>
        <v/>
      </c>
      <c r="K179" s="34">
        <f>IF(OR('Historique ajusté'!K179="",ROW()-Fenetre&lt;6),"",IF(INDEX('Historique ajusté'!K:K,ROW()-Fenetre)="","",'Historique ajusté'!K179/INDEX('Historique ajusté'!K:K,ROW()-Fenetre)-1))</f>
        <v/>
      </c>
      <c r="L179" s="34">
        <f>IF(OR('Historique ajusté'!L179="",ROW()-Fenetre&lt;6),"",IF(INDEX('Historique ajusté'!L:L,ROW()-Fenetre)="","",'Historique ajusté'!L179/INDEX('Historique ajusté'!L:L,ROW()-Fenetre)-1))</f>
        <v/>
      </c>
      <c r="M179" s="34">
        <f>IF(OR('Historique ajusté'!M179="",ROW()-Fenetre&lt;6),"",IF(INDEX('Historique ajusté'!M:M,ROW()-Fenetre)="","",'Historique ajusté'!M179/INDEX('Historique ajusté'!M:M,ROW()-Fenetre)-1))</f>
        <v/>
      </c>
      <c r="N179" s="34">
        <f>IF(OR('Historique ajusté'!N179="",ROW()-Fenetre&lt;6),"",IF(INDEX('Historique ajusté'!N:N,ROW()-Fenetre)="","",'Historique ajusté'!N179/INDEX('Historique ajusté'!N:N,ROW()-Fenetre)-1))</f>
        <v/>
      </c>
      <c r="O179" s="34">
        <f>IF(OR('Historique ajusté'!O179="",ROW()-Fenetre&lt;6),"",IF(INDEX('Historique ajusté'!O:O,ROW()-Fenetre)="","",'Historique ajusté'!O179/INDEX('Historique ajusté'!O:O,ROW()-Fenetre)-1))</f>
        <v/>
      </c>
      <c r="P179" s="34">
        <f>IF(OR('Historique ajusté'!P179="",ROW()-Fenetre&lt;6),"",IF(INDEX('Historique ajusté'!P:P,ROW()-Fenetre)="","",'Historique ajusté'!P179/INDEX('Historique ajusté'!P:P,ROW()-Fenetre)-1))</f>
        <v/>
      </c>
      <c r="Q179" s="34">
        <f>IF(OR(Composites!L179="",ROW()-Fenetre&lt;6),"",IF(INDEX(Composites!L:L,ROW()-Fenetre)="","",Composites!L179/INDEX(Composites!L:L,ROW()-Fenetre)-1))</f>
        <v/>
      </c>
      <c r="R179" s="34">
        <f>IF(OR(Composites!M179="",ROW()-Fenetre&lt;6),"",IF(INDEX(Composites!M:M,ROW()-Fenetre)="","",Composites!M179/INDEX(Composites!M:M,ROW()-Fenetre)-1))</f>
        <v/>
      </c>
      <c r="S179" s="34">
        <f>IF(OR(Composites!N179="",ROW()-Fenetre&lt;6),"",IF(INDEX(Composites!N:N,ROW()-Fenetre)="","",Composites!N179/INDEX(Composites!N:N,ROW()-Fenetre)-1))</f>
        <v/>
      </c>
      <c r="T179" s="34">
        <f>IF(OR(Composites!O179="",ROW()-Fenetre&lt;6),"",IF(INDEX(Composites!O:O,ROW()-Fenetre)="","",Composites!O179/INDEX(Composites!O:O,ROW()-Fenetre)-1))</f>
        <v/>
      </c>
      <c r="U179" s="34">
        <f>IF(OR(Composites!P179="",ROW()-Fenetre&lt;6),"",IF(INDEX(Composites!P:P,ROW()-Fenetre)="","",Composites!P179/INDEX(Composites!P:P,ROW()-Fenetre)-1))</f>
        <v/>
      </c>
      <c r="V179" s="34">
        <f>IF('Historique ajusté'!C179="","",'Historique ajusté'!C179/MAX('Historique ajusté'!C$6:C179)-1)</f>
        <v/>
      </c>
      <c r="W179" s="34">
        <f>IF('Historique ajusté'!D179="","",'Historique ajusté'!D179/MAX('Historique ajusté'!D$6:D179)-1)</f>
        <v/>
      </c>
      <c r="X179" s="34">
        <f>IF('Historique ajusté'!E179="","",'Historique ajusté'!E179/MAX('Historique ajusté'!E$6:E179)-1)</f>
        <v/>
      </c>
      <c r="Y179" s="34">
        <f>IF('Historique ajusté'!F179="","",'Historique ajusté'!F179/MAX('Historique ajusté'!F$6:F179)-1)</f>
        <v/>
      </c>
      <c r="Z179" s="34">
        <f>IF('Historique ajusté'!G179="","",'Historique ajusté'!G179/MAX('Historique ajusté'!G$6:G179)-1)</f>
        <v/>
      </c>
      <c r="AA179" s="34">
        <f>IF('Historique ajusté'!H179="","",'Historique ajusté'!H179/MAX('Historique ajusté'!H$6:H179)-1)</f>
        <v/>
      </c>
      <c r="AB179" s="34">
        <f>IF('Historique ajusté'!I179="","",'Historique ajusté'!I179/MAX('Historique ajusté'!I$6:I179)-1)</f>
        <v/>
      </c>
      <c r="AC179" s="34">
        <f>IF('Historique ajusté'!J179="","",'Historique ajusté'!J179/MAX('Historique ajusté'!J$6:J179)-1)</f>
        <v/>
      </c>
      <c r="AD179" s="34">
        <f>IF('Historique ajusté'!K179="","",'Historique ajusté'!K179/MAX('Historique ajusté'!K$6:K179)-1)</f>
        <v/>
      </c>
      <c r="AE179" s="34">
        <f>IF('Historique ajusté'!L179="","",'Historique ajusté'!L179/MAX('Historique ajusté'!L$6:L179)-1)</f>
        <v/>
      </c>
      <c r="AF179" s="34">
        <f>IF('Historique ajusté'!M179="","",'Historique ajusté'!M179/MAX('Historique ajusté'!M$6:M179)-1)</f>
        <v/>
      </c>
      <c r="AG179" s="34">
        <f>IF('Historique ajusté'!N179="","",'Historique ajusté'!N179/MAX('Historique ajusté'!N$6:N179)-1)</f>
        <v/>
      </c>
      <c r="AH179" s="34">
        <f>IF('Historique ajusté'!O179="","",'Historique ajusté'!O179/MAX('Historique ajusté'!O$6:O179)-1)</f>
        <v/>
      </c>
      <c r="AI179" s="34">
        <f>IF('Historique ajusté'!P179="","",'Historique ajusté'!P179/MAX('Historique ajusté'!P$6:P179)-1)</f>
        <v/>
      </c>
      <c r="AJ179" s="34">
        <f>IF(Composites!L179="","",Composites!L179/MAX(Composites!L$6:L179)-1)</f>
        <v/>
      </c>
      <c r="AK179" s="34">
        <f>IF(Composites!M179="","",Composites!M179/MAX(Composites!M$6:M179)-1)</f>
        <v/>
      </c>
      <c r="AL179" s="34">
        <f>IF(Composites!N179="","",Composites!N179/MAX(Composites!N$6:N179)-1)</f>
        <v/>
      </c>
      <c r="AM179" s="34">
        <f>IF(Composites!O179="","",Composites!O179/MAX(Composites!O$6:O179)-1)</f>
        <v/>
      </c>
      <c r="AN179" s="34">
        <f>IF(Composites!P179="","",Composites!P179/MAX(Composites!P$6:P179)-1)</f>
        <v/>
      </c>
    </row>
    <row r="180">
      <c r="B180" s="32">
        <f>'Historique ajusté'!B180</f>
        <v/>
      </c>
      <c r="C180" s="34">
        <f>IF(OR('Historique ajusté'!C180="",ROW()-Fenetre&lt;6),"",IF(INDEX('Historique ajusté'!C:C,ROW()-Fenetre)="","",'Historique ajusté'!C180/INDEX('Historique ajusté'!C:C,ROW()-Fenetre)-1))</f>
        <v/>
      </c>
      <c r="D180" s="34">
        <f>IF(OR('Historique ajusté'!D180="",ROW()-Fenetre&lt;6),"",IF(INDEX('Historique ajusté'!D:D,ROW()-Fenetre)="","",'Historique ajusté'!D180/INDEX('Historique ajusté'!D:D,ROW()-Fenetre)-1))</f>
        <v/>
      </c>
      <c r="E180" s="34">
        <f>IF(OR('Historique ajusté'!E180="",ROW()-Fenetre&lt;6),"",IF(INDEX('Historique ajusté'!E:E,ROW()-Fenetre)="","",'Historique ajusté'!E180/INDEX('Historique ajusté'!E:E,ROW()-Fenetre)-1))</f>
        <v/>
      </c>
      <c r="F180" s="34">
        <f>IF(OR('Historique ajusté'!F180="",ROW()-Fenetre&lt;6),"",IF(INDEX('Historique ajusté'!F:F,ROW()-Fenetre)="","",'Historique ajusté'!F180/INDEX('Historique ajusté'!F:F,ROW()-Fenetre)-1))</f>
        <v/>
      </c>
      <c r="G180" s="34">
        <f>IF(OR('Historique ajusté'!G180="",ROW()-Fenetre&lt;6),"",IF(INDEX('Historique ajusté'!G:G,ROW()-Fenetre)="","",'Historique ajusté'!G180/INDEX('Historique ajusté'!G:G,ROW()-Fenetre)-1))</f>
        <v/>
      </c>
      <c r="H180" s="34">
        <f>IF(OR('Historique ajusté'!H180="",ROW()-Fenetre&lt;6),"",IF(INDEX('Historique ajusté'!H:H,ROW()-Fenetre)="","",'Historique ajusté'!H180/INDEX('Historique ajusté'!H:H,ROW()-Fenetre)-1))</f>
        <v/>
      </c>
      <c r="I180" s="34">
        <f>IF(OR('Historique ajusté'!I180="",ROW()-Fenetre&lt;6),"",IF(INDEX('Historique ajusté'!I:I,ROW()-Fenetre)="","",'Historique ajusté'!I180/INDEX('Historique ajusté'!I:I,ROW()-Fenetre)-1))</f>
        <v/>
      </c>
      <c r="J180" s="34">
        <f>IF(OR('Historique ajusté'!J180="",ROW()-Fenetre&lt;6),"",IF(INDEX('Historique ajusté'!J:J,ROW()-Fenetre)="","",'Historique ajusté'!J180/INDEX('Historique ajusté'!J:J,ROW()-Fenetre)-1))</f>
        <v/>
      </c>
      <c r="K180" s="34">
        <f>IF(OR('Historique ajusté'!K180="",ROW()-Fenetre&lt;6),"",IF(INDEX('Historique ajusté'!K:K,ROW()-Fenetre)="","",'Historique ajusté'!K180/INDEX('Historique ajusté'!K:K,ROW()-Fenetre)-1))</f>
        <v/>
      </c>
      <c r="L180" s="34">
        <f>IF(OR('Historique ajusté'!L180="",ROW()-Fenetre&lt;6),"",IF(INDEX('Historique ajusté'!L:L,ROW()-Fenetre)="","",'Historique ajusté'!L180/INDEX('Historique ajusté'!L:L,ROW()-Fenetre)-1))</f>
        <v/>
      </c>
      <c r="M180" s="34">
        <f>IF(OR('Historique ajusté'!M180="",ROW()-Fenetre&lt;6),"",IF(INDEX('Historique ajusté'!M:M,ROW()-Fenetre)="","",'Historique ajusté'!M180/INDEX('Historique ajusté'!M:M,ROW()-Fenetre)-1))</f>
        <v/>
      </c>
      <c r="N180" s="34">
        <f>IF(OR('Historique ajusté'!N180="",ROW()-Fenetre&lt;6),"",IF(INDEX('Historique ajusté'!N:N,ROW()-Fenetre)="","",'Historique ajusté'!N180/INDEX('Historique ajusté'!N:N,ROW()-Fenetre)-1))</f>
        <v/>
      </c>
      <c r="O180" s="34">
        <f>IF(OR('Historique ajusté'!O180="",ROW()-Fenetre&lt;6),"",IF(INDEX('Historique ajusté'!O:O,ROW()-Fenetre)="","",'Historique ajusté'!O180/INDEX('Historique ajusté'!O:O,ROW()-Fenetre)-1))</f>
        <v/>
      </c>
      <c r="P180" s="34">
        <f>IF(OR('Historique ajusté'!P180="",ROW()-Fenetre&lt;6),"",IF(INDEX('Historique ajusté'!P:P,ROW()-Fenetre)="","",'Historique ajusté'!P180/INDEX('Historique ajusté'!P:P,ROW()-Fenetre)-1))</f>
        <v/>
      </c>
      <c r="Q180" s="34">
        <f>IF(OR(Composites!L180="",ROW()-Fenetre&lt;6),"",IF(INDEX(Composites!L:L,ROW()-Fenetre)="","",Composites!L180/INDEX(Composites!L:L,ROW()-Fenetre)-1))</f>
        <v/>
      </c>
      <c r="R180" s="34">
        <f>IF(OR(Composites!M180="",ROW()-Fenetre&lt;6),"",IF(INDEX(Composites!M:M,ROW()-Fenetre)="","",Composites!M180/INDEX(Composites!M:M,ROW()-Fenetre)-1))</f>
        <v/>
      </c>
      <c r="S180" s="34">
        <f>IF(OR(Composites!N180="",ROW()-Fenetre&lt;6),"",IF(INDEX(Composites!N:N,ROW()-Fenetre)="","",Composites!N180/INDEX(Composites!N:N,ROW()-Fenetre)-1))</f>
        <v/>
      </c>
      <c r="T180" s="34">
        <f>IF(OR(Composites!O180="",ROW()-Fenetre&lt;6),"",IF(INDEX(Composites!O:O,ROW()-Fenetre)="","",Composites!O180/INDEX(Composites!O:O,ROW()-Fenetre)-1))</f>
        <v/>
      </c>
      <c r="U180" s="34">
        <f>IF(OR(Composites!P180="",ROW()-Fenetre&lt;6),"",IF(INDEX(Composites!P:P,ROW()-Fenetre)="","",Composites!P180/INDEX(Composites!P:P,ROW()-Fenetre)-1))</f>
        <v/>
      </c>
      <c r="V180" s="34">
        <f>IF('Historique ajusté'!C180="","",'Historique ajusté'!C180/MAX('Historique ajusté'!C$6:C180)-1)</f>
        <v/>
      </c>
      <c r="W180" s="34">
        <f>IF('Historique ajusté'!D180="","",'Historique ajusté'!D180/MAX('Historique ajusté'!D$6:D180)-1)</f>
        <v/>
      </c>
      <c r="X180" s="34">
        <f>IF('Historique ajusté'!E180="","",'Historique ajusté'!E180/MAX('Historique ajusté'!E$6:E180)-1)</f>
        <v/>
      </c>
      <c r="Y180" s="34">
        <f>IF('Historique ajusté'!F180="","",'Historique ajusté'!F180/MAX('Historique ajusté'!F$6:F180)-1)</f>
        <v/>
      </c>
      <c r="Z180" s="34">
        <f>IF('Historique ajusté'!G180="","",'Historique ajusté'!G180/MAX('Historique ajusté'!G$6:G180)-1)</f>
        <v/>
      </c>
      <c r="AA180" s="34">
        <f>IF('Historique ajusté'!H180="","",'Historique ajusté'!H180/MAX('Historique ajusté'!H$6:H180)-1)</f>
        <v/>
      </c>
      <c r="AB180" s="34">
        <f>IF('Historique ajusté'!I180="","",'Historique ajusté'!I180/MAX('Historique ajusté'!I$6:I180)-1)</f>
        <v/>
      </c>
      <c r="AC180" s="34">
        <f>IF('Historique ajusté'!J180="","",'Historique ajusté'!J180/MAX('Historique ajusté'!J$6:J180)-1)</f>
        <v/>
      </c>
      <c r="AD180" s="34">
        <f>IF('Historique ajusté'!K180="","",'Historique ajusté'!K180/MAX('Historique ajusté'!K$6:K180)-1)</f>
        <v/>
      </c>
      <c r="AE180" s="34">
        <f>IF('Historique ajusté'!L180="","",'Historique ajusté'!L180/MAX('Historique ajusté'!L$6:L180)-1)</f>
        <v/>
      </c>
      <c r="AF180" s="34">
        <f>IF('Historique ajusté'!M180="","",'Historique ajusté'!M180/MAX('Historique ajusté'!M$6:M180)-1)</f>
        <v/>
      </c>
      <c r="AG180" s="34">
        <f>IF('Historique ajusté'!N180="","",'Historique ajusté'!N180/MAX('Historique ajusté'!N$6:N180)-1)</f>
        <v/>
      </c>
      <c r="AH180" s="34">
        <f>IF('Historique ajusté'!O180="","",'Historique ajusté'!O180/MAX('Historique ajusté'!O$6:O180)-1)</f>
        <v/>
      </c>
      <c r="AI180" s="34">
        <f>IF('Historique ajusté'!P180="","",'Historique ajusté'!P180/MAX('Historique ajusté'!P$6:P180)-1)</f>
        <v/>
      </c>
      <c r="AJ180" s="34">
        <f>IF(Composites!L180="","",Composites!L180/MAX(Composites!L$6:L180)-1)</f>
        <v/>
      </c>
      <c r="AK180" s="34">
        <f>IF(Composites!M180="","",Composites!M180/MAX(Composites!M$6:M180)-1)</f>
        <v/>
      </c>
      <c r="AL180" s="34">
        <f>IF(Composites!N180="","",Composites!N180/MAX(Composites!N$6:N180)-1)</f>
        <v/>
      </c>
      <c r="AM180" s="34">
        <f>IF(Composites!O180="","",Composites!O180/MAX(Composites!O$6:O180)-1)</f>
        <v/>
      </c>
      <c r="AN180" s="34">
        <f>IF(Composites!P180="","",Composites!P180/MAX(Composites!P$6:P180)-1)</f>
        <v/>
      </c>
    </row>
    <row r="181">
      <c r="B181" s="32">
        <f>'Historique ajusté'!B181</f>
        <v/>
      </c>
      <c r="C181" s="34">
        <f>IF(OR('Historique ajusté'!C181="",ROW()-Fenetre&lt;6),"",IF(INDEX('Historique ajusté'!C:C,ROW()-Fenetre)="","",'Historique ajusté'!C181/INDEX('Historique ajusté'!C:C,ROW()-Fenetre)-1))</f>
        <v/>
      </c>
      <c r="D181" s="34">
        <f>IF(OR('Historique ajusté'!D181="",ROW()-Fenetre&lt;6),"",IF(INDEX('Historique ajusté'!D:D,ROW()-Fenetre)="","",'Historique ajusté'!D181/INDEX('Historique ajusté'!D:D,ROW()-Fenetre)-1))</f>
        <v/>
      </c>
      <c r="E181" s="34">
        <f>IF(OR('Historique ajusté'!E181="",ROW()-Fenetre&lt;6),"",IF(INDEX('Historique ajusté'!E:E,ROW()-Fenetre)="","",'Historique ajusté'!E181/INDEX('Historique ajusté'!E:E,ROW()-Fenetre)-1))</f>
        <v/>
      </c>
      <c r="F181" s="34">
        <f>IF(OR('Historique ajusté'!F181="",ROW()-Fenetre&lt;6),"",IF(INDEX('Historique ajusté'!F:F,ROW()-Fenetre)="","",'Historique ajusté'!F181/INDEX('Historique ajusté'!F:F,ROW()-Fenetre)-1))</f>
        <v/>
      </c>
      <c r="G181" s="34">
        <f>IF(OR('Historique ajusté'!G181="",ROW()-Fenetre&lt;6),"",IF(INDEX('Historique ajusté'!G:G,ROW()-Fenetre)="","",'Historique ajusté'!G181/INDEX('Historique ajusté'!G:G,ROW()-Fenetre)-1))</f>
        <v/>
      </c>
      <c r="H181" s="34">
        <f>IF(OR('Historique ajusté'!H181="",ROW()-Fenetre&lt;6),"",IF(INDEX('Historique ajusté'!H:H,ROW()-Fenetre)="","",'Historique ajusté'!H181/INDEX('Historique ajusté'!H:H,ROW()-Fenetre)-1))</f>
        <v/>
      </c>
      <c r="I181" s="34">
        <f>IF(OR('Historique ajusté'!I181="",ROW()-Fenetre&lt;6),"",IF(INDEX('Historique ajusté'!I:I,ROW()-Fenetre)="","",'Historique ajusté'!I181/INDEX('Historique ajusté'!I:I,ROW()-Fenetre)-1))</f>
        <v/>
      </c>
      <c r="J181" s="34">
        <f>IF(OR('Historique ajusté'!J181="",ROW()-Fenetre&lt;6),"",IF(INDEX('Historique ajusté'!J:J,ROW()-Fenetre)="","",'Historique ajusté'!J181/INDEX('Historique ajusté'!J:J,ROW()-Fenetre)-1))</f>
        <v/>
      </c>
      <c r="K181" s="34">
        <f>IF(OR('Historique ajusté'!K181="",ROW()-Fenetre&lt;6),"",IF(INDEX('Historique ajusté'!K:K,ROW()-Fenetre)="","",'Historique ajusté'!K181/INDEX('Historique ajusté'!K:K,ROW()-Fenetre)-1))</f>
        <v/>
      </c>
      <c r="L181" s="34">
        <f>IF(OR('Historique ajusté'!L181="",ROW()-Fenetre&lt;6),"",IF(INDEX('Historique ajusté'!L:L,ROW()-Fenetre)="","",'Historique ajusté'!L181/INDEX('Historique ajusté'!L:L,ROW()-Fenetre)-1))</f>
        <v/>
      </c>
      <c r="M181" s="34">
        <f>IF(OR('Historique ajusté'!M181="",ROW()-Fenetre&lt;6),"",IF(INDEX('Historique ajusté'!M:M,ROW()-Fenetre)="","",'Historique ajusté'!M181/INDEX('Historique ajusté'!M:M,ROW()-Fenetre)-1))</f>
        <v/>
      </c>
      <c r="N181" s="34">
        <f>IF(OR('Historique ajusté'!N181="",ROW()-Fenetre&lt;6),"",IF(INDEX('Historique ajusté'!N:N,ROW()-Fenetre)="","",'Historique ajusté'!N181/INDEX('Historique ajusté'!N:N,ROW()-Fenetre)-1))</f>
        <v/>
      </c>
      <c r="O181" s="34">
        <f>IF(OR('Historique ajusté'!O181="",ROW()-Fenetre&lt;6),"",IF(INDEX('Historique ajusté'!O:O,ROW()-Fenetre)="","",'Historique ajusté'!O181/INDEX('Historique ajusté'!O:O,ROW()-Fenetre)-1))</f>
        <v/>
      </c>
      <c r="P181" s="34">
        <f>IF(OR('Historique ajusté'!P181="",ROW()-Fenetre&lt;6),"",IF(INDEX('Historique ajusté'!P:P,ROW()-Fenetre)="","",'Historique ajusté'!P181/INDEX('Historique ajusté'!P:P,ROW()-Fenetre)-1))</f>
        <v/>
      </c>
      <c r="Q181" s="34">
        <f>IF(OR(Composites!L181="",ROW()-Fenetre&lt;6),"",IF(INDEX(Composites!L:L,ROW()-Fenetre)="","",Composites!L181/INDEX(Composites!L:L,ROW()-Fenetre)-1))</f>
        <v/>
      </c>
      <c r="R181" s="34">
        <f>IF(OR(Composites!M181="",ROW()-Fenetre&lt;6),"",IF(INDEX(Composites!M:M,ROW()-Fenetre)="","",Composites!M181/INDEX(Composites!M:M,ROW()-Fenetre)-1))</f>
        <v/>
      </c>
      <c r="S181" s="34">
        <f>IF(OR(Composites!N181="",ROW()-Fenetre&lt;6),"",IF(INDEX(Composites!N:N,ROW()-Fenetre)="","",Composites!N181/INDEX(Composites!N:N,ROW()-Fenetre)-1))</f>
        <v/>
      </c>
      <c r="T181" s="34">
        <f>IF(OR(Composites!O181="",ROW()-Fenetre&lt;6),"",IF(INDEX(Composites!O:O,ROW()-Fenetre)="","",Composites!O181/INDEX(Composites!O:O,ROW()-Fenetre)-1))</f>
        <v/>
      </c>
      <c r="U181" s="34">
        <f>IF(OR(Composites!P181="",ROW()-Fenetre&lt;6),"",IF(INDEX(Composites!P:P,ROW()-Fenetre)="","",Composites!P181/INDEX(Composites!P:P,ROW()-Fenetre)-1))</f>
        <v/>
      </c>
      <c r="V181" s="34">
        <f>IF('Historique ajusté'!C181="","",'Historique ajusté'!C181/MAX('Historique ajusté'!C$6:C181)-1)</f>
        <v/>
      </c>
      <c r="W181" s="34">
        <f>IF('Historique ajusté'!D181="","",'Historique ajusté'!D181/MAX('Historique ajusté'!D$6:D181)-1)</f>
        <v/>
      </c>
      <c r="X181" s="34">
        <f>IF('Historique ajusté'!E181="","",'Historique ajusté'!E181/MAX('Historique ajusté'!E$6:E181)-1)</f>
        <v/>
      </c>
      <c r="Y181" s="34">
        <f>IF('Historique ajusté'!F181="","",'Historique ajusté'!F181/MAX('Historique ajusté'!F$6:F181)-1)</f>
        <v/>
      </c>
      <c r="Z181" s="34">
        <f>IF('Historique ajusté'!G181="","",'Historique ajusté'!G181/MAX('Historique ajusté'!G$6:G181)-1)</f>
        <v/>
      </c>
      <c r="AA181" s="34">
        <f>IF('Historique ajusté'!H181="","",'Historique ajusté'!H181/MAX('Historique ajusté'!H$6:H181)-1)</f>
        <v/>
      </c>
      <c r="AB181" s="34">
        <f>IF('Historique ajusté'!I181="","",'Historique ajusté'!I181/MAX('Historique ajusté'!I$6:I181)-1)</f>
        <v/>
      </c>
      <c r="AC181" s="34">
        <f>IF('Historique ajusté'!J181="","",'Historique ajusté'!J181/MAX('Historique ajusté'!J$6:J181)-1)</f>
        <v/>
      </c>
      <c r="AD181" s="34">
        <f>IF('Historique ajusté'!K181="","",'Historique ajusté'!K181/MAX('Historique ajusté'!K$6:K181)-1)</f>
        <v/>
      </c>
      <c r="AE181" s="34">
        <f>IF('Historique ajusté'!L181="","",'Historique ajusté'!L181/MAX('Historique ajusté'!L$6:L181)-1)</f>
        <v/>
      </c>
      <c r="AF181" s="34">
        <f>IF('Historique ajusté'!M181="","",'Historique ajusté'!M181/MAX('Historique ajusté'!M$6:M181)-1)</f>
        <v/>
      </c>
      <c r="AG181" s="34">
        <f>IF('Historique ajusté'!N181="","",'Historique ajusté'!N181/MAX('Historique ajusté'!N$6:N181)-1)</f>
        <v/>
      </c>
      <c r="AH181" s="34">
        <f>IF('Historique ajusté'!O181="","",'Historique ajusté'!O181/MAX('Historique ajusté'!O$6:O181)-1)</f>
        <v/>
      </c>
      <c r="AI181" s="34">
        <f>IF('Historique ajusté'!P181="","",'Historique ajusté'!P181/MAX('Historique ajusté'!P$6:P181)-1)</f>
        <v/>
      </c>
      <c r="AJ181" s="34">
        <f>IF(Composites!L181="","",Composites!L181/MAX(Composites!L$6:L181)-1)</f>
        <v/>
      </c>
      <c r="AK181" s="34">
        <f>IF(Composites!M181="","",Composites!M181/MAX(Composites!M$6:M181)-1)</f>
        <v/>
      </c>
      <c r="AL181" s="34">
        <f>IF(Composites!N181="","",Composites!N181/MAX(Composites!N$6:N181)-1)</f>
        <v/>
      </c>
      <c r="AM181" s="34">
        <f>IF(Composites!O181="","",Composites!O181/MAX(Composites!O$6:O181)-1)</f>
        <v/>
      </c>
      <c r="AN181" s="34">
        <f>IF(Composites!P181="","",Composites!P181/MAX(Composites!P$6:P181)-1)</f>
        <v/>
      </c>
    </row>
    <row r="182">
      <c r="B182" s="32">
        <f>'Historique ajusté'!B182</f>
        <v/>
      </c>
      <c r="C182" s="34">
        <f>IF(OR('Historique ajusté'!C182="",ROW()-Fenetre&lt;6),"",IF(INDEX('Historique ajusté'!C:C,ROW()-Fenetre)="","",'Historique ajusté'!C182/INDEX('Historique ajusté'!C:C,ROW()-Fenetre)-1))</f>
        <v/>
      </c>
      <c r="D182" s="34">
        <f>IF(OR('Historique ajusté'!D182="",ROW()-Fenetre&lt;6),"",IF(INDEX('Historique ajusté'!D:D,ROW()-Fenetre)="","",'Historique ajusté'!D182/INDEX('Historique ajusté'!D:D,ROW()-Fenetre)-1))</f>
        <v/>
      </c>
      <c r="E182" s="34">
        <f>IF(OR('Historique ajusté'!E182="",ROW()-Fenetre&lt;6),"",IF(INDEX('Historique ajusté'!E:E,ROW()-Fenetre)="","",'Historique ajusté'!E182/INDEX('Historique ajusté'!E:E,ROW()-Fenetre)-1))</f>
        <v/>
      </c>
      <c r="F182" s="34">
        <f>IF(OR('Historique ajusté'!F182="",ROW()-Fenetre&lt;6),"",IF(INDEX('Historique ajusté'!F:F,ROW()-Fenetre)="","",'Historique ajusté'!F182/INDEX('Historique ajusté'!F:F,ROW()-Fenetre)-1))</f>
        <v/>
      </c>
      <c r="G182" s="34">
        <f>IF(OR('Historique ajusté'!G182="",ROW()-Fenetre&lt;6),"",IF(INDEX('Historique ajusté'!G:G,ROW()-Fenetre)="","",'Historique ajusté'!G182/INDEX('Historique ajusté'!G:G,ROW()-Fenetre)-1))</f>
        <v/>
      </c>
      <c r="H182" s="34">
        <f>IF(OR('Historique ajusté'!H182="",ROW()-Fenetre&lt;6),"",IF(INDEX('Historique ajusté'!H:H,ROW()-Fenetre)="","",'Historique ajusté'!H182/INDEX('Historique ajusté'!H:H,ROW()-Fenetre)-1))</f>
        <v/>
      </c>
      <c r="I182" s="34">
        <f>IF(OR('Historique ajusté'!I182="",ROW()-Fenetre&lt;6),"",IF(INDEX('Historique ajusté'!I:I,ROW()-Fenetre)="","",'Historique ajusté'!I182/INDEX('Historique ajusté'!I:I,ROW()-Fenetre)-1))</f>
        <v/>
      </c>
      <c r="J182" s="34">
        <f>IF(OR('Historique ajusté'!J182="",ROW()-Fenetre&lt;6),"",IF(INDEX('Historique ajusté'!J:J,ROW()-Fenetre)="","",'Historique ajusté'!J182/INDEX('Historique ajusté'!J:J,ROW()-Fenetre)-1))</f>
        <v/>
      </c>
      <c r="K182" s="34">
        <f>IF(OR('Historique ajusté'!K182="",ROW()-Fenetre&lt;6),"",IF(INDEX('Historique ajusté'!K:K,ROW()-Fenetre)="","",'Historique ajusté'!K182/INDEX('Historique ajusté'!K:K,ROW()-Fenetre)-1))</f>
        <v/>
      </c>
      <c r="L182" s="34">
        <f>IF(OR('Historique ajusté'!L182="",ROW()-Fenetre&lt;6),"",IF(INDEX('Historique ajusté'!L:L,ROW()-Fenetre)="","",'Historique ajusté'!L182/INDEX('Historique ajusté'!L:L,ROW()-Fenetre)-1))</f>
        <v/>
      </c>
      <c r="M182" s="34">
        <f>IF(OR('Historique ajusté'!M182="",ROW()-Fenetre&lt;6),"",IF(INDEX('Historique ajusté'!M:M,ROW()-Fenetre)="","",'Historique ajusté'!M182/INDEX('Historique ajusté'!M:M,ROW()-Fenetre)-1))</f>
        <v/>
      </c>
      <c r="N182" s="34">
        <f>IF(OR('Historique ajusté'!N182="",ROW()-Fenetre&lt;6),"",IF(INDEX('Historique ajusté'!N:N,ROW()-Fenetre)="","",'Historique ajusté'!N182/INDEX('Historique ajusté'!N:N,ROW()-Fenetre)-1))</f>
        <v/>
      </c>
      <c r="O182" s="34">
        <f>IF(OR('Historique ajusté'!O182="",ROW()-Fenetre&lt;6),"",IF(INDEX('Historique ajusté'!O:O,ROW()-Fenetre)="","",'Historique ajusté'!O182/INDEX('Historique ajusté'!O:O,ROW()-Fenetre)-1))</f>
        <v/>
      </c>
      <c r="P182" s="34">
        <f>IF(OR('Historique ajusté'!P182="",ROW()-Fenetre&lt;6),"",IF(INDEX('Historique ajusté'!P:P,ROW()-Fenetre)="","",'Historique ajusté'!P182/INDEX('Historique ajusté'!P:P,ROW()-Fenetre)-1))</f>
        <v/>
      </c>
      <c r="Q182" s="34">
        <f>IF(OR(Composites!L182="",ROW()-Fenetre&lt;6),"",IF(INDEX(Composites!L:L,ROW()-Fenetre)="","",Composites!L182/INDEX(Composites!L:L,ROW()-Fenetre)-1))</f>
        <v/>
      </c>
      <c r="R182" s="34">
        <f>IF(OR(Composites!M182="",ROW()-Fenetre&lt;6),"",IF(INDEX(Composites!M:M,ROW()-Fenetre)="","",Composites!M182/INDEX(Composites!M:M,ROW()-Fenetre)-1))</f>
        <v/>
      </c>
      <c r="S182" s="34">
        <f>IF(OR(Composites!N182="",ROW()-Fenetre&lt;6),"",IF(INDEX(Composites!N:N,ROW()-Fenetre)="","",Composites!N182/INDEX(Composites!N:N,ROW()-Fenetre)-1))</f>
        <v/>
      </c>
      <c r="T182" s="34">
        <f>IF(OR(Composites!O182="",ROW()-Fenetre&lt;6),"",IF(INDEX(Composites!O:O,ROW()-Fenetre)="","",Composites!O182/INDEX(Composites!O:O,ROW()-Fenetre)-1))</f>
        <v/>
      </c>
      <c r="U182" s="34">
        <f>IF(OR(Composites!P182="",ROW()-Fenetre&lt;6),"",IF(INDEX(Composites!P:P,ROW()-Fenetre)="","",Composites!P182/INDEX(Composites!P:P,ROW()-Fenetre)-1))</f>
        <v/>
      </c>
      <c r="V182" s="34">
        <f>IF('Historique ajusté'!C182="","",'Historique ajusté'!C182/MAX('Historique ajusté'!C$6:C182)-1)</f>
        <v/>
      </c>
      <c r="W182" s="34">
        <f>IF('Historique ajusté'!D182="","",'Historique ajusté'!D182/MAX('Historique ajusté'!D$6:D182)-1)</f>
        <v/>
      </c>
      <c r="X182" s="34">
        <f>IF('Historique ajusté'!E182="","",'Historique ajusté'!E182/MAX('Historique ajusté'!E$6:E182)-1)</f>
        <v/>
      </c>
      <c r="Y182" s="34">
        <f>IF('Historique ajusté'!F182="","",'Historique ajusté'!F182/MAX('Historique ajusté'!F$6:F182)-1)</f>
        <v/>
      </c>
      <c r="Z182" s="34">
        <f>IF('Historique ajusté'!G182="","",'Historique ajusté'!G182/MAX('Historique ajusté'!G$6:G182)-1)</f>
        <v/>
      </c>
      <c r="AA182" s="34">
        <f>IF('Historique ajusté'!H182="","",'Historique ajusté'!H182/MAX('Historique ajusté'!H$6:H182)-1)</f>
        <v/>
      </c>
      <c r="AB182" s="34">
        <f>IF('Historique ajusté'!I182="","",'Historique ajusté'!I182/MAX('Historique ajusté'!I$6:I182)-1)</f>
        <v/>
      </c>
      <c r="AC182" s="34">
        <f>IF('Historique ajusté'!J182="","",'Historique ajusté'!J182/MAX('Historique ajusté'!J$6:J182)-1)</f>
        <v/>
      </c>
      <c r="AD182" s="34">
        <f>IF('Historique ajusté'!K182="","",'Historique ajusté'!K182/MAX('Historique ajusté'!K$6:K182)-1)</f>
        <v/>
      </c>
      <c r="AE182" s="34">
        <f>IF('Historique ajusté'!L182="","",'Historique ajusté'!L182/MAX('Historique ajusté'!L$6:L182)-1)</f>
        <v/>
      </c>
      <c r="AF182" s="34">
        <f>IF('Historique ajusté'!M182="","",'Historique ajusté'!M182/MAX('Historique ajusté'!M$6:M182)-1)</f>
        <v/>
      </c>
      <c r="AG182" s="34">
        <f>IF('Historique ajusté'!N182="","",'Historique ajusté'!N182/MAX('Historique ajusté'!N$6:N182)-1)</f>
        <v/>
      </c>
      <c r="AH182" s="34">
        <f>IF('Historique ajusté'!O182="","",'Historique ajusté'!O182/MAX('Historique ajusté'!O$6:O182)-1)</f>
        <v/>
      </c>
      <c r="AI182" s="34">
        <f>IF('Historique ajusté'!P182="","",'Historique ajusté'!P182/MAX('Historique ajusté'!P$6:P182)-1)</f>
        <v/>
      </c>
      <c r="AJ182" s="34">
        <f>IF(Composites!L182="","",Composites!L182/MAX(Composites!L$6:L182)-1)</f>
        <v/>
      </c>
      <c r="AK182" s="34">
        <f>IF(Composites!M182="","",Composites!M182/MAX(Composites!M$6:M182)-1)</f>
        <v/>
      </c>
      <c r="AL182" s="34">
        <f>IF(Composites!N182="","",Composites!N182/MAX(Composites!N$6:N182)-1)</f>
        <v/>
      </c>
      <c r="AM182" s="34">
        <f>IF(Composites!O182="","",Composites!O182/MAX(Composites!O$6:O182)-1)</f>
        <v/>
      </c>
      <c r="AN182" s="34">
        <f>IF(Composites!P182="","",Composites!P182/MAX(Composites!P$6:P182)-1)</f>
        <v/>
      </c>
    </row>
    <row r="183">
      <c r="B183" s="32">
        <f>'Historique ajusté'!B183</f>
        <v/>
      </c>
      <c r="C183" s="34">
        <f>IF(OR('Historique ajusté'!C183="",ROW()-Fenetre&lt;6),"",IF(INDEX('Historique ajusté'!C:C,ROW()-Fenetre)="","",'Historique ajusté'!C183/INDEX('Historique ajusté'!C:C,ROW()-Fenetre)-1))</f>
        <v/>
      </c>
      <c r="D183" s="34">
        <f>IF(OR('Historique ajusté'!D183="",ROW()-Fenetre&lt;6),"",IF(INDEX('Historique ajusté'!D:D,ROW()-Fenetre)="","",'Historique ajusté'!D183/INDEX('Historique ajusté'!D:D,ROW()-Fenetre)-1))</f>
        <v/>
      </c>
      <c r="E183" s="34">
        <f>IF(OR('Historique ajusté'!E183="",ROW()-Fenetre&lt;6),"",IF(INDEX('Historique ajusté'!E:E,ROW()-Fenetre)="","",'Historique ajusté'!E183/INDEX('Historique ajusté'!E:E,ROW()-Fenetre)-1))</f>
        <v/>
      </c>
      <c r="F183" s="34">
        <f>IF(OR('Historique ajusté'!F183="",ROW()-Fenetre&lt;6),"",IF(INDEX('Historique ajusté'!F:F,ROW()-Fenetre)="","",'Historique ajusté'!F183/INDEX('Historique ajusté'!F:F,ROW()-Fenetre)-1))</f>
        <v/>
      </c>
      <c r="G183" s="34">
        <f>IF(OR('Historique ajusté'!G183="",ROW()-Fenetre&lt;6),"",IF(INDEX('Historique ajusté'!G:G,ROW()-Fenetre)="","",'Historique ajusté'!G183/INDEX('Historique ajusté'!G:G,ROW()-Fenetre)-1))</f>
        <v/>
      </c>
      <c r="H183" s="34">
        <f>IF(OR('Historique ajusté'!H183="",ROW()-Fenetre&lt;6),"",IF(INDEX('Historique ajusté'!H:H,ROW()-Fenetre)="","",'Historique ajusté'!H183/INDEX('Historique ajusté'!H:H,ROW()-Fenetre)-1))</f>
        <v/>
      </c>
      <c r="I183" s="34">
        <f>IF(OR('Historique ajusté'!I183="",ROW()-Fenetre&lt;6),"",IF(INDEX('Historique ajusté'!I:I,ROW()-Fenetre)="","",'Historique ajusté'!I183/INDEX('Historique ajusté'!I:I,ROW()-Fenetre)-1))</f>
        <v/>
      </c>
      <c r="J183" s="34">
        <f>IF(OR('Historique ajusté'!J183="",ROW()-Fenetre&lt;6),"",IF(INDEX('Historique ajusté'!J:J,ROW()-Fenetre)="","",'Historique ajusté'!J183/INDEX('Historique ajusté'!J:J,ROW()-Fenetre)-1))</f>
        <v/>
      </c>
      <c r="K183" s="34">
        <f>IF(OR('Historique ajusté'!K183="",ROW()-Fenetre&lt;6),"",IF(INDEX('Historique ajusté'!K:K,ROW()-Fenetre)="","",'Historique ajusté'!K183/INDEX('Historique ajusté'!K:K,ROW()-Fenetre)-1))</f>
        <v/>
      </c>
      <c r="L183" s="34">
        <f>IF(OR('Historique ajusté'!L183="",ROW()-Fenetre&lt;6),"",IF(INDEX('Historique ajusté'!L:L,ROW()-Fenetre)="","",'Historique ajusté'!L183/INDEX('Historique ajusté'!L:L,ROW()-Fenetre)-1))</f>
        <v/>
      </c>
      <c r="M183" s="34">
        <f>IF(OR('Historique ajusté'!M183="",ROW()-Fenetre&lt;6),"",IF(INDEX('Historique ajusté'!M:M,ROW()-Fenetre)="","",'Historique ajusté'!M183/INDEX('Historique ajusté'!M:M,ROW()-Fenetre)-1))</f>
        <v/>
      </c>
      <c r="N183" s="34">
        <f>IF(OR('Historique ajusté'!N183="",ROW()-Fenetre&lt;6),"",IF(INDEX('Historique ajusté'!N:N,ROW()-Fenetre)="","",'Historique ajusté'!N183/INDEX('Historique ajusté'!N:N,ROW()-Fenetre)-1))</f>
        <v/>
      </c>
      <c r="O183" s="34">
        <f>IF(OR('Historique ajusté'!O183="",ROW()-Fenetre&lt;6),"",IF(INDEX('Historique ajusté'!O:O,ROW()-Fenetre)="","",'Historique ajusté'!O183/INDEX('Historique ajusté'!O:O,ROW()-Fenetre)-1))</f>
        <v/>
      </c>
      <c r="P183" s="34">
        <f>IF(OR('Historique ajusté'!P183="",ROW()-Fenetre&lt;6),"",IF(INDEX('Historique ajusté'!P:P,ROW()-Fenetre)="","",'Historique ajusté'!P183/INDEX('Historique ajusté'!P:P,ROW()-Fenetre)-1))</f>
        <v/>
      </c>
      <c r="Q183" s="34">
        <f>IF(OR(Composites!L183="",ROW()-Fenetre&lt;6),"",IF(INDEX(Composites!L:L,ROW()-Fenetre)="","",Composites!L183/INDEX(Composites!L:L,ROW()-Fenetre)-1))</f>
        <v/>
      </c>
      <c r="R183" s="34">
        <f>IF(OR(Composites!M183="",ROW()-Fenetre&lt;6),"",IF(INDEX(Composites!M:M,ROW()-Fenetre)="","",Composites!M183/INDEX(Composites!M:M,ROW()-Fenetre)-1))</f>
        <v/>
      </c>
      <c r="S183" s="34">
        <f>IF(OR(Composites!N183="",ROW()-Fenetre&lt;6),"",IF(INDEX(Composites!N:N,ROW()-Fenetre)="","",Composites!N183/INDEX(Composites!N:N,ROW()-Fenetre)-1))</f>
        <v/>
      </c>
      <c r="T183" s="34">
        <f>IF(OR(Composites!O183="",ROW()-Fenetre&lt;6),"",IF(INDEX(Composites!O:O,ROW()-Fenetre)="","",Composites!O183/INDEX(Composites!O:O,ROW()-Fenetre)-1))</f>
        <v/>
      </c>
      <c r="U183" s="34">
        <f>IF(OR(Composites!P183="",ROW()-Fenetre&lt;6),"",IF(INDEX(Composites!P:P,ROW()-Fenetre)="","",Composites!P183/INDEX(Composites!P:P,ROW()-Fenetre)-1))</f>
        <v/>
      </c>
      <c r="V183" s="34">
        <f>IF('Historique ajusté'!C183="","",'Historique ajusté'!C183/MAX('Historique ajusté'!C$6:C183)-1)</f>
        <v/>
      </c>
      <c r="W183" s="34">
        <f>IF('Historique ajusté'!D183="","",'Historique ajusté'!D183/MAX('Historique ajusté'!D$6:D183)-1)</f>
        <v/>
      </c>
      <c r="X183" s="34">
        <f>IF('Historique ajusté'!E183="","",'Historique ajusté'!E183/MAX('Historique ajusté'!E$6:E183)-1)</f>
        <v/>
      </c>
      <c r="Y183" s="34">
        <f>IF('Historique ajusté'!F183="","",'Historique ajusté'!F183/MAX('Historique ajusté'!F$6:F183)-1)</f>
        <v/>
      </c>
      <c r="Z183" s="34">
        <f>IF('Historique ajusté'!G183="","",'Historique ajusté'!G183/MAX('Historique ajusté'!G$6:G183)-1)</f>
        <v/>
      </c>
      <c r="AA183" s="34">
        <f>IF('Historique ajusté'!H183="","",'Historique ajusté'!H183/MAX('Historique ajusté'!H$6:H183)-1)</f>
        <v/>
      </c>
      <c r="AB183" s="34">
        <f>IF('Historique ajusté'!I183="","",'Historique ajusté'!I183/MAX('Historique ajusté'!I$6:I183)-1)</f>
        <v/>
      </c>
      <c r="AC183" s="34">
        <f>IF('Historique ajusté'!J183="","",'Historique ajusté'!J183/MAX('Historique ajusté'!J$6:J183)-1)</f>
        <v/>
      </c>
      <c r="AD183" s="34">
        <f>IF('Historique ajusté'!K183="","",'Historique ajusté'!K183/MAX('Historique ajusté'!K$6:K183)-1)</f>
        <v/>
      </c>
      <c r="AE183" s="34">
        <f>IF('Historique ajusté'!L183="","",'Historique ajusté'!L183/MAX('Historique ajusté'!L$6:L183)-1)</f>
        <v/>
      </c>
      <c r="AF183" s="34">
        <f>IF('Historique ajusté'!M183="","",'Historique ajusté'!M183/MAX('Historique ajusté'!M$6:M183)-1)</f>
        <v/>
      </c>
      <c r="AG183" s="34">
        <f>IF('Historique ajusté'!N183="","",'Historique ajusté'!N183/MAX('Historique ajusté'!N$6:N183)-1)</f>
        <v/>
      </c>
      <c r="AH183" s="34">
        <f>IF('Historique ajusté'!O183="","",'Historique ajusté'!O183/MAX('Historique ajusté'!O$6:O183)-1)</f>
        <v/>
      </c>
      <c r="AI183" s="34">
        <f>IF('Historique ajusté'!P183="","",'Historique ajusté'!P183/MAX('Historique ajusté'!P$6:P183)-1)</f>
        <v/>
      </c>
      <c r="AJ183" s="34">
        <f>IF(Composites!L183="","",Composites!L183/MAX(Composites!L$6:L183)-1)</f>
        <v/>
      </c>
      <c r="AK183" s="34">
        <f>IF(Composites!M183="","",Composites!M183/MAX(Composites!M$6:M183)-1)</f>
        <v/>
      </c>
      <c r="AL183" s="34">
        <f>IF(Composites!N183="","",Composites!N183/MAX(Composites!N$6:N183)-1)</f>
        <v/>
      </c>
      <c r="AM183" s="34">
        <f>IF(Composites!O183="","",Composites!O183/MAX(Composites!O$6:O183)-1)</f>
        <v/>
      </c>
      <c r="AN183" s="34">
        <f>IF(Composites!P183="","",Composites!P183/MAX(Composites!P$6:P183)-1)</f>
        <v/>
      </c>
    </row>
    <row r="184">
      <c r="B184" s="32">
        <f>'Historique ajusté'!B184</f>
        <v/>
      </c>
      <c r="C184" s="34">
        <f>IF(OR('Historique ajusté'!C184="",ROW()-Fenetre&lt;6),"",IF(INDEX('Historique ajusté'!C:C,ROW()-Fenetre)="","",'Historique ajusté'!C184/INDEX('Historique ajusté'!C:C,ROW()-Fenetre)-1))</f>
        <v/>
      </c>
      <c r="D184" s="34">
        <f>IF(OR('Historique ajusté'!D184="",ROW()-Fenetre&lt;6),"",IF(INDEX('Historique ajusté'!D:D,ROW()-Fenetre)="","",'Historique ajusté'!D184/INDEX('Historique ajusté'!D:D,ROW()-Fenetre)-1))</f>
        <v/>
      </c>
      <c r="E184" s="34">
        <f>IF(OR('Historique ajusté'!E184="",ROW()-Fenetre&lt;6),"",IF(INDEX('Historique ajusté'!E:E,ROW()-Fenetre)="","",'Historique ajusté'!E184/INDEX('Historique ajusté'!E:E,ROW()-Fenetre)-1))</f>
        <v/>
      </c>
      <c r="F184" s="34">
        <f>IF(OR('Historique ajusté'!F184="",ROW()-Fenetre&lt;6),"",IF(INDEX('Historique ajusté'!F:F,ROW()-Fenetre)="","",'Historique ajusté'!F184/INDEX('Historique ajusté'!F:F,ROW()-Fenetre)-1))</f>
        <v/>
      </c>
      <c r="G184" s="34">
        <f>IF(OR('Historique ajusté'!G184="",ROW()-Fenetre&lt;6),"",IF(INDEX('Historique ajusté'!G:G,ROW()-Fenetre)="","",'Historique ajusté'!G184/INDEX('Historique ajusté'!G:G,ROW()-Fenetre)-1))</f>
        <v/>
      </c>
      <c r="H184" s="34">
        <f>IF(OR('Historique ajusté'!H184="",ROW()-Fenetre&lt;6),"",IF(INDEX('Historique ajusté'!H:H,ROW()-Fenetre)="","",'Historique ajusté'!H184/INDEX('Historique ajusté'!H:H,ROW()-Fenetre)-1))</f>
        <v/>
      </c>
      <c r="I184" s="34">
        <f>IF(OR('Historique ajusté'!I184="",ROW()-Fenetre&lt;6),"",IF(INDEX('Historique ajusté'!I:I,ROW()-Fenetre)="","",'Historique ajusté'!I184/INDEX('Historique ajusté'!I:I,ROW()-Fenetre)-1))</f>
        <v/>
      </c>
      <c r="J184" s="34">
        <f>IF(OR('Historique ajusté'!J184="",ROW()-Fenetre&lt;6),"",IF(INDEX('Historique ajusté'!J:J,ROW()-Fenetre)="","",'Historique ajusté'!J184/INDEX('Historique ajusté'!J:J,ROW()-Fenetre)-1))</f>
        <v/>
      </c>
      <c r="K184" s="34">
        <f>IF(OR('Historique ajusté'!K184="",ROW()-Fenetre&lt;6),"",IF(INDEX('Historique ajusté'!K:K,ROW()-Fenetre)="","",'Historique ajusté'!K184/INDEX('Historique ajusté'!K:K,ROW()-Fenetre)-1))</f>
        <v/>
      </c>
      <c r="L184" s="34">
        <f>IF(OR('Historique ajusté'!L184="",ROW()-Fenetre&lt;6),"",IF(INDEX('Historique ajusté'!L:L,ROW()-Fenetre)="","",'Historique ajusté'!L184/INDEX('Historique ajusté'!L:L,ROW()-Fenetre)-1))</f>
        <v/>
      </c>
      <c r="M184" s="34">
        <f>IF(OR('Historique ajusté'!M184="",ROW()-Fenetre&lt;6),"",IF(INDEX('Historique ajusté'!M:M,ROW()-Fenetre)="","",'Historique ajusté'!M184/INDEX('Historique ajusté'!M:M,ROW()-Fenetre)-1))</f>
        <v/>
      </c>
      <c r="N184" s="34">
        <f>IF(OR('Historique ajusté'!N184="",ROW()-Fenetre&lt;6),"",IF(INDEX('Historique ajusté'!N:N,ROW()-Fenetre)="","",'Historique ajusté'!N184/INDEX('Historique ajusté'!N:N,ROW()-Fenetre)-1))</f>
        <v/>
      </c>
      <c r="O184" s="34">
        <f>IF(OR('Historique ajusté'!O184="",ROW()-Fenetre&lt;6),"",IF(INDEX('Historique ajusté'!O:O,ROW()-Fenetre)="","",'Historique ajusté'!O184/INDEX('Historique ajusté'!O:O,ROW()-Fenetre)-1))</f>
        <v/>
      </c>
      <c r="P184" s="34">
        <f>IF(OR('Historique ajusté'!P184="",ROW()-Fenetre&lt;6),"",IF(INDEX('Historique ajusté'!P:P,ROW()-Fenetre)="","",'Historique ajusté'!P184/INDEX('Historique ajusté'!P:P,ROW()-Fenetre)-1))</f>
        <v/>
      </c>
      <c r="Q184" s="34">
        <f>IF(OR(Composites!L184="",ROW()-Fenetre&lt;6),"",IF(INDEX(Composites!L:L,ROW()-Fenetre)="","",Composites!L184/INDEX(Composites!L:L,ROW()-Fenetre)-1))</f>
        <v/>
      </c>
      <c r="R184" s="34">
        <f>IF(OR(Composites!M184="",ROW()-Fenetre&lt;6),"",IF(INDEX(Composites!M:M,ROW()-Fenetre)="","",Composites!M184/INDEX(Composites!M:M,ROW()-Fenetre)-1))</f>
        <v/>
      </c>
      <c r="S184" s="34">
        <f>IF(OR(Composites!N184="",ROW()-Fenetre&lt;6),"",IF(INDEX(Composites!N:N,ROW()-Fenetre)="","",Composites!N184/INDEX(Composites!N:N,ROW()-Fenetre)-1))</f>
        <v/>
      </c>
      <c r="T184" s="34">
        <f>IF(OR(Composites!O184="",ROW()-Fenetre&lt;6),"",IF(INDEX(Composites!O:O,ROW()-Fenetre)="","",Composites!O184/INDEX(Composites!O:O,ROW()-Fenetre)-1))</f>
        <v/>
      </c>
      <c r="U184" s="34">
        <f>IF(OR(Composites!P184="",ROW()-Fenetre&lt;6),"",IF(INDEX(Composites!P:P,ROW()-Fenetre)="","",Composites!P184/INDEX(Composites!P:P,ROW()-Fenetre)-1))</f>
        <v/>
      </c>
      <c r="V184" s="34">
        <f>IF('Historique ajusté'!C184="","",'Historique ajusté'!C184/MAX('Historique ajusté'!C$6:C184)-1)</f>
        <v/>
      </c>
      <c r="W184" s="34">
        <f>IF('Historique ajusté'!D184="","",'Historique ajusté'!D184/MAX('Historique ajusté'!D$6:D184)-1)</f>
        <v/>
      </c>
      <c r="X184" s="34">
        <f>IF('Historique ajusté'!E184="","",'Historique ajusté'!E184/MAX('Historique ajusté'!E$6:E184)-1)</f>
        <v/>
      </c>
      <c r="Y184" s="34">
        <f>IF('Historique ajusté'!F184="","",'Historique ajusté'!F184/MAX('Historique ajusté'!F$6:F184)-1)</f>
        <v/>
      </c>
      <c r="Z184" s="34">
        <f>IF('Historique ajusté'!G184="","",'Historique ajusté'!G184/MAX('Historique ajusté'!G$6:G184)-1)</f>
        <v/>
      </c>
      <c r="AA184" s="34">
        <f>IF('Historique ajusté'!H184="","",'Historique ajusté'!H184/MAX('Historique ajusté'!H$6:H184)-1)</f>
        <v/>
      </c>
      <c r="AB184" s="34">
        <f>IF('Historique ajusté'!I184="","",'Historique ajusté'!I184/MAX('Historique ajusté'!I$6:I184)-1)</f>
        <v/>
      </c>
      <c r="AC184" s="34">
        <f>IF('Historique ajusté'!J184="","",'Historique ajusté'!J184/MAX('Historique ajusté'!J$6:J184)-1)</f>
        <v/>
      </c>
      <c r="AD184" s="34">
        <f>IF('Historique ajusté'!K184="","",'Historique ajusté'!K184/MAX('Historique ajusté'!K$6:K184)-1)</f>
        <v/>
      </c>
      <c r="AE184" s="34">
        <f>IF('Historique ajusté'!L184="","",'Historique ajusté'!L184/MAX('Historique ajusté'!L$6:L184)-1)</f>
        <v/>
      </c>
      <c r="AF184" s="34">
        <f>IF('Historique ajusté'!M184="","",'Historique ajusté'!M184/MAX('Historique ajusté'!M$6:M184)-1)</f>
        <v/>
      </c>
      <c r="AG184" s="34">
        <f>IF('Historique ajusté'!N184="","",'Historique ajusté'!N184/MAX('Historique ajusté'!N$6:N184)-1)</f>
        <v/>
      </c>
      <c r="AH184" s="34">
        <f>IF('Historique ajusté'!O184="","",'Historique ajusté'!O184/MAX('Historique ajusté'!O$6:O184)-1)</f>
        <v/>
      </c>
      <c r="AI184" s="34">
        <f>IF('Historique ajusté'!P184="","",'Historique ajusté'!P184/MAX('Historique ajusté'!P$6:P184)-1)</f>
        <v/>
      </c>
      <c r="AJ184" s="34">
        <f>IF(Composites!L184="","",Composites!L184/MAX(Composites!L$6:L184)-1)</f>
        <v/>
      </c>
      <c r="AK184" s="34">
        <f>IF(Composites!M184="","",Composites!M184/MAX(Composites!M$6:M184)-1)</f>
        <v/>
      </c>
      <c r="AL184" s="34">
        <f>IF(Composites!N184="","",Composites!N184/MAX(Composites!N$6:N184)-1)</f>
        <v/>
      </c>
      <c r="AM184" s="34">
        <f>IF(Composites!O184="","",Composites!O184/MAX(Composites!O$6:O184)-1)</f>
        <v/>
      </c>
      <c r="AN184" s="34">
        <f>IF(Composites!P184="","",Composites!P184/MAX(Composites!P$6:P184)-1)</f>
        <v/>
      </c>
    </row>
  </sheetData>
  <mergeCells count="1">
    <mergeCell ref="B3:AN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2026-10-06T18:39:31Z</dcterms:created>
  <dcterms:modified xmlns:dcterms="http://purl.org/dc/terms/" xmlns:xsi="http://www.w3.org/2001/XMLSchema-instance" xsi:type="dcterms:W3CDTF">2026-10-06T18:39:32Z</dcterms:modified>
</cp:coreProperties>
</file>